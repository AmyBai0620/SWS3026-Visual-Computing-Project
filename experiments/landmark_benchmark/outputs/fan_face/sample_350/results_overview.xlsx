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84767be1e444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nual Review" sheetId="1" r:id="Rbb42aac1a5364989"/>
    <x:sheet xmlns:r="http://schemas.openxmlformats.org/officeDocument/2006/relationships" name="Summary" sheetId="2" r:id="R4fe733fc72d949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%"/>
    <x:numFmt numFmtId="201" formatCode="0.000"/>
    <x:numFmt numFmtId="202" formatCode="0.0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sz val="11"/>
      <x:color rgb="FF7F60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548235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5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color rgb="FF006100"/>
      </x:font>
      <x:fill>
        <x:patternFill patternType="solid">
          <x:bgColor rgb="FFC6EFCE"/>
        </x:patternFill>
      </x:fill>
    </x:dxf>
    <x:dxf>
      <x:font>
        <x:color rgb="FF9C6500"/>
      </x:font>
      <x:fill>
        <x:patternFill patternType="solid">
          <x:bgColor rgb="FFFFEB9C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e3000dc063469d" /><Relationship Type="http://schemas.openxmlformats.org/officeDocument/2006/relationships/theme" Target="/xl/theme/theme1.xml" Id="Rcf4458a508fe4dac" /><Relationship Type="http://schemas.openxmlformats.org/officeDocument/2006/relationships/sharedStrings" Target="/xl/sharedStrings.xml" Id="R4939093b2ed34536" /><Relationship Type="http://schemas.openxmlformats.org/officeDocument/2006/relationships/worksheet" Target="/xl/worksheets/sheet1.xml" Id="Rbb42aac1a5364989" /><Relationship Type="http://schemas.openxmlformats.org/officeDocument/2006/relationships/worksheet" Target="/xl/worksheets/sheet2.xml" Id="R4fe733fc72d9490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e0533359d0f41b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FAN Manual Review by Expression Class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Good</c:v>
          </c:tx>
          <c:cat>
            <c:strRef>
              <c:f>'Summary'!$A$14:$A$20</c:f>
              <c:strCache>
                <c:ptCount val="0"/>
              </c:strCache>
            </c:strRef>
          </c:cat>
          <c:val>
            <c:numRef>
              <c:f>'Summary'!$B$14:$B$20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Acceptable</c:v>
          </c:tx>
          <c:cat>
            <c:strRef>
              <c:f>'Summary'!$A$14:$A$20</c:f>
              <c:strCache>
                <c:ptCount val="0"/>
              </c:strCache>
            </c:strRef>
          </c:cat>
          <c:val>
            <c:numRef>
              <c:f>'Summary'!$C$14:$C$20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Wrong</c:v>
          </c:tx>
          <c:cat>
            <c:strRef>
              <c:f>'Summary'!$A$14:$A$20</c:f>
              <c:strCache>
                <c:ptCount val="0"/>
              </c:strCache>
            </c:strRef>
          </c:cat>
          <c:val>
            <c:numRef>
              <c:f>'Summary'!$D$14:$D$20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10</xdr:col>
      <xdr:colOff>0</xdr:colOff>
      <xdr:row>1</xdr:row>
      <xdr:rowOff>0</xdr:rowOff>
    </xdr:from>
    <xdr:to>
      <xdr:col>18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e0533359d0f41b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FANManualReviewTable" displayName="FANManualReviewTable" ref="A1:AM351" headerRowCount="1">
  <x:tableColumns count="39">
    <x:tableColumn id="1" name="sample_id"/>
    <x:tableColumn id="2" name="class_name"/>
    <x:tableColumn id="3" name="relative_path"/>
    <x:tableColumn id="4" name="manifest_sha256"/>
    <x:tableColumn id="5" name="computed_sha256"/>
    <x:tableColumn id="6" name="sha256_match"/>
    <x:tableColumn id="7" name="image_width"/>
    <x:tableColumn id="8" name="image_height"/>
    <x:tableColumn id="9" name="bbox_x1"/>
    <x:tableColumn id="10" name="bbox_y1"/>
    <x:tableColumn id="11" name="bbox_x2"/>
    <x:tableColumn id="12" name="bbox_y2"/>
    <x:tableColumn id="13" name="inference_success"/>
    <x:tableColumn id="14" name="num_keypoints"/>
    <x:tableColumn id="15" name="finite_keypoints"/>
    <x:tableColumn id="16" name="finite_rate"/>
    <x:tableColumn id="17" name="in_bounds_keypoints"/>
    <x:tableColumn id="18" name="in_bounds_rate"/>
    <x:tableColumn id="19" name="score_threshold"/>
    <x:tableColumn id="20" name="visible_keypoints"/>
    <x:tableColumn id="21" name="visible_rate"/>
    <x:tableColumn id="22" name="score_min"/>
    <x:tableColumn id="23" name="score_p10"/>
    <x:tableColumn id="24" name="score_mean"/>
    <x:tableColumn id="25" name="score_median"/>
    <x:tableColumn id="26" name="score_p90"/>
    <x:tableColumn id="27" name="score_max"/>
    <x:tableColumn id="28" name="inference_ms"/>
    <x:tableColumn id="29" name="overlay_path"/>
    <x:tableColumn id="30" name="error_type"/>
    <x:tableColumn id="31" name="error_message"/>
    <x:tableColumn id="32" name="review_label"/>
    <x:tableColumn id="33" name="manual_valid"/>
    <x:tableColumn id="34" name="eyes_fit"/>
    <x:tableColumn id="35" name="eyebrows_fit"/>
    <x:tableColumn id="36" name="mouth_fit"/>
    <x:tableColumn id="37" name="open_mouth_response"/>
    <x:tableColumn id="38" name="template_risk"/>
    <x:tableColumn id="39" name="review_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ab93250acf849a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3f735e6800c7459c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30" hidden="0" customWidth="1"/>
    <x:col min="4" max="4" width="13" hidden="0" customWidth="1"/>
    <x:col min="5" max="5" width="13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  <x:col min="31" max="31" width="12" hidden="0" customWidth="1"/>
    <x:col min="32" max="32" width="14" hidden="0" customWidth="1"/>
    <x:col min="33" max="33" width="11" hidden="0" customWidth="1"/>
    <x:col min="34" max="34" width="13" hidden="0" customWidth="1"/>
    <x:col min="35" max="35" width="15" hidden="0" customWidth="1"/>
    <x:col min="36" max="36" width="13" hidden="0" customWidth="1"/>
    <x:col min="37" max="37" width="19" hidden="0" customWidth="1"/>
    <x:col min="38" max="38" width="13" hidden="0" customWidth="1"/>
    <x:col min="39" max="39" width="54" hidden="0" customWidth="1"/>
  </x:cols>
  <x:sheetData>
    <x:row r="1" ht="32" customHeight="1">
      <x:c r="A1" s="6" t="str">
        <x:v>sample_id</x:v>
      </x:c>
      <x:c r="B1" s="6" t="str">
        <x:v>class_name</x:v>
      </x:c>
      <x:c r="C1" s="6" t="str">
        <x:v>relative_path</x:v>
      </x:c>
      <x:c r="D1" s="6" t="str">
        <x:v>manifest_sha256</x:v>
      </x:c>
      <x:c r="E1" s="6" t="str">
        <x:v>computed_sha256</x:v>
      </x:c>
      <x:c r="F1" s="6" t="str">
        <x:v>sha256_match</x:v>
      </x:c>
      <x:c r="G1" s="6" t="str">
        <x:v>image_width</x:v>
      </x:c>
      <x:c r="H1" s="6" t="str">
        <x:v>image_height</x:v>
      </x:c>
      <x:c r="I1" s="6" t="str">
        <x:v>bbox_x1</x:v>
      </x:c>
      <x:c r="J1" s="6" t="str">
        <x:v>bbox_y1</x:v>
      </x:c>
      <x:c r="K1" s="6" t="str">
        <x:v>bbox_x2</x:v>
      </x:c>
      <x:c r="L1" s="6" t="str">
        <x:v>bbox_y2</x:v>
      </x:c>
      <x:c r="M1" s="6" t="str">
        <x:v>inference_success</x:v>
      </x:c>
      <x:c r="N1" s="6" t="str">
        <x:v>num_keypoints</x:v>
      </x:c>
      <x:c r="O1" s="6" t="str">
        <x:v>finite_keypoints</x:v>
      </x:c>
      <x:c r="P1" s="6" t="str">
        <x:v>finite_rate</x:v>
      </x:c>
      <x:c r="Q1" s="6" t="str">
        <x:v>in_bounds_keypoints</x:v>
      </x:c>
      <x:c r="R1" s="6" t="str">
        <x:v>in_bounds_rate</x:v>
      </x:c>
      <x:c r="S1" s="6" t="str">
        <x:v>score_threshold</x:v>
      </x:c>
      <x:c r="T1" s="6" t="str">
        <x:v>visible_keypoints</x:v>
      </x:c>
      <x:c r="U1" s="6" t="str">
        <x:v>visible_rate</x:v>
      </x:c>
      <x:c r="V1" s="6" t="str">
        <x:v>score_min</x:v>
      </x:c>
      <x:c r="W1" s="6" t="str">
        <x:v>score_p10</x:v>
      </x:c>
      <x:c r="X1" s="6" t="str">
        <x:v>score_mean</x:v>
      </x:c>
      <x:c r="Y1" s="6" t="str">
        <x:v>score_median</x:v>
      </x:c>
      <x:c r="Z1" s="6" t="str">
        <x:v>score_p90</x:v>
      </x:c>
      <x:c r="AA1" s="6" t="str">
        <x:v>score_max</x:v>
      </x:c>
      <x:c r="AB1" s="6" t="str">
        <x:v>inference_ms</x:v>
      </x:c>
      <x:c r="AC1" s="6" t="str">
        <x:v>overlay_path</x:v>
      </x:c>
      <x:c r="AD1" s="6" t="str">
        <x:v>error_type</x:v>
      </x:c>
      <x:c r="AE1" s="6" t="str">
        <x:v>error_message</x:v>
      </x:c>
      <x:c r="AF1" s="6" t="str">
        <x:v>review_label</x:v>
      </x:c>
      <x:c r="AG1" s="6" t="str">
        <x:v>manual_valid</x:v>
      </x:c>
      <x:c r="AH1" s="6" t="str">
        <x:v>eyes_fit</x:v>
      </x:c>
      <x:c r="AI1" s="6" t="str">
        <x:v>eyebrows_fit</x:v>
      </x:c>
      <x:c r="AJ1" s="6" t="str">
        <x:v>mouth_fit</x:v>
      </x:c>
      <x:c r="AK1" s="6" t="str">
        <x:v>open_mouth_response</x:v>
      </x:c>
      <x:c r="AL1" s="6" t="str">
        <x:v>template_risk</x:v>
      </x:c>
      <x:c r="AM1" s="6" t="str">
        <x:v>review_notes</x:v>
      </x:c>
    </x:row>
    <x:row r="2" ht="28" customHeight="1">
      <x:c r="A2" s="12" t="str">
        <x:v>angry_001</x:v>
      </x:c>
      <x:c r="B2" s="12" t="str">
        <x:v>angry</x:v>
      </x:c>
      <x:c r="C2" s="14" t="str">
        <x:v>angry/Training_69562893.jpg</x:v>
      </x:c>
      <x:c r="D2" s="12" t="str">
        <x:v>1a1babb285cad01d5437b95bba7826a13d083654122146623f2ba59b38a1242e</x:v>
      </x:c>
      <x:c r="E2" s="12" t="str">
        <x:v>1a1babb285cad01d5437b95bba7826a13d083654122146623f2ba59b38a1242e</x:v>
      </x:c>
      <x:c r="F2" s="12" t="str">
        <x:v>True</x:v>
      </x:c>
      <x:c r="G2" s="12" t="str">
        <x:v>48</x:v>
      </x:c>
      <x:c r="H2" s="12" t="str">
        <x:v>48</x:v>
      </x:c>
      <x:c r="I2" s="12" t="str">
        <x:v>0.0</x:v>
      </x:c>
      <x:c r="J2" s="12" t="str">
        <x:v>0.0</x:v>
      </x:c>
      <x:c r="K2" s="12" t="str">
        <x:v>47.0</x:v>
      </x:c>
      <x:c r="L2" s="12" t="str">
        <x:v>47.0</x:v>
      </x:c>
      <x:c r="M2" s="12" t="str">
        <x:v>True</x:v>
      </x:c>
      <x:c r="N2" s="12" t="str">
        <x:v>68</x:v>
      </x:c>
      <x:c r="O2" s="12" t="str">
        <x:v>68</x:v>
      </x:c>
      <x:c r="P2" s="16" t="str">
        <x:v>1.0</x:v>
      </x:c>
      <x:c r="Q2" s="12" t="str">
        <x:v>68</x:v>
      </x:c>
      <x:c r="R2" s="16" t="str">
        <x:v>1.0</x:v>
      </x:c>
      <x:c r="S2" s="12" t="str">
        <x:v>0.2</x:v>
      </x:c>
      <x:c r="T2" s="12" t="str">
        <x:v>68</x:v>
      </x:c>
      <x:c r="U2" s="16" t="str">
        <x:v>1.0</x:v>
      </x:c>
      <x:c r="V2" s="18" t="str">
        <x:v>0.5416885614395142</x:v>
      </x:c>
      <x:c r="W2" s="18" t="str">
        <x:v>0.6515507221221923</x:v>
      </x:c>
      <x:c r="X2" s="18" t="str">
        <x:v>0.733740508556366</x:v>
      </x:c>
      <x:c r="Y2" s="18" t="str">
        <x:v>0.7322961091995239</x:v>
      </x:c>
      <x:c r="Z2" s="18" t="str">
        <x:v>0.8237418353557586</x:v>
      </x:c>
      <x:c r="AA2" s="18" t="str">
        <x:v>0.8876328468322754</x:v>
      </x:c>
      <x:c r="AB2" s="20" t="str">
        <x:v>152.81059999688296</x:v>
      </x:c>
      <x:c r="AC2" s="12" t="str">
        <x:v>overlays\angry_001.png</x:v>
      </x:c>
      <x:c r="AD2" s="12" t="str"/>
      <x:c r="AE2" s="12" t="str"/>
      <x:c r="AF2" s="12" t="str">
        <x:v>wrong</x:v>
      </x:c>
      <x:c r="AG2" s="12" t="n">
        <x:v>0</x:v>
      </x:c>
      <x:c r="AH2" s="12" t="str">
        <x:v>acceptable</x:v>
      </x:c>
      <x:c r="AI2" s="12" t="str">
        <x:v>wrong</x:v>
      </x:c>
      <x:c r="AJ2" s="12" t="str">
        <x:v>acceptable</x:v>
      </x:c>
      <x:c r="AK2" s="12" t="str">
        <x:v>not_applicable</x:v>
      </x:c>
      <x:c r="AL2" s="12" t="str">
        <x:v>severe</x:v>
      </x:c>
      <x:c r="AM2" s="14" t="str">
        <x:v>Strong profile; jaw and mouth are plausible, but eyebrow landmarks are displaced onto the forehead.</x:v>
      </x:c>
    </x:row>
    <x:row r="3" ht="28" customHeight="1">
      <x:c r="A3" s="12" t="str">
        <x:v>angry_002</x:v>
      </x:c>
      <x:c r="B3" s="12" t="str">
        <x:v>angry</x:v>
      </x:c>
      <x:c r="C3" s="14" t="str">
        <x:v>angry/Training_20445632.jpg</x:v>
      </x:c>
      <x:c r="D3" s="12" t="str">
        <x:v>5839d23673bbd32b859f31fbeead6c2d4c258faa6e8b086f5640602e7a453e67</x:v>
      </x:c>
      <x:c r="E3" s="12" t="str">
        <x:v>5839d23673bbd32b859f31fbeead6c2d4c258faa6e8b086f5640602e7a453e67</x:v>
      </x:c>
      <x:c r="F3" s="12" t="str">
        <x:v>True</x:v>
      </x:c>
      <x:c r="G3" s="12" t="str">
        <x:v>48</x:v>
      </x:c>
      <x:c r="H3" s="12" t="str">
        <x:v>48</x:v>
      </x:c>
      <x:c r="I3" s="12" t="str">
        <x:v>0.0</x:v>
      </x:c>
      <x:c r="J3" s="12" t="str">
        <x:v>0.0</x:v>
      </x:c>
      <x:c r="K3" s="12" t="str">
        <x:v>47.0</x:v>
      </x:c>
      <x:c r="L3" s="12" t="str">
        <x:v>47.0</x:v>
      </x:c>
      <x:c r="M3" s="12" t="str">
        <x:v>True</x:v>
      </x:c>
      <x:c r="N3" s="12" t="str">
        <x:v>68</x:v>
      </x:c>
      <x:c r="O3" s="12" t="str">
        <x:v>68</x:v>
      </x:c>
      <x:c r="P3" s="16" t="str">
        <x:v>1.0</x:v>
      </x:c>
      <x:c r="Q3" s="12" t="str">
        <x:v>68</x:v>
      </x:c>
      <x:c r="R3" s="16" t="str">
        <x:v>1.0</x:v>
      </x:c>
      <x:c r="S3" s="12" t="str">
        <x:v>0.2</x:v>
      </x:c>
      <x:c r="T3" s="12" t="str">
        <x:v>68</x:v>
      </x:c>
      <x:c r="U3" s="16" t="str">
        <x:v>1.0</x:v>
      </x:c>
      <x:c r="V3" s="18" t="str">
        <x:v>0.6833959817886353</x:v>
      </x:c>
      <x:c r="W3" s="18" t="str">
        <x:v>0.746262502670288</x:v>
      </x:c>
      <x:c r="X3" s="18" t="str">
        <x:v>0.824140191078186</x:v>
      </x:c>
      <x:c r="Y3" s="18" t="str">
        <x:v>0.831950843334198</x:v>
      </x:c>
      <x:c r="Z3" s="18" t="str">
        <x:v>0.8766726136207581</x:v>
      </x:c>
      <x:c r="AA3" s="18" t="str">
        <x:v>0.9188989400863647</x:v>
      </x:c>
      <x:c r="AB3" s="20" t="str">
        <x:v>213.4267000001273</x:v>
      </x:c>
      <x:c r="AC3" s="12" t="str">
        <x:v>overlays\angry_002.png</x:v>
      </x:c>
      <x:c r="AD3" s="12" t="str"/>
      <x:c r="AE3" s="12" t="str"/>
      <x:c r="AF3" s="12" t="str">
        <x:v>good</x:v>
      </x:c>
      <x:c r="AG3" s="12" t="n">
        <x:v>1</x:v>
      </x:c>
      <x:c r="AH3" s="12" t="str">
        <x:v>good</x:v>
      </x:c>
      <x:c r="AI3" s="12" t="str">
        <x:v>good</x:v>
      </x:c>
      <x:c r="AJ3" s="12" t="str">
        <x:v>good</x:v>
      </x:c>
      <x:c r="AK3" s="12" t="str">
        <x:v>not_applicable</x:v>
      </x:c>
      <x:c r="AL3" s="12" t="str">
        <x:v>none</x:v>
      </x:c>
      <x:c r="AM3" s="14" t="str">
        <x:v>Clear and well-aligned facial landmarks with no major pose, crop, or occlusion issue.</x:v>
      </x:c>
    </x:row>
    <x:row r="4" ht="28" customHeight="1">
      <x:c r="A4" s="12" t="str">
        <x:v>angry_003</x:v>
      </x:c>
      <x:c r="B4" s="12" t="str">
        <x:v>angry</x:v>
      </x:c>
      <x:c r="C4" s="14" t="str">
        <x:v>angry/Training_12604769.jpg</x:v>
      </x:c>
      <x:c r="D4" s="12" t="str">
        <x:v>05ae396016b0dd5627e6eaecc8d8b7b3571db86ece16b4c58396ea741897503a</x:v>
      </x:c>
      <x:c r="E4" s="12" t="str">
        <x:v>05ae396016b0dd5627e6eaecc8d8b7b3571db86ece16b4c58396ea741897503a</x:v>
      </x:c>
      <x:c r="F4" s="12" t="str">
        <x:v>True</x:v>
      </x:c>
      <x:c r="G4" s="12" t="str">
        <x:v>48</x:v>
      </x:c>
      <x:c r="H4" s="12" t="str">
        <x:v>48</x:v>
      </x:c>
      <x:c r="I4" s="12" t="str">
        <x:v>0.0</x:v>
      </x:c>
      <x:c r="J4" s="12" t="str">
        <x:v>0.0</x:v>
      </x:c>
      <x:c r="K4" s="12" t="str">
        <x:v>47.0</x:v>
      </x:c>
      <x:c r="L4" s="12" t="str">
        <x:v>47.0</x:v>
      </x:c>
      <x:c r="M4" s="12" t="str">
        <x:v>True</x:v>
      </x:c>
      <x:c r="N4" s="12" t="str">
        <x:v>68</x:v>
      </x:c>
      <x:c r="O4" s="12" t="str">
        <x:v>68</x:v>
      </x:c>
      <x:c r="P4" s="16" t="str">
        <x:v>1.0</x:v>
      </x:c>
      <x:c r="Q4" s="12" t="str">
        <x:v>68</x:v>
      </x:c>
      <x:c r="R4" s="16" t="str">
        <x:v>1.0</x:v>
      </x:c>
      <x:c r="S4" s="12" t="str">
        <x:v>0.2</x:v>
      </x:c>
      <x:c r="T4" s="12" t="str">
        <x:v>68</x:v>
      </x:c>
      <x:c r="U4" s="16" t="str">
        <x:v>1.0</x:v>
      </x:c>
      <x:c r="V4" s="18" t="str">
        <x:v>0.667522132396698</x:v>
      </x:c>
      <x:c r="W4" s="18" t="str">
        <x:v>0.7795577645301819</x:v>
      </x:c>
      <x:c r="X4" s="18" t="str">
        <x:v>0.8248856663703918</x:v>
      </x:c>
      <x:c r="Y4" s="18" t="str">
        <x:v>0.8300718069076538</x:v>
      </x:c>
      <x:c r="Z4" s="18" t="str">
        <x:v>0.8715462863445282</x:v>
      </x:c>
      <x:c r="AA4" s="18" t="str">
        <x:v>0.906295120716095</x:v>
      </x:c>
      <x:c r="AB4" s="20" t="str">
        <x:v>157.19569999782834</x:v>
      </x:c>
      <x:c r="AC4" s="12" t="str">
        <x:v>overlays\angry_003.png</x:v>
      </x:c>
      <x:c r="AD4" s="12" t="str"/>
      <x:c r="AE4" s="12" t="str"/>
      <x:c r="AF4" s="12" t="str">
        <x:v>good</x:v>
      </x:c>
      <x:c r="AG4" s="12" t="n">
        <x:v>1</x:v>
      </x:c>
      <x:c r="AH4" s="12" t="str">
        <x:v>good</x:v>
      </x:c>
      <x:c r="AI4" s="12" t="str">
        <x:v>good</x:v>
      </x:c>
      <x:c r="AJ4" s="12" t="str">
        <x:v>good</x:v>
      </x:c>
      <x:c r="AK4" s="12" t="str">
        <x:v>not_applicable</x:v>
      </x:c>
      <x:c r="AL4" s="12" t="str">
        <x:v>none</x:v>
      </x:c>
      <x:c r="AM4" s="14" t="str">
        <x:v>Clear and well-aligned facial landmarks with no major pose, crop, or occlusion issue.</x:v>
      </x:c>
    </x:row>
    <x:row r="5" ht="28" customHeight="1">
      <x:c r="A5" s="12" t="str">
        <x:v>angry_004</x:v>
      </x:c>
      <x:c r="B5" s="12" t="str">
        <x:v>angry</x:v>
      </x:c>
      <x:c r="C5" s="14" t="str">
        <x:v>angry/Training_79059604.jpg</x:v>
      </x:c>
      <x:c r="D5" s="12" t="str">
        <x:v>a3a0c81ed84d402aec9d37df1cb4baac93d61d738f964ef140c0bdb0402798fc</x:v>
      </x:c>
      <x:c r="E5" s="12" t="str">
        <x:v>a3a0c81ed84d402aec9d37df1cb4baac93d61d738f964ef140c0bdb0402798fc</x:v>
      </x:c>
      <x:c r="F5" s="12" t="str">
        <x:v>True</x:v>
      </x:c>
      <x:c r="G5" s="12" t="str">
        <x:v>48</x:v>
      </x:c>
      <x:c r="H5" s="12" t="str">
        <x:v>48</x:v>
      </x:c>
      <x:c r="I5" s="12" t="str">
        <x:v>0.0</x:v>
      </x:c>
      <x:c r="J5" s="12" t="str">
        <x:v>0.0</x:v>
      </x:c>
      <x:c r="K5" s="12" t="str">
        <x:v>47.0</x:v>
      </x:c>
      <x:c r="L5" s="12" t="str">
        <x:v>47.0</x:v>
      </x:c>
      <x:c r="M5" s="12" t="str">
        <x:v>True</x:v>
      </x:c>
      <x:c r="N5" s="12" t="str">
        <x:v>68</x:v>
      </x:c>
      <x:c r="O5" s="12" t="str">
        <x:v>68</x:v>
      </x:c>
      <x:c r="P5" s="16" t="str">
        <x:v>1.0</x:v>
      </x:c>
      <x:c r="Q5" s="12" t="str">
        <x:v>68</x:v>
      </x:c>
      <x:c r="R5" s="16" t="str">
        <x:v>1.0</x:v>
      </x:c>
      <x:c r="S5" s="12" t="str">
        <x:v>0.2</x:v>
      </x:c>
      <x:c r="T5" s="12" t="str">
        <x:v>68</x:v>
      </x:c>
      <x:c r="U5" s="16" t="str">
        <x:v>1.0</x:v>
      </x:c>
      <x:c r="V5" s="18" t="str">
        <x:v>0.6771537661552429</x:v>
      </x:c>
      <x:c r="W5" s="18" t="str">
        <x:v>0.7298633635044098</x:v>
      </x:c>
      <x:c r="X5" s="18" t="str">
        <x:v>0.7996634244918823</x:v>
      </x:c>
      <x:c r="Y5" s="18" t="str">
        <x:v>0.8041477203369141</x:v>
      </x:c>
      <x:c r="Z5" s="18" t="str">
        <x:v>0.8613552808761596</x:v>
      </x:c>
      <x:c r="AA5" s="18" t="str">
        <x:v>0.8846151232719421</x:v>
      </x:c>
      <x:c r="AB5" s="20" t="str">
        <x:v>155.58530000271276</x:v>
      </x:c>
      <x:c r="AC5" s="12" t="str">
        <x:v>overlays\angry_004.png</x:v>
      </x:c>
      <x:c r="AD5" s="12" t="str"/>
      <x:c r="AE5" s="12" t="str"/>
      <x:c r="AF5" s="12" t="str">
        <x:v>good</x:v>
      </x:c>
      <x:c r="AG5" s="12" t="n">
        <x:v>1</x:v>
      </x:c>
      <x:c r="AH5" s="12" t="str">
        <x:v>good</x:v>
      </x:c>
      <x:c r="AI5" s="12" t="str">
        <x:v>good</x:v>
      </x:c>
      <x:c r="AJ5" s="12" t="str">
        <x:v>good</x:v>
      </x:c>
      <x:c r="AK5" s="12" t="str">
        <x:v>not_applicable</x:v>
      </x:c>
      <x:c r="AL5" s="12" t="str">
        <x:v>none</x:v>
      </x:c>
      <x:c r="AM5" s="14" t="str">
        <x:v>Clear and well-aligned facial landmarks with no major pose, crop, or occlusion issue.</x:v>
      </x:c>
    </x:row>
    <x:row r="6" ht="28" customHeight="1">
      <x:c r="A6" s="12" t="str">
        <x:v>angry_005</x:v>
      </x:c>
      <x:c r="B6" s="12" t="str">
        <x:v>angry</x:v>
      </x:c>
      <x:c r="C6" s="14" t="str">
        <x:v>angry/Training_35447240.jpg</x:v>
      </x:c>
      <x:c r="D6" s="12" t="str">
        <x:v>6cbd7c0ec7e1920a8f83c2947c646f204e8e28c1e04f20d50e92353a2c9985d4</x:v>
      </x:c>
      <x:c r="E6" s="12" t="str">
        <x:v>6cbd7c0ec7e1920a8f83c2947c646f204e8e28c1e04f20d50e92353a2c9985d4</x:v>
      </x:c>
      <x:c r="F6" s="12" t="str">
        <x:v>True</x:v>
      </x:c>
      <x:c r="G6" s="12" t="str">
        <x:v>48</x:v>
      </x:c>
      <x:c r="H6" s="12" t="str">
        <x:v>48</x:v>
      </x:c>
      <x:c r="I6" s="12" t="str">
        <x:v>0.0</x:v>
      </x:c>
      <x:c r="J6" s="12" t="str">
        <x:v>0.0</x:v>
      </x:c>
      <x:c r="K6" s="12" t="str">
        <x:v>47.0</x:v>
      </x:c>
      <x:c r="L6" s="12" t="str">
        <x:v>47.0</x:v>
      </x:c>
      <x:c r="M6" s="12" t="str">
        <x:v>True</x:v>
      </x:c>
      <x:c r="N6" s="12" t="str">
        <x:v>68</x:v>
      </x:c>
      <x:c r="O6" s="12" t="str">
        <x:v>68</x:v>
      </x:c>
      <x:c r="P6" s="16" t="str">
        <x:v>1.0</x:v>
      </x:c>
      <x:c r="Q6" s="12" t="str">
        <x:v>68</x:v>
      </x:c>
      <x:c r="R6" s="16" t="str">
        <x:v>1.0</x:v>
      </x:c>
      <x:c r="S6" s="12" t="str">
        <x:v>0.2</x:v>
      </x:c>
      <x:c r="T6" s="12" t="str">
        <x:v>68</x:v>
      </x:c>
      <x:c r="U6" s="16" t="str">
        <x:v>1.0</x:v>
      </x:c>
      <x:c r="V6" s="18" t="str">
        <x:v>0.6632956862449646</x:v>
      </x:c>
      <x:c r="W6" s="18" t="str">
        <x:v>0.7646234154701232</x:v>
      </x:c>
      <x:c r="X6" s="18" t="str">
        <x:v>0.830368161201477</x:v>
      </x:c>
      <x:c r="Y6" s="18" t="str">
        <x:v>0.8332220911979675</x:v>
      </x:c>
      <x:c r="Z6" s="18" t="str">
        <x:v>0.88752960562706</x:v>
      </x:c>
      <x:c r="AA6" s="18" t="str">
        <x:v>0.9250962138175964</x:v>
      </x:c>
      <x:c r="AB6" s="20" t="str">
        <x:v>181.45630000071833</x:v>
      </x:c>
      <x:c r="AC6" s="12" t="str">
        <x:v>overlays\angry_005.png</x:v>
      </x:c>
      <x:c r="AD6" s="12" t="str"/>
      <x:c r="AE6" s="12" t="str"/>
      <x:c r="AF6" s="12" t="str">
        <x:v>good</x:v>
      </x:c>
      <x:c r="AG6" s="12" t="n">
        <x:v>1</x:v>
      </x:c>
      <x:c r="AH6" s="12" t="str">
        <x:v>good</x:v>
      </x:c>
      <x:c r="AI6" s="12" t="str">
        <x:v>good</x:v>
      </x:c>
      <x:c r="AJ6" s="12" t="str">
        <x:v>good</x:v>
      </x:c>
      <x:c r="AK6" s="12" t="str">
        <x:v>not_applicable</x:v>
      </x:c>
      <x:c r="AL6" s="12" t="str">
        <x:v>none</x:v>
      </x:c>
      <x:c r="AM6" s="14" t="str">
        <x:v>Clear and well-aligned facial landmarks with no major pose, crop, or occlusion issue.</x:v>
      </x:c>
    </x:row>
    <x:row r="7" ht="28" customHeight="1">
      <x:c r="A7" s="12" t="str">
        <x:v>angry_006</x:v>
      </x:c>
      <x:c r="B7" s="12" t="str">
        <x:v>angry</x:v>
      </x:c>
      <x:c r="C7" s="14" t="str">
        <x:v>angry/Training_32583157.jpg</x:v>
      </x:c>
      <x:c r="D7" s="12" t="str">
        <x:v>b98d793c2740367e8de81e5d5596f344215cb61219306605cde326fa7a0ca4bc</x:v>
      </x:c>
      <x:c r="E7" s="12" t="str">
        <x:v>b98d793c2740367e8de81e5d5596f344215cb61219306605cde326fa7a0ca4bc</x:v>
      </x:c>
      <x:c r="F7" s="12" t="str">
        <x:v>True</x:v>
      </x:c>
      <x:c r="G7" s="12" t="str">
        <x:v>48</x:v>
      </x:c>
      <x:c r="H7" s="12" t="str">
        <x:v>48</x:v>
      </x:c>
      <x:c r="I7" s="12" t="str">
        <x:v>0.0</x:v>
      </x:c>
      <x:c r="J7" s="12" t="str">
        <x:v>0.0</x:v>
      </x:c>
      <x:c r="K7" s="12" t="str">
        <x:v>47.0</x:v>
      </x:c>
      <x:c r="L7" s="12" t="str">
        <x:v>47.0</x:v>
      </x:c>
      <x:c r="M7" s="12" t="str">
        <x:v>True</x:v>
      </x:c>
      <x:c r="N7" s="12" t="str">
        <x:v>68</x:v>
      </x:c>
      <x:c r="O7" s="12" t="str">
        <x:v>68</x:v>
      </x:c>
      <x:c r="P7" s="16" t="str">
        <x:v>1.0</x:v>
      </x:c>
      <x:c r="Q7" s="12" t="str">
        <x:v>68</x:v>
      </x:c>
      <x:c r="R7" s="16" t="str">
        <x:v>1.0</x:v>
      </x:c>
      <x:c r="S7" s="12" t="str">
        <x:v>0.2</x:v>
      </x:c>
      <x:c r="T7" s="12" t="str">
        <x:v>68</x:v>
      </x:c>
      <x:c r="U7" s="16" t="str">
        <x:v>1.0</x:v>
      </x:c>
      <x:c r="V7" s="18" t="str">
        <x:v>0.6937178373336792</x:v>
      </x:c>
      <x:c r="W7" s="18" t="str">
        <x:v>0.7449649274349213</x:v>
      </x:c>
      <x:c r="X7" s="18" t="str">
        <x:v>0.8071947693824768</x:v>
      </x:c>
      <x:c r="Y7" s="18" t="str">
        <x:v>0.8089227676391602</x:v>
      </x:c>
      <x:c r="Z7" s="18" t="str">
        <x:v>0.8620452880859375</x:v>
      </x:c>
      <x:c r="AA7" s="18" t="str">
        <x:v>0.9132861495018005</x:v>
      </x:c>
      <x:c r="AB7" s="20" t="str">
        <x:v>194.80099999782396</x:v>
      </x:c>
      <x:c r="AC7" s="12" t="str">
        <x:v>overlays\angry_006.png</x:v>
      </x:c>
      <x:c r="AD7" s="12" t="str"/>
      <x:c r="AE7" s="12" t="str"/>
      <x:c r="AF7" s="12" t="str">
        <x:v>acceptable</x:v>
      </x:c>
      <x:c r="AG7" s="12" t="n">
        <x:v>1</x:v>
      </x:c>
      <x:c r="AH7" s="12" t="str">
        <x:v>acceptable</x:v>
      </x:c>
      <x:c r="AI7" s="12" t="str">
        <x:v>acceptable</x:v>
      </x:c>
      <x:c r="AJ7" s="12" t="str">
        <x:v>acceptable</x:v>
      </x:c>
      <x:c r="AK7" s="12" t="str">
        <x:v>acceptable</x:v>
      </x:c>
      <x:c r="AL7" s="12" t="str">
        <x:v>mild</x:v>
      </x:c>
      <x:c r="AM7" s="14" t="str">
        <x:v>Large pose or profile; visible landmarks remain useful, while hidden-side and contour points are inferred.</x:v>
      </x:c>
    </x:row>
    <x:row r="8" ht="28" customHeight="1">
      <x:c r="A8" s="12" t="str">
        <x:v>angry_007</x:v>
      </x:c>
      <x:c r="B8" s="12" t="str">
        <x:v>angry</x:v>
      </x:c>
      <x:c r="C8" s="14" t="str">
        <x:v>angry/Training_30549878.jpg</x:v>
      </x:c>
      <x:c r="D8" s="12" t="str">
        <x:v>5e089a6db4bb060b94c2b746c393ab61e0a0b22f04290781705154ac854d8ddc</x:v>
      </x:c>
      <x:c r="E8" s="12" t="str">
        <x:v>5e089a6db4bb060b94c2b746c393ab61e0a0b22f04290781705154ac854d8ddc</x:v>
      </x:c>
      <x:c r="F8" s="12" t="str">
        <x:v>True</x:v>
      </x:c>
      <x:c r="G8" s="12" t="str">
        <x:v>48</x:v>
      </x:c>
      <x:c r="H8" s="12" t="str">
        <x:v>48</x:v>
      </x:c>
      <x:c r="I8" s="12" t="str">
        <x:v>0.0</x:v>
      </x:c>
      <x:c r="J8" s="12" t="str">
        <x:v>0.0</x:v>
      </x:c>
      <x:c r="K8" s="12" t="str">
        <x:v>47.0</x:v>
      </x:c>
      <x:c r="L8" s="12" t="str">
        <x:v>47.0</x:v>
      </x:c>
      <x:c r="M8" s="12" t="str">
        <x:v>True</x:v>
      </x:c>
      <x:c r="N8" s="12" t="str">
        <x:v>68</x:v>
      </x:c>
      <x:c r="O8" s="12" t="str">
        <x:v>68</x:v>
      </x:c>
      <x:c r="P8" s="16" t="str">
        <x:v>1.0</x:v>
      </x:c>
      <x:c r="Q8" s="12" t="str">
        <x:v>68</x:v>
      </x:c>
      <x:c r="R8" s="16" t="str">
        <x:v>1.0</x:v>
      </x:c>
      <x:c r="S8" s="12" t="str">
        <x:v>0.2</x:v>
      </x:c>
      <x:c r="T8" s="12" t="str">
        <x:v>68</x:v>
      </x:c>
      <x:c r="U8" s="16" t="str">
        <x:v>1.0</x:v>
      </x:c>
      <x:c r="V8" s="18" t="str">
        <x:v>0.7297709584236145</x:v>
      </x:c>
      <x:c r="W8" s="18" t="str">
        <x:v>0.766870665550232</x:v>
      </x:c>
      <x:c r="X8" s="18" t="str">
        <x:v>0.8428590893745422</x:v>
      </x:c>
      <x:c r="Y8" s="18" t="str">
        <x:v>0.8545501232147217</x:v>
      </x:c>
      <x:c r="Z8" s="18" t="str">
        <x:v>0.892234456539154</x:v>
      </x:c>
      <x:c r="AA8" s="18" t="str">
        <x:v>0.9141997694969177</x:v>
      </x:c>
      <x:c r="AB8" s="20" t="str">
        <x:v>168.6522999953013</x:v>
      </x:c>
      <x:c r="AC8" s="12" t="str">
        <x:v>overlays\angry_007.png</x:v>
      </x:c>
      <x:c r="AD8" s="12" t="str"/>
      <x:c r="AE8" s="12" t="str"/>
      <x:c r="AF8" s="12" t="str">
        <x:v>good</x:v>
      </x:c>
      <x:c r="AG8" s="12" t="n">
        <x:v>1</x:v>
      </x:c>
      <x:c r="AH8" s="12" t="str">
        <x:v>good</x:v>
      </x:c>
      <x:c r="AI8" s="12" t="str">
        <x:v>good</x:v>
      </x:c>
      <x:c r="AJ8" s="12" t="str">
        <x:v>good</x:v>
      </x:c>
      <x:c r="AK8" s="12" t="str">
        <x:v>good</x:v>
      </x:c>
      <x:c r="AL8" s="12" t="str">
        <x:v>none</x:v>
      </x:c>
      <x:c r="AM8" s="14" t="str">
        <x:v>Clear and well-aligned facial landmarks with no major pose, crop, or occlusion issue.</x:v>
      </x:c>
    </x:row>
    <x:row r="9" ht="28" customHeight="1">
      <x:c r="A9" s="12" t="str">
        <x:v>angry_008</x:v>
      </x:c>
      <x:c r="B9" s="12" t="str">
        <x:v>angry</x:v>
      </x:c>
      <x:c r="C9" s="14" t="str">
        <x:v>angry/Training_23065708.jpg</x:v>
      </x:c>
      <x:c r="D9" s="12" t="str">
        <x:v>b3c5d885833a4ffc9c15024577b7147276ea056d40617a527f1c82b36942f429</x:v>
      </x:c>
      <x:c r="E9" s="12" t="str">
        <x:v>b3c5d885833a4ffc9c15024577b7147276ea056d40617a527f1c82b36942f429</x:v>
      </x:c>
      <x:c r="F9" s="12" t="str">
        <x:v>True</x:v>
      </x:c>
      <x:c r="G9" s="12" t="str">
        <x:v>48</x:v>
      </x:c>
      <x:c r="H9" s="12" t="str">
        <x:v>48</x:v>
      </x:c>
      <x:c r="I9" s="12" t="str">
        <x:v>0.0</x:v>
      </x:c>
      <x:c r="J9" s="12" t="str">
        <x:v>0.0</x:v>
      </x:c>
      <x:c r="K9" s="12" t="str">
        <x:v>47.0</x:v>
      </x:c>
      <x:c r="L9" s="12" t="str">
        <x:v>47.0</x:v>
      </x:c>
      <x:c r="M9" s="12" t="str">
        <x:v>True</x:v>
      </x:c>
      <x:c r="N9" s="12" t="str">
        <x:v>68</x:v>
      </x:c>
      <x:c r="O9" s="12" t="str">
        <x:v>68</x:v>
      </x:c>
      <x:c r="P9" s="16" t="str">
        <x:v>1.0</x:v>
      </x:c>
      <x:c r="Q9" s="12" t="str">
        <x:v>68</x:v>
      </x:c>
      <x:c r="R9" s="16" t="str">
        <x:v>1.0</x:v>
      </x:c>
      <x:c r="S9" s="12" t="str">
        <x:v>0.2</x:v>
      </x:c>
      <x:c r="T9" s="12" t="str">
        <x:v>68</x:v>
      </x:c>
      <x:c r="U9" s="16" t="str">
        <x:v>1.0</x:v>
      </x:c>
      <x:c r="V9" s="18" t="str">
        <x:v>0.4806542694568634</x:v>
      </x:c>
      <x:c r="W9" s="18" t="str">
        <x:v>0.7460906207561493</x:v>
      </x:c>
      <x:c r="X9" s="18" t="str">
        <x:v>0.8207717537879944</x:v>
      </x:c>
      <x:c r="Y9" s="18" t="str">
        <x:v>0.8409167528152466</x:v>
      </x:c>
      <x:c r="Z9" s="18" t="str">
        <x:v>0.8776913940906524</x:v>
      </x:c>
      <x:c r="AA9" s="18" t="str">
        <x:v>0.9106926321983337</x:v>
      </x:c>
      <x:c r="AB9" s="20" t="str">
        <x:v>159.47469999809982</x:v>
      </x:c>
      <x:c r="AC9" s="12" t="str">
        <x:v>overlays\angry_008.png</x:v>
      </x:c>
      <x:c r="AD9" s="12" t="str"/>
      <x:c r="AE9" s="12" t="str"/>
      <x:c r="AF9" s="12" t="str">
        <x:v>good</x:v>
      </x:c>
      <x:c r="AG9" s="12" t="n">
        <x:v>1</x:v>
      </x:c>
      <x:c r="AH9" s="12" t="str">
        <x:v>good</x:v>
      </x:c>
      <x:c r="AI9" s="12" t="str">
        <x:v>good</x:v>
      </x:c>
      <x:c r="AJ9" s="12" t="str">
        <x:v>good</x:v>
      </x:c>
      <x:c r="AK9" s="12" t="str">
        <x:v>not_applicable</x:v>
      </x:c>
      <x:c r="AL9" s="12" t="str">
        <x:v>none</x:v>
      </x:c>
      <x:c r="AM9" s="14" t="str">
        <x:v>Clear and well-aligned facial landmarks with no major pose, crop, or occlusion issue.</x:v>
      </x:c>
    </x:row>
    <x:row r="10" ht="28" customHeight="1">
      <x:c r="A10" s="12" t="str">
        <x:v>angry_009</x:v>
      </x:c>
      <x:c r="B10" s="12" t="str">
        <x:v>angry</x:v>
      </x:c>
      <x:c r="C10" s="14" t="str">
        <x:v>angry/Training_7865887.jpg</x:v>
      </x:c>
      <x:c r="D10" s="12" t="str">
        <x:v>bf380f91472cbd2b06b621523c541d8cc4a8ec5fe930ed24b58c1be3b18f1fe9</x:v>
      </x:c>
      <x:c r="E10" s="12" t="str">
        <x:v>bf380f91472cbd2b06b621523c541d8cc4a8ec5fe930ed24b58c1be3b18f1fe9</x:v>
      </x:c>
      <x:c r="F10" s="12" t="str">
        <x:v>True</x:v>
      </x:c>
      <x:c r="G10" s="12" t="str">
        <x:v>48</x:v>
      </x:c>
      <x:c r="H10" s="12" t="str">
        <x:v>48</x:v>
      </x:c>
      <x:c r="I10" s="12" t="str">
        <x:v>0.0</x:v>
      </x:c>
      <x:c r="J10" s="12" t="str">
        <x:v>0.0</x:v>
      </x:c>
      <x:c r="K10" s="12" t="str">
        <x:v>47.0</x:v>
      </x:c>
      <x:c r="L10" s="12" t="str">
        <x:v>47.0</x:v>
      </x:c>
      <x:c r="M10" s="12" t="str">
        <x:v>True</x:v>
      </x:c>
      <x:c r="N10" s="12" t="str">
        <x:v>68</x:v>
      </x:c>
      <x:c r="O10" s="12" t="str">
        <x:v>68</x:v>
      </x:c>
      <x:c r="P10" s="16" t="str">
        <x:v>1.0</x:v>
      </x:c>
      <x:c r="Q10" s="12" t="str">
        <x:v>68</x:v>
      </x:c>
      <x:c r="R10" s="16" t="str">
        <x:v>1.0</x:v>
      </x:c>
      <x:c r="S10" s="12" t="str">
        <x:v>0.2</x:v>
      </x:c>
      <x:c r="T10" s="12" t="str">
        <x:v>68</x:v>
      </x:c>
      <x:c r="U10" s="16" t="str">
        <x:v>1.0</x:v>
      </x:c>
      <x:c r="V10" s="18" t="str">
        <x:v>0.5888027548789978</x:v>
      </x:c>
      <x:c r="W10" s="18" t="str">
        <x:v>0.6730504870414734</x:v>
      </x:c>
      <x:c r="X10" s="18" t="str">
        <x:v>0.780728280544281</x:v>
      </x:c>
      <x:c r="Y10" s="18" t="str">
        <x:v>0.799392580986023</x:v>
      </x:c>
      <x:c r="Z10" s="18" t="str">
        <x:v>0.8534808278083802</x:v>
      </x:c>
      <x:c r="AA10" s="18" t="str">
        <x:v>0.8900413513183594</x:v>
      </x:c>
      <x:c r="AB10" s="20" t="str">
        <x:v>174.7557999988203</x:v>
      </x:c>
      <x:c r="AC10" s="12" t="str">
        <x:v>overlays\angry_009.png</x:v>
      </x:c>
      <x:c r="AD10" s="12" t="str"/>
      <x:c r="AE10" s="12" t="str"/>
      <x:c r="AF10" s="12" t="str">
        <x:v>acceptable</x:v>
      </x:c>
      <x:c r="AG10" s="12" t="n">
        <x:v>1</x:v>
      </x:c>
      <x:c r="AH10" s="12" t="str">
        <x:v>acceptable</x:v>
      </x:c>
      <x:c r="AI10" s="12" t="str">
        <x:v>acceptable</x:v>
      </x:c>
      <x:c r="AJ10" s="12" t="str">
        <x:v>acceptable</x:v>
      </x:c>
      <x:c r="AK10" s="12" t="str">
        <x:v>not_applicable</x:v>
      </x:c>
      <x:c r="AL10" s="12" t="str">
        <x:v>mild</x:v>
      </x:c>
      <x:c r="AM10" s="14" t="str">
        <x:v>Moderate pose, crop, blur, or facial texture causes minor landmark uncertainty; the result remains usable.</x:v>
      </x:c>
    </x:row>
    <x:row r="11" ht="28" customHeight="1">
      <x:c r="A11" s="12" t="str">
        <x:v>angry_010</x:v>
      </x:c>
      <x:c r="B11" s="12" t="str">
        <x:v>angry</x:v>
      </x:c>
      <x:c r="C11" s="14" t="str">
        <x:v>angry/Training_19595003.jpg</x:v>
      </x:c>
      <x:c r="D11" s="12" t="str">
        <x:v>cfb50fc30e59307b2e9a406179f325067117be993e37b07f34cae0adebf08d9c</x:v>
      </x:c>
      <x:c r="E11" s="12" t="str">
        <x:v>cfb50fc30e59307b2e9a406179f325067117be993e37b07f34cae0adebf08d9c</x:v>
      </x:c>
      <x:c r="F11" s="12" t="str">
        <x:v>True</x:v>
      </x:c>
      <x:c r="G11" s="12" t="str">
        <x:v>48</x:v>
      </x:c>
      <x:c r="H11" s="12" t="str">
        <x:v>48</x:v>
      </x:c>
      <x:c r="I11" s="12" t="str">
        <x:v>0.0</x:v>
      </x:c>
      <x:c r="J11" s="12" t="str">
        <x:v>0.0</x:v>
      </x:c>
      <x:c r="K11" s="12" t="str">
        <x:v>47.0</x:v>
      </x:c>
      <x:c r="L11" s="12" t="str">
        <x:v>47.0</x:v>
      </x:c>
      <x:c r="M11" s="12" t="str">
        <x:v>True</x:v>
      </x:c>
      <x:c r="N11" s="12" t="str">
        <x:v>68</x:v>
      </x:c>
      <x:c r="O11" s="12" t="str">
        <x:v>68</x:v>
      </x:c>
      <x:c r="P11" s="16" t="str">
        <x:v>1.0</x:v>
      </x:c>
      <x:c r="Q11" s="12" t="str">
        <x:v>67</x:v>
      </x:c>
      <x:c r="R11" s="16" t="str">
        <x:v>0.9852941176470589</x:v>
      </x:c>
      <x:c r="S11" s="12" t="str">
        <x:v>0.2</x:v>
      </x:c>
      <x:c r="T11" s="12" t="str">
        <x:v>68</x:v>
      </x:c>
      <x:c r="U11" s="16" t="str">
        <x:v>1.0</x:v>
      </x:c>
      <x:c r="V11" s="18" t="str">
        <x:v>0.6323605179786682</x:v>
      </x:c>
      <x:c r="W11" s="18" t="str">
        <x:v>0.7732231140136718</x:v>
      </x:c>
      <x:c r="X11" s="18" t="str">
        <x:v>0.8204666376113892</x:v>
      </x:c>
      <x:c r="Y11" s="18" t="str">
        <x:v>0.8283131122589111</x:v>
      </x:c>
      <x:c r="Z11" s="18" t="str">
        <x:v>0.8707395076751709</x:v>
      </x:c>
      <x:c r="AA11" s="18" t="str">
        <x:v>0.8815305233001709</x:v>
      </x:c>
      <x:c r="AB11" s="20" t="str">
        <x:v>153.89340000547236</x:v>
      </x:c>
      <x:c r="AC11" s="12" t="str">
        <x:v>overlays\angry_010.png</x:v>
      </x:c>
      <x:c r="AD11" s="12" t="str"/>
      <x:c r="AE11" s="12" t="str"/>
      <x:c r="AF11" s="12" t="str">
        <x:v>acceptable</x:v>
      </x:c>
      <x:c r="AG11" s="12" t="n">
        <x:v>1</x:v>
      </x:c>
      <x:c r="AH11" s="12" t="str">
        <x:v>acceptable</x:v>
      </x:c>
      <x:c r="AI11" s="12" t="str">
        <x:v>acceptable</x:v>
      </x:c>
      <x:c r="AJ11" s="12" t="str">
        <x:v>acceptable</x:v>
      </x:c>
      <x:c r="AK11" s="12" t="str">
        <x:v>not_applicable</x:v>
      </x:c>
      <x:c r="AL11" s="12" t="str">
        <x:v>mild</x:v>
      </x:c>
      <x:c r="AM11" s="14" t="str">
        <x:v>Moderate pose, crop, blur, or facial texture causes minor landmark uncertainty; the result remains usable.</x:v>
      </x:c>
    </x:row>
    <x:row r="12" ht="28" customHeight="1">
      <x:c r="A12" s="12" t="str">
        <x:v>angry_011</x:v>
      </x:c>
      <x:c r="B12" s="12" t="str">
        <x:v>angry</x:v>
      </x:c>
      <x:c r="C12" s="14" t="str">
        <x:v>angry/Training_72939025.jpg</x:v>
      </x:c>
      <x:c r="D12" s="12" t="str">
        <x:v>33541ee71d63d5395cd67defab891e53328f9679a5807d733bdf298886535d60</x:v>
      </x:c>
      <x:c r="E12" s="12" t="str">
        <x:v>33541ee71d63d5395cd67defab891e53328f9679a5807d733bdf298886535d60</x:v>
      </x:c>
      <x:c r="F12" s="12" t="str">
        <x:v>True</x:v>
      </x:c>
      <x:c r="G12" s="12" t="str">
        <x:v>48</x:v>
      </x:c>
      <x:c r="H12" s="12" t="str">
        <x:v>48</x:v>
      </x:c>
      <x:c r="I12" s="12" t="str">
        <x:v>0.0</x:v>
      </x:c>
      <x:c r="J12" s="12" t="str">
        <x:v>0.0</x:v>
      </x:c>
      <x:c r="K12" s="12" t="str">
        <x:v>47.0</x:v>
      </x:c>
      <x:c r="L12" s="12" t="str">
        <x:v>47.0</x:v>
      </x:c>
      <x:c r="M12" s="12" t="str">
        <x:v>True</x:v>
      </x:c>
      <x:c r="N12" s="12" t="str">
        <x:v>68</x:v>
      </x:c>
      <x:c r="O12" s="12" t="str">
        <x:v>68</x:v>
      </x:c>
      <x:c r="P12" s="16" t="str">
        <x:v>1.0</x:v>
      </x:c>
      <x:c r="Q12" s="12" t="str">
        <x:v>68</x:v>
      </x:c>
      <x:c r="R12" s="16" t="str">
        <x:v>1.0</x:v>
      </x:c>
      <x:c r="S12" s="12" t="str">
        <x:v>0.2</x:v>
      </x:c>
      <x:c r="T12" s="12" t="str">
        <x:v>68</x:v>
      </x:c>
      <x:c r="U12" s="16" t="str">
        <x:v>1.0</x:v>
      </x:c>
      <x:c r="V12" s="18" t="str">
        <x:v>0.21543830633163452</x:v>
      </x:c>
      <x:c r="W12" s="18" t="str">
        <x:v>0.5260281264781952</x:v>
      </x:c>
      <x:c r="X12" s="18" t="str">
        <x:v>0.7034649848937988</x:v>
      </x:c>
      <x:c r="Y12" s="18" t="str">
        <x:v>0.7589167952537537</x:v>
      </x:c>
      <x:c r="Z12" s="18" t="str">
        <x:v>0.8316122710704804</x:v>
      </x:c>
      <x:c r="AA12" s="18" t="str">
        <x:v>0.8765988349914551</x:v>
      </x:c>
      <x:c r="AB12" s="20" t="str">
        <x:v>187.97449999692617</x:v>
      </x:c>
      <x:c r="AC12" s="12" t="str">
        <x:v>overlays\angry_011.png</x:v>
      </x:c>
      <x:c r="AD12" s="12" t="str"/>
      <x:c r="AE12" s="12" t="str"/>
      <x:c r="AF12" s="12" t="str">
        <x:v>acceptable</x:v>
      </x:c>
      <x:c r="AG12" s="12" t="n">
        <x:v>1</x:v>
      </x:c>
      <x:c r="AH12" s="12" t="str">
        <x:v>acceptable</x:v>
      </x:c>
      <x:c r="AI12" s="12" t="str">
        <x:v>acceptable</x:v>
      </x:c>
      <x:c r="AJ12" s="12" t="str">
        <x:v>acceptable</x:v>
      </x:c>
      <x:c r="AK12" s="12" t="str">
        <x:v>not_applicable</x:v>
      </x:c>
      <x:c r="AL12" s="12" t="str">
        <x:v>mild</x:v>
      </x:c>
      <x:c r="AM12" s="14" t="str">
        <x:v>Large pose or profile; visible landmarks remain useful, while hidden-side and contour points are inferred.</x:v>
      </x:c>
    </x:row>
    <x:row r="13" ht="28" customHeight="1">
      <x:c r="A13" s="12" t="str">
        <x:v>angry_012</x:v>
      </x:c>
      <x:c r="B13" s="12" t="str">
        <x:v>angry</x:v>
      </x:c>
      <x:c r="C13" s="14" t="str">
        <x:v>angry/Training_78937516.jpg</x:v>
      </x:c>
      <x:c r="D13" s="12" t="str">
        <x:v>c064471201858c6fc4d15513906fbb67026d59a9d6461b5e48945c4472dbf1f6</x:v>
      </x:c>
      <x:c r="E13" s="12" t="str">
        <x:v>c064471201858c6fc4d15513906fbb67026d59a9d6461b5e48945c4472dbf1f6</x:v>
      </x:c>
      <x:c r="F13" s="12" t="str">
        <x:v>True</x:v>
      </x:c>
      <x:c r="G13" s="12" t="str">
        <x:v>48</x:v>
      </x:c>
      <x:c r="H13" s="12" t="str">
        <x:v>48</x:v>
      </x:c>
      <x:c r="I13" s="12" t="str">
        <x:v>0.0</x:v>
      </x:c>
      <x:c r="J13" s="12" t="str">
        <x:v>0.0</x:v>
      </x:c>
      <x:c r="K13" s="12" t="str">
        <x:v>47.0</x:v>
      </x:c>
      <x:c r="L13" s="12" t="str">
        <x:v>47.0</x:v>
      </x:c>
      <x:c r="M13" s="12" t="str">
        <x:v>True</x:v>
      </x:c>
      <x:c r="N13" s="12" t="str">
        <x:v>68</x:v>
      </x:c>
      <x:c r="O13" s="12" t="str">
        <x:v>68</x:v>
      </x:c>
      <x:c r="P13" s="16" t="str">
        <x:v>1.0</x:v>
      </x:c>
      <x:c r="Q13" s="12" t="str">
        <x:v>68</x:v>
      </x:c>
      <x:c r="R13" s="16" t="str">
        <x:v>1.0</x:v>
      </x:c>
      <x:c r="S13" s="12" t="str">
        <x:v>0.2</x:v>
      </x:c>
      <x:c r="T13" s="12" t="str">
        <x:v>68</x:v>
      </x:c>
      <x:c r="U13" s="16" t="str">
        <x:v>1.0</x:v>
      </x:c>
      <x:c r="V13" s="18" t="str">
        <x:v>0.4739396870136261</x:v>
      </x:c>
      <x:c r="W13" s="18" t="str">
        <x:v>0.5580335974693298</x:v>
      </x:c>
      <x:c r="X13" s="18" t="str">
        <x:v>0.7547917366027832</x:v>
      </x:c>
      <x:c r="Y13" s="18" t="str">
        <x:v>0.8013366460800171</x:v>
      </x:c>
      <x:c r="Z13" s="18" t="str">
        <x:v>0.8635972023010254</x:v>
      </x:c>
      <x:c r="AA13" s="18" t="str">
        <x:v>0.8957573175430298</x:v>
      </x:c>
      <x:c r="AB13" s="20" t="str">
        <x:v>155.37940000649542</x:v>
      </x:c>
      <x:c r="AC13" s="12" t="str">
        <x:v>overlays\angry_012.png</x:v>
      </x:c>
      <x:c r="AD13" s="12" t="str"/>
      <x:c r="AE13" s="12" t="str"/>
      <x:c r="AF13" s="12" t="str">
        <x:v>good</x:v>
      </x:c>
      <x:c r="AG13" s="12" t="n">
        <x:v>1</x:v>
      </x:c>
      <x:c r="AH13" s="12" t="str">
        <x:v>good</x:v>
      </x:c>
      <x:c r="AI13" s="12" t="str">
        <x:v>good</x:v>
      </x:c>
      <x:c r="AJ13" s="12" t="str">
        <x:v>good</x:v>
      </x:c>
      <x:c r="AK13" s="12" t="str">
        <x:v>not_applicable</x:v>
      </x:c>
      <x:c r="AL13" s="12" t="str">
        <x:v>none</x:v>
      </x:c>
      <x:c r="AM13" s="14" t="str">
        <x:v>Clear and well-aligned facial landmarks with no major pose, crop, or occlusion issue.</x:v>
      </x:c>
    </x:row>
    <x:row r="14" ht="28" customHeight="1">
      <x:c r="A14" s="12" t="str">
        <x:v>angry_013</x:v>
      </x:c>
      <x:c r="B14" s="12" t="str">
        <x:v>angry</x:v>
      </x:c>
      <x:c r="C14" s="14" t="str">
        <x:v>angry/Training_93157085.jpg</x:v>
      </x:c>
      <x:c r="D14" s="12" t="str">
        <x:v>f86c56e98e02ce568b37ef830aa0e1e72dbeaea6e3a70ff87066da1ca54c262c</x:v>
      </x:c>
      <x:c r="E14" s="12" t="str">
        <x:v>f86c56e98e02ce568b37ef830aa0e1e72dbeaea6e3a70ff87066da1ca54c262c</x:v>
      </x:c>
      <x:c r="F14" s="12" t="str">
        <x:v>True</x:v>
      </x:c>
      <x:c r="G14" s="12" t="str">
        <x:v>48</x:v>
      </x:c>
      <x:c r="H14" s="12" t="str">
        <x:v>48</x:v>
      </x:c>
      <x:c r="I14" s="12" t="str">
        <x:v>0.0</x:v>
      </x:c>
      <x:c r="J14" s="12" t="str">
        <x:v>0.0</x:v>
      </x:c>
      <x:c r="K14" s="12" t="str">
        <x:v>47.0</x:v>
      </x:c>
      <x:c r="L14" s="12" t="str">
        <x:v>47.0</x:v>
      </x:c>
      <x:c r="M14" s="12" t="str">
        <x:v>True</x:v>
      </x:c>
      <x:c r="N14" s="12" t="str">
        <x:v>68</x:v>
      </x:c>
      <x:c r="O14" s="12" t="str">
        <x:v>68</x:v>
      </x:c>
      <x:c r="P14" s="16" t="str">
        <x:v>1.0</x:v>
      </x:c>
      <x:c r="Q14" s="12" t="str">
        <x:v>68</x:v>
      </x:c>
      <x:c r="R14" s="16" t="str">
        <x:v>1.0</x:v>
      </x:c>
      <x:c r="S14" s="12" t="str">
        <x:v>0.2</x:v>
      </x:c>
      <x:c r="T14" s="12" t="str">
        <x:v>68</x:v>
      </x:c>
      <x:c r="U14" s="16" t="str">
        <x:v>1.0</x:v>
      </x:c>
      <x:c r="V14" s="18" t="str">
        <x:v>0.5656838417053223</x:v>
      </x:c>
      <x:c r="W14" s="18" t="str">
        <x:v>0.6621591508388519</x:v>
      </x:c>
      <x:c r="X14" s="18" t="str">
        <x:v>0.7884974479675293</x:v>
      </x:c>
      <x:c r="Y14" s="18" t="str">
        <x:v>0.823817253112793</x:v>
      </x:c>
      <x:c r="Z14" s="18" t="str">
        <x:v>0.8721930742263794</x:v>
      </x:c>
      <x:c r="AA14" s="18" t="str">
        <x:v>0.9128830432891846</x:v>
      </x:c>
      <x:c r="AB14" s="20" t="str">
        <x:v>156.59449999657227</x:v>
      </x:c>
      <x:c r="AC14" s="12" t="str">
        <x:v>overlays\angry_013.png</x:v>
      </x:c>
      <x:c r="AD14" s="12" t="str"/>
      <x:c r="AE14" s="12" t="str"/>
      <x:c r="AF14" s="12" t="str">
        <x:v>good</x:v>
      </x:c>
      <x:c r="AG14" s="12" t="n">
        <x:v>1</x:v>
      </x:c>
      <x:c r="AH14" s="12" t="str">
        <x:v>good</x:v>
      </x:c>
      <x:c r="AI14" s="12" t="str">
        <x:v>good</x:v>
      </x:c>
      <x:c r="AJ14" s="12" t="str">
        <x:v>good</x:v>
      </x:c>
      <x:c r="AK14" s="12" t="str">
        <x:v>not_applicable</x:v>
      </x:c>
      <x:c r="AL14" s="12" t="str">
        <x:v>none</x:v>
      </x:c>
      <x:c r="AM14" s="14" t="str">
        <x:v>Clear and well-aligned facial landmarks with no major pose, crop, or occlusion issue.</x:v>
      </x:c>
    </x:row>
    <x:row r="15" ht="28" customHeight="1">
      <x:c r="A15" s="12" t="str">
        <x:v>angry_014</x:v>
      </x:c>
      <x:c r="B15" s="12" t="str">
        <x:v>angry</x:v>
      </x:c>
      <x:c r="C15" s="14" t="str">
        <x:v>angry/Training_60412371.jpg</x:v>
      </x:c>
      <x:c r="D15" s="12" t="str">
        <x:v>fbd264842f18a08455c0d9daafbc5d93ba43afdd3f6ecee53e6a7d68fa5f7fa9</x:v>
      </x:c>
      <x:c r="E15" s="12" t="str">
        <x:v>fbd264842f18a08455c0d9daafbc5d93ba43afdd3f6ecee53e6a7d68fa5f7fa9</x:v>
      </x:c>
      <x:c r="F15" s="12" t="str">
        <x:v>True</x:v>
      </x:c>
      <x:c r="G15" s="12" t="str">
        <x:v>48</x:v>
      </x:c>
      <x:c r="H15" s="12" t="str">
        <x:v>48</x:v>
      </x:c>
      <x:c r="I15" s="12" t="str">
        <x:v>0.0</x:v>
      </x:c>
      <x:c r="J15" s="12" t="str">
        <x:v>0.0</x:v>
      </x:c>
      <x:c r="K15" s="12" t="str">
        <x:v>47.0</x:v>
      </x:c>
      <x:c r="L15" s="12" t="str">
        <x:v>47.0</x:v>
      </x:c>
      <x:c r="M15" s="12" t="str">
        <x:v>True</x:v>
      </x:c>
      <x:c r="N15" s="12" t="str">
        <x:v>68</x:v>
      </x:c>
      <x:c r="O15" s="12" t="str">
        <x:v>68</x:v>
      </x:c>
      <x:c r="P15" s="16" t="str">
        <x:v>1.0</x:v>
      </x:c>
      <x:c r="Q15" s="12" t="str">
        <x:v>50</x:v>
      </x:c>
      <x:c r="R15" s="16" t="str">
        <x:v>0.7352941176470589</x:v>
      </x:c>
      <x:c r="S15" s="12" t="str">
        <x:v>0.2</x:v>
      </x:c>
      <x:c r="T15" s="12" t="str">
        <x:v>68</x:v>
      </x:c>
      <x:c r="U15" s="16" t="str">
        <x:v>1.0</x:v>
      </x:c>
      <x:c r="V15" s="18" t="str">
        <x:v>0.3050330579280853</x:v>
      </x:c>
      <x:c r="W15" s="18" t="str">
        <x:v>0.555689400434494</x:v>
      </x:c>
      <x:c r="X15" s="18" t="str">
        <x:v>0.7192050814628601</x:v>
      </x:c>
      <x:c r="Y15" s="18" t="str">
        <x:v>0.7764044404029846</x:v>
      </x:c>
      <x:c r="Z15" s="18" t="str">
        <x:v>0.8398680925369263</x:v>
      </x:c>
      <x:c r="AA15" s="18" t="str">
        <x:v>0.8842229843139648</x:v>
      </x:c>
      <x:c r="AB15" s="20" t="str">
        <x:v>208.56449999701</x:v>
      </x:c>
      <x:c r="AC15" s="12" t="str">
        <x:v>overlays\angry_014.png</x:v>
      </x:c>
      <x:c r="AD15" s="12" t="str"/>
      <x:c r="AE15" s="12" t="str"/>
      <x:c r="AF15" s="12" t="str">
        <x:v>acceptable</x:v>
      </x:c>
      <x:c r="AG15" s="12" t="n">
        <x:v>1</x:v>
      </x:c>
      <x:c r="AH15" s="12" t="str">
        <x:v>acceptable</x:v>
      </x:c>
      <x:c r="AI15" s="12" t="str">
        <x:v>acceptable</x:v>
      </x:c>
      <x:c r="AJ15" s="12" t="str">
        <x:v>acceptable</x:v>
      </x:c>
      <x:c r="AK15" s="12" t="str">
        <x:v>not_applicable</x:v>
      </x:c>
      <x:c r="AL15" s="12" t="str">
        <x:v>mild</x:v>
      </x:c>
      <x:c r="AM15" s="14" t="str">
        <x:v>Large pose or profile; visible landmarks remain useful, while hidden-side and contour points are inferred.</x:v>
      </x:c>
    </x:row>
    <x:row r="16" ht="28" customHeight="1">
      <x:c r="A16" s="12" t="str">
        <x:v>angry_015</x:v>
      </x:c>
      <x:c r="B16" s="12" t="str">
        <x:v>angry</x:v>
      </x:c>
      <x:c r="C16" s="14" t="str">
        <x:v>angry/Training_18460889.jpg</x:v>
      </x:c>
      <x:c r="D16" s="12" t="str">
        <x:v>52fc36197bf26ce05c038d02261de6fc28b9f604a85f64f5eee631165122bd83</x:v>
      </x:c>
      <x:c r="E16" s="12" t="str">
        <x:v>52fc36197bf26ce05c038d02261de6fc28b9f604a85f64f5eee631165122bd83</x:v>
      </x:c>
      <x:c r="F16" s="12" t="str">
        <x:v>True</x:v>
      </x:c>
      <x:c r="G16" s="12" t="str">
        <x:v>48</x:v>
      </x:c>
      <x:c r="H16" s="12" t="str">
        <x:v>48</x:v>
      </x:c>
      <x:c r="I16" s="12" t="str">
        <x:v>0.0</x:v>
      </x:c>
      <x:c r="J16" s="12" t="str">
        <x:v>0.0</x:v>
      </x:c>
      <x:c r="K16" s="12" t="str">
        <x:v>47.0</x:v>
      </x:c>
      <x:c r="L16" s="12" t="str">
        <x:v>47.0</x:v>
      </x:c>
      <x:c r="M16" s="12" t="str">
        <x:v>True</x:v>
      </x:c>
      <x:c r="N16" s="12" t="str">
        <x:v>68</x:v>
      </x:c>
      <x:c r="O16" s="12" t="str">
        <x:v>68</x:v>
      </x:c>
      <x:c r="P16" s="16" t="str">
        <x:v>1.0</x:v>
      </x:c>
      <x:c r="Q16" s="12" t="str">
        <x:v>67</x:v>
      </x:c>
      <x:c r="R16" s="16" t="str">
        <x:v>0.9852941176470589</x:v>
      </x:c>
      <x:c r="S16" s="12" t="str">
        <x:v>0.2</x:v>
      </x:c>
      <x:c r="T16" s="12" t="str">
        <x:v>68</x:v>
      </x:c>
      <x:c r="U16" s="16" t="str">
        <x:v>1.0</x:v>
      </x:c>
      <x:c r="V16" s="18" t="str">
        <x:v>0.4470670819282532</x:v>
      </x:c>
      <x:c r="W16" s="18" t="str">
        <x:v>0.7125440239906311</x:v>
      </x:c>
      <x:c r="X16" s="18" t="str">
        <x:v>0.798744797706604</x:v>
      </x:c>
      <x:c r="Y16" s="18" t="str">
        <x:v>0.8189538717269897</x:v>
      </x:c>
      <x:c r="Z16" s="18" t="str">
        <x:v>0.8571603119373321</x:v>
      </x:c>
      <x:c r="AA16" s="18" t="str">
        <x:v>0.8847354650497437</x:v>
      </x:c>
      <x:c r="AB16" s="20" t="str">
        <x:v>217.08619999844814</x:v>
      </x:c>
      <x:c r="AC16" s="12" t="str">
        <x:v>overlays\angry_015.png</x:v>
      </x:c>
      <x:c r="AD16" s="12" t="str"/>
      <x:c r="AE16" s="12" t="str"/>
      <x:c r="AF16" s="12" t="str">
        <x:v>good</x:v>
      </x:c>
      <x:c r="AG16" s="12" t="n">
        <x:v>1</x:v>
      </x:c>
      <x:c r="AH16" s="12" t="str">
        <x:v>good</x:v>
      </x:c>
      <x:c r="AI16" s="12" t="str">
        <x:v>good</x:v>
      </x:c>
      <x:c r="AJ16" s="12" t="str">
        <x:v>good</x:v>
      </x:c>
      <x:c r="AK16" s="12" t="str">
        <x:v>not_applicable</x:v>
      </x:c>
      <x:c r="AL16" s="12" t="str">
        <x:v>none</x:v>
      </x:c>
      <x:c r="AM16" s="14" t="str">
        <x:v>Clear and well-aligned facial landmarks with no major pose, crop, or occlusion issue.</x:v>
      </x:c>
    </x:row>
    <x:row r="17" ht="28" customHeight="1">
      <x:c r="A17" s="12" t="str">
        <x:v>angry_016</x:v>
      </x:c>
      <x:c r="B17" s="12" t="str">
        <x:v>angry</x:v>
      </x:c>
      <x:c r="C17" s="14" t="str">
        <x:v>angry/Training_65004742.jpg</x:v>
      </x:c>
      <x:c r="D17" s="12" t="str">
        <x:v>220af1794a253f11d0183fde5db5341a9519e1b08abd05e1387262217a4052b6</x:v>
      </x:c>
      <x:c r="E17" s="12" t="str">
        <x:v>220af1794a253f11d0183fde5db5341a9519e1b08abd05e1387262217a4052b6</x:v>
      </x:c>
      <x:c r="F17" s="12" t="str">
        <x:v>True</x:v>
      </x:c>
      <x:c r="G17" s="12" t="str">
        <x:v>48</x:v>
      </x:c>
      <x:c r="H17" s="12" t="str">
        <x:v>48</x:v>
      </x:c>
      <x:c r="I17" s="12" t="str">
        <x:v>0.0</x:v>
      </x:c>
      <x:c r="J17" s="12" t="str">
        <x:v>0.0</x:v>
      </x:c>
      <x:c r="K17" s="12" t="str">
        <x:v>47.0</x:v>
      </x:c>
      <x:c r="L17" s="12" t="str">
        <x:v>47.0</x:v>
      </x:c>
      <x:c r="M17" s="12" t="str">
        <x:v>True</x:v>
      </x:c>
      <x:c r="N17" s="12" t="str">
        <x:v>68</x:v>
      </x:c>
      <x:c r="O17" s="12" t="str">
        <x:v>68</x:v>
      </x:c>
      <x:c r="P17" s="16" t="str">
        <x:v>1.0</x:v>
      </x:c>
      <x:c r="Q17" s="12" t="str">
        <x:v>67</x:v>
      </x:c>
      <x:c r="R17" s="16" t="str">
        <x:v>0.9852941176470589</x:v>
      </x:c>
      <x:c r="S17" s="12" t="str">
        <x:v>0.2</x:v>
      </x:c>
      <x:c r="T17" s="12" t="str">
        <x:v>68</x:v>
      </x:c>
      <x:c r="U17" s="16" t="str">
        <x:v>1.0</x:v>
      </x:c>
      <x:c r="V17" s="18" t="str">
        <x:v>0.5863199830055237</x:v>
      </x:c>
      <x:c r="W17" s="18" t="str">
        <x:v>0.7255394339561463</x:v>
      </x:c>
      <x:c r="X17" s="18" t="str">
        <x:v>0.8190791010856628</x:v>
      </x:c>
      <x:c r="Y17" s="18" t="str">
        <x:v>0.8505411148071289</x:v>
      </x:c>
      <x:c r="Z17" s="18" t="str">
        <x:v>0.8972777783870697</x:v>
      </x:c>
      <x:c r="AA17" s="18" t="str">
        <x:v>0.9204847812652588</x:v>
      </x:c>
      <x:c r="AB17" s="20" t="str">
        <x:v>159.85250000085216</x:v>
      </x:c>
      <x:c r="AC17" s="12" t="str">
        <x:v>overlays\angry_016.png</x:v>
      </x:c>
      <x:c r="AD17" s="12" t="str"/>
      <x:c r="AE17" s="12" t="str"/>
      <x:c r="AF17" s="12" t="str">
        <x:v>acceptable</x:v>
      </x:c>
      <x:c r="AG17" s="12" t="n">
        <x:v>1</x:v>
      </x:c>
      <x:c r="AH17" s="12" t="str">
        <x:v>acceptable</x:v>
      </x:c>
      <x:c r="AI17" s="12" t="str">
        <x:v>acceptable</x:v>
      </x:c>
      <x:c r="AJ17" s="12" t="str">
        <x:v>acceptable</x:v>
      </x:c>
      <x:c r="AK17" s="12" t="str">
        <x:v>acceptable</x:v>
      </x:c>
      <x:c r="AL17" s="12" t="str">
        <x:v>mild</x:v>
      </x:c>
      <x:c r="AM17" s="14" t="str">
        <x:v>Moderate pose, crop, blur, or facial texture causes minor landmark uncertainty; the result remains usable.</x:v>
      </x:c>
    </x:row>
    <x:row r="18" ht="28" customHeight="1">
      <x:c r="A18" s="12" t="str">
        <x:v>angry_017</x:v>
      </x:c>
      <x:c r="B18" s="12" t="str">
        <x:v>angry</x:v>
      </x:c>
      <x:c r="C18" s="14" t="str">
        <x:v>angry/Training_48839677.jpg</x:v>
      </x:c>
      <x:c r="D18" s="12" t="str">
        <x:v>c073703ccad2077a6b918629d2e901fe9f649b366890af75412e1979661b2748</x:v>
      </x:c>
      <x:c r="E18" s="12" t="str">
        <x:v>c073703ccad2077a6b918629d2e901fe9f649b366890af75412e1979661b2748</x:v>
      </x:c>
      <x:c r="F18" s="12" t="str">
        <x:v>True</x:v>
      </x:c>
      <x:c r="G18" s="12" t="str">
        <x:v>48</x:v>
      </x:c>
      <x:c r="H18" s="12" t="str">
        <x:v>48</x:v>
      </x:c>
      <x:c r="I18" s="12" t="str">
        <x:v>0.0</x:v>
      </x:c>
      <x:c r="J18" s="12" t="str">
        <x:v>0.0</x:v>
      </x:c>
      <x:c r="K18" s="12" t="str">
        <x:v>47.0</x:v>
      </x:c>
      <x:c r="L18" s="12" t="str">
        <x:v>47.0</x:v>
      </x:c>
      <x:c r="M18" s="12" t="str">
        <x:v>True</x:v>
      </x:c>
      <x:c r="N18" s="12" t="str">
        <x:v>68</x:v>
      </x:c>
      <x:c r="O18" s="12" t="str">
        <x:v>68</x:v>
      </x:c>
      <x:c r="P18" s="16" t="str">
        <x:v>1.0</x:v>
      </x:c>
      <x:c r="Q18" s="12" t="str">
        <x:v>66</x:v>
      </x:c>
      <x:c r="R18" s="16" t="str">
        <x:v>0.9705882352941176</x:v>
      </x:c>
      <x:c r="S18" s="12" t="str">
        <x:v>0.2</x:v>
      </x:c>
      <x:c r="T18" s="12" t="str">
        <x:v>68</x:v>
      </x:c>
      <x:c r="U18" s="16" t="str">
        <x:v>1.0</x:v>
      </x:c>
      <x:c r="V18" s="18" t="str">
        <x:v>0.7541812658309937</x:v>
      </x:c>
      <x:c r="W18" s="18" t="str">
        <x:v>0.7827376127243042</x:v>
      </x:c>
      <x:c r="X18" s="18" t="str">
        <x:v>0.8357406854629517</x:v>
      </x:c>
      <x:c r="Y18" s="18" t="str">
        <x:v>0.8475568294525146</x:v>
      </x:c>
      <x:c r="Z18" s="18" t="str">
        <x:v>0.875003206729889</x:v>
      </x:c>
      <x:c r="AA18" s="18" t="str">
        <x:v>0.8938795328140259</x:v>
      </x:c>
      <x:c r="AB18" s="20" t="str">
        <x:v>170.226599999296</x:v>
      </x:c>
      <x:c r="AC18" s="12" t="str">
        <x:v>overlays\angry_017.png</x:v>
      </x:c>
      <x:c r="AD18" s="12" t="str"/>
      <x:c r="AE18" s="12" t="str"/>
      <x:c r="AF18" s="12" t="str">
        <x:v>acceptable</x:v>
      </x:c>
      <x:c r="AG18" s="12" t="n">
        <x:v>1</x:v>
      </x:c>
      <x:c r="AH18" s="12" t="str">
        <x:v>acceptable</x:v>
      </x:c>
      <x:c r="AI18" s="12" t="str">
        <x:v>acceptable</x:v>
      </x:c>
      <x:c r="AJ18" s="12" t="str">
        <x:v>acceptable</x:v>
      </x:c>
      <x:c r="AK18" s="12" t="str">
        <x:v>not_applicable</x:v>
      </x:c>
      <x:c r="AL18" s="12" t="str">
        <x:v>mild</x:v>
      </x:c>
      <x:c r="AM18" s="14" t="str">
        <x:v>Moderate pose, crop, blur, or facial texture causes minor landmark uncertainty; the result remains usable.</x:v>
      </x:c>
    </x:row>
    <x:row r="19" ht="28" customHeight="1">
      <x:c r="A19" s="12" t="str">
        <x:v>angry_018</x:v>
      </x:c>
      <x:c r="B19" s="12" t="str">
        <x:v>angry</x:v>
      </x:c>
      <x:c r="C19" s="14" t="str">
        <x:v>angry/Training_13521344.jpg</x:v>
      </x:c>
      <x:c r="D19" s="12" t="str">
        <x:v>03c9792a9e1189159ae753decaa00b88e225c78691e013dae4963fbc2e128c2f</x:v>
      </x:c>
      <x:c r="E19" s="12" t="str">
        <x:v>03c9792a9e1189159ae753decaa00b88e225c78691e013dae4963fbc2e128c2f</x:v>
      </x:c>
      <x:c r="F19" s="12" t="str">
        <x:v>True</x:v>
      </x:c>
      <x:c r="G19" s="12" t="str">
        <x:v>48</x:v>
      </x:c>
      <x:c r="H19" s="12" t="str">
        <x:v>48</x:v>
      </x:c>
      <x:c r="I19" s="12" t="str">
        <x:v>0.0</x:v>
      </x:c>
      <x:c r="J19" s="12" t="str">
        <x:v>0.0</x:v>
      </x:c>
      <x:c r="K19" s="12" t="str">
        <x:v>47.0</x:v>
      </x:c>
      <x:c r="L19" s="12" t="str">
        <x:v>47.0</x:v>
      </x:c>
      <x:c r="M19" s="12" t="str">
        <x:v>True</x:v>
      </x:c>
      <x:c r="N19" s="12" t="str">
        <x:v>68</x:v>
      </x:c>
      <x:c r="O19" s="12" t="str">
        <x:v>68</x:v>
      </x:c>
      <x:c r="P19" s="16" t="str">
        <x:v>1.0</x:v>
      </x:c>
      <x:c r="Q19" s="12" t="str">
        <x:v>68</x:v>
      </x:c>
      <x:c r="R19" s="16" t="str">
        <x:v>1.0</x:v>
      </x:c>
      <x:c r="S19" s="12" t="str">
        <x:v>0.2</x:v>
      </x:c>
      <x:c r="T19" s="12" t="str">
        <x:v>68</x:v>
      </x:c>
      <x:c r="U19" s="16" t="str">
        <x:v>1.0</x:v>
      </x:c>
      <x:c r="V19" s="18" t="str">
        <x:v>0.5735316872596741</x:v>
      </x:c>
      <x:c r="W19" s="18" t="str">
        <x:v>0.6490330755710602</x:v>
      </x:c>
      <x:c r="X19" s="18" t="str">
        <x:v>0.7707309126853943</x:v>
      </x:c>
      <x:c r="Y19" s="18" t="str">
        <x:v>0.7956443428993225</x:v>
      </x:c>
      <x:c r="Z19" s="18" t="str">
        <x:v>0.8542136788368225</x:v>
      </x:c>
      <x:c r="AA19" s="18" t="str">
        <x:v>0.8642594218254089</x:v>
      </x:c>
      <x:c r="AB19" s="20" t="str">
        <x:v>179.67119999957504</x:v>
      </x:c>
      <x:c r="AC19" s="12" t="str">
        <x:v>overlays\angry_018.png</x:v>
      </x:c>
      <x:c r="AD19" s="12" t="str"/>
      <x:c r="AE19" s="12" t="str"/>
      <x:c r="AF19" s="12" t="str">
        <x:v>good</x:v>
      </x:c>
      <x:c r="AG19" s="12" t="n">
        <x:v>1</x:v>
      </x:c>
      <x:c r="AH19" s="12" t="str">
        <x:v>good</x:v>
      </x:c>
      <x:c r="AI19" s="12" t="str">
        <x:v>good</x:v>
      </x:c>
      <x:c r="AJ19" s="12" t="str">
        <x:v>good</x:v>
      </x:c>
      <x:c r="AK19" s="12" t="str">
        <x:v>good</x:v>
      </x:c>
      <x:c r="AL19" s="12" t="str">
        <x:v>none</x:v>
      </x:c>
      <x:c r="AM19" s="14" t="str">
        <x:v>Clear and well-aligned facial landmarks with no major pose, crop, or occlusion issue.</x:v>
      </x:c>
    </x:row>
    <x:row r="20" ht="28" customHeight="1">
      <x:c r="A20" s="12" t="str">
        <x:v>angry_019</x:v>
      </x:c>
      <x:c r="B20" s="12" t="str">
        <x:v>angry</x:v>
      </x:c>
      <x:c r="C20" s="14" t="str">
        <x:v>angry/Training_13196511.jpg</x:v>
      </x:c>
      <x:c r="D20" s="12" t="str">
        <x:v>cfad1fc131ea9ec53efb02ef36b43fce24a60e1ee328abe98fa77f9e06afdca3</x:v>
      </x:c>
      <x:c r="E20" s="12" t="str">
        <x:v>cfad1fc131ea9ec53efb02ef36b43fce24a60e1ee328abe98fa77f9e06afdca3</x:v>
      </x:c>
      <x:c r="F20" s="12" t="str">
        <x:v>True</x:v>
      </x:c>
      <x:c r="G20" s="12" t="str">
        <x:v>48</x:v>
      </x:c>
      <x:c r="H20" s="12" t="str">
        <x:v>48</x:v>
      </x:c>
      <x:c r="I20" s="12" t="str">
        <x:v>0.0</x:v>
      </x:c>
      <x:c r="J20" s="12" t="str">
        <x:v>0.0</x:v>
      </x:c>
      <x:c r="K20" s="12" t="str">
        <x:v>47.0</x:v>
      </x:c>
      <x:c r="L20" s="12" t="str">
        <x:v>47.0</x:v>
      </x:c>
      <x:c r="M20" s="12" t="str">
        <x:v>True</x:v>
      </x:c>
      <x:c r="N20" s="12" t="str">
        <x:v>68</x:v>
      </x:c>
      <x:c r="O20" s="12" t="str">
        <x:v>68</x:v>
      </x:c>
      <x:c r="P20" s="16" t="str">
        <x:v>1.0</x:v>
      </x:c>
      <x:c r="Q20" s="12" t="str">
        <x:v>68</x:v>
      </x:c>
      <x:c r="R20" s="16" t="str">
        <x:v>1.0</x:v>
      </x:c>
      <x:c r="S20" s="12" t="str">
        <x:v>0.2</x:v>
      </x:c>
      <x:c r="T20" s="12" t="str">
        <x:v>68</x:v>
      </x:c>
      <x:c r="U20" s="16" t="str">
        <x:v>1.0</x:v>
      </x:c>
      <x:c r="V20" s="18" t="str">
        <x:v>0.47883671522140503</x:v>
      </x:c>
      <x:c r="W20" s="18" t="str">
        <x:v>0.6433642387390137</x:v>
      </x:c>
      <x:c r="X20" s="18" t="str">
        <x:v>0.7743304967880249</x:v>
      </x:c>
      <x:c r="Y20" s="18" t="str">
        <x:v>0.7979565858840942</x:v>
      </x:c>
      <x:c r="Z20" s="18" t="str">
        <x:v>0.8685004889965058</x:v>
      </x:c>
      <x:c r="AA20" s="18" t="str">
        <x:v>0.915255606174469</x:v>
      </x:c>
      <x:c r="AB20" s="20" t="str">
        <x:v>152.12639999663224</x:v>
      </x:c>
      <x:c r="AC20" s="12" t="str">
        <x:v>overlays\angry_019.png</x:v>
      </x:c>
      <x:c r="AD20" s="12" t="str"/>
      <x:c r="AE20" s="12" t="str"/>
      <x:c r="AF20" s="12" t="str">
        <x:v>good</x:v>
      </x:c>
      <x:c r="AG20" s="12" t="n">
        <x:v>1</x:v>
      </x:c>
      <x:c r="AH20" s="12" t="str">
        <x:v>good</x:v>
      </x:c>
      <x:c r="AI20" s="12" t="str">
        <x:v>good</x:v>
      </x:c>
      <x:c r="AJ20" s="12" t="str">
        <x:v>good</x:v>
      </x:c>
      <x:c r="AK20" s="12" t="str">
        <x:v>not_applicable</x:v>
      </x:c>
      <x:c r="AL20" s="12" t="str">
        <x:v>none</x:v>
      </x:c>
      <x:c r="AM20" s="14" t="str">
        <x:v>Clear and well-aligned facial landmarks with no major pose, crop, or occlusion issue.</x:v>
      </x:c>
    </x:row>
    <x:row r="21" ht="28" customHeight="1">
      <x:c r="A21" s="12" t="str">
        <x:v>angry_020</x:v>
      </x:c>
      <x:c r="B21" s="12" t="str">
        <x:v>angry</x:v>
      </x:c>
      <x:c r="C21" s="14" t="str">
        <x:v>angry/Training_18894040.jpg</x:v>
      </x:c>
      <x:c r="D21" s="12" t="str">
        <x:v>e13cdc92e42ae5675903eccaeed7f9fcd8f3e397ba6a3ddd37b832730ab4ce21</x:v>
      </x:c>
      <x:c r="E21" s="12" t="str">
        <x:v>e13cdc92e42ae5675903eccaeed7f9fcd8f3e397ba6a3ddd37b832730ab4ce21</x:v>
      </x:c>
      <x:c r="F21" s="12" t="str">
        <x:v>True</x:v>
      </x:c>
      <x:c r="G21" s="12" t="str">
        <x:v>48</x:v>
      </x:c>
      <x:c r="H21" s="12" t="str">
        <x:v>48</x:v>
      </x:c>
      <x:c r="I21" s="12" t="str">
        <x:v>0.0</x:v>
      </x:c>
      <x:c r="J21" s="12" t="str">
        <x:v>0.0</x:v>
      </x:c>
      <x:c r="K21" s="12" t="str">
        <x:v>47.0</x:v>
      </x:c>
      <x:c r="L21" s="12" t="str">
        <x:v>47.0</x:v>
      </x:c>
      <x:c r="M21" s="12" t="str">
        <x:v>True</x:v>
      </x:c>
      <x:c r="N21" s="12" t="str">
        <x:v>68</x:v>
      </x:c>
      <x:c r="O21" s="12" t="str">
        <x:v>68</x:v>
      </x:c>
      <x:c r="P21" s="16" t="str">
        <x:v>1.0</x:v>
      </x:c>
      <x:c r="Q21" s="12" t="str">
        <x:v>68</x:v>
      </x:c>
      <x:c r="R21" s="16" t="str">
        <x:v>1.0</x:v>
      </x:c>
      <x:c r="S21" s="12" t="str">
        <x:v>0.2</x:v>
      </x:c>
      <x:c r="T21" s="12" t="str">
        <x:v>68</x:v>
      </x:c>
      <x:c r="U21" s="16" t="str">
        <x:v>1.0</x:v>
      </x:c>
      <x:c r="V21" s="18" t="str">
        <x:v>0.535783052444458</x:v>
      </x:c>
      <x:c r="W21" s="18" t="str">
        <x:v>0.6665933787822723</x:v>
      </x:c>
      <x:c r="X21" s="18" t="str">
        <x:v>0.7853886485099792</x:v>
      </x:c>
      <x:c r="Y21" s="18" t="str">
        <x:v>0.8129857778549194</x:v>
      </x:c>
      <x:c r="Z21" s="18" t="str">
        <x:v>0.866327702999115</x:v>
      </x:c>
      <x:c r="AA21" s="18" t="str">
        <x:v>0.8984283208847046</x:v>
      </x:c>
      <x:c r="AB21" s="20" t="str">
        <x:v>154.41009999631206</x:v>
      </x:c>
      <x:c r="AC21" s="12" t="str">
        <x:v>overlays\angry_020.png</x:v>
      </x:c>
      <x:c r="AD21" s="12" t="str"/>
      <x:c r="AE21" s="12" t="str"/>
      <x:c r="AF21" s="12" t="str">
        <x:v>good</x:v>
      </x:c>
      <x:c r="AG21" s="12" t="n">
        <x:v>1</x:v>
      </x:c>
      <x:c r="AH21" s="12" t="str">
        <x:v>good</x:v>
      </x:c>
      <x:c r="AI21" s="12" t="str">
        <x:v>good</x:v>
      </x:c>
      <x:c r="AJ21" s="12" t="str">
        <x:v>good</x:v>
      </x:c>
      <x:c r="AK21" s="12" t="str">
        <x:v>good</x:v>
      </x:c>
      <x:c r="AL21" s="12" t="str">
        <x:v>none</x:v>
      </x:c>
      <x:c r="AM21" s="14" t="str">
        <x:v>Clear and well-aligned facial landmarks with no major pose, crop, or occlusion issue.</x:v>
      </x:c>
    </x:row>
    <x:row r="22" ht="28" customHeight="1">
      <x:c r="A22" s="12" t="str">
        <x:v>angry_021</x:v>
      </x:c>
      <x:c r="B22" s="12" t="str">
        <x:v>angry</x:v>
      </x:c>
      <x:c r="C22" s="14" t="str">
        <x:v>angry/Training_30148518.jpg</x:v>
      </x:c>
      <x:c r="D22" s="12" t="str">
        <x:v>9458edfc61c6292fef0fc7931f80ef7e477e91ba3c05c93b187adc24ace970de</x:v>
      </x:c>
      <x:c r="E22" s="12" t="str">
        <x:v>9458edfc61c6292fef0fc7931f80ef7e477e91ba3c05c93b187adc24ace970de</x:v>
      </x:c>
      <x:c r="F22" s="12" t="str">
        <x:v>True</x:v>
      </x:c>
      <x:c r="G22" s="12" t="str">
        <x:v>48</x:v>
      </x:c>
      <x:c r="H22" s="12" t="str">
        <x:v>48</x:v>
      </x:c>
      <x:c r="I22" s="12" t="str">
        <x:v>0.0</x:v>
      </x:c>
      <x:c r="J22" s="12" t="str">
        <x:v>0.0</x:v>
      </x:c>
      <x:c r="K22" s="12" t="str">
        <x:v>47.0</x:v>
      </x:c>
      <x:c r="L22" s="12" t="str">
        <x:v>47.0</x:v>
      </x:c>
      <x:c r="M22" s="12" t="str">
        <x:v>True</x:v>
      </x:c>
      <x:c r="N22" s="12" t="str">
        <x:v>68</x:v>
      </x:c>
      <x:c r="O22" s="12" t="str">
        <x:v>68</x:v>
      </x:c>
      <x:c r="P22" s="16" t="str">
        <x:v>1.0</x:v>
      </x:c>
      <x:c r="Q22" s="12" t="str">
        <x:v>54</x:v>
      </x:c>
      <x:c r="R22" s="16" t="str">
        <x:v>0.7941176470588235</x:v>
      </x:c>
      <x:c r="S22" s="12" t="str">
        <x:v>0.2</x:v>
      </x:c>
      <x:c r="T22" s="12" t="str">
        <x:v>68</x:v>
      </x:c>
      <x:c r="U22" s="16" t="str">
        <x:v>1.0</x:v>
      </x:c>
      <x:c r="V22" s="18" t="str">
        <x:v>0.6093747019767761</x:v>
      </x:c>
      <x:c r="W22" s="18" t="str">
        <x:v>0.7002278327941894</x:v>
      </x:c>
      <x:c r="X22" s="18" t="str">
        <x:v>0.7890389561653137</x:v>
      </x:c>
      <x:c r="Y22" s="18" t="str">
        <x:v>0.7911689281463623</x:v>
      </x:c>
      <x:c r="Z22" s="18" t="str">
        <x:v>0.875809246301651</x:v>
      </x:c>
      <x:c r="AA22" s="18" t="str">
        <x:v>0.9154780507087708</x:v>
      </x:c>
      <x:c r="AB22" s="20" t="str">
        <x:v>151.60380000452278</x:v>
      </x:c>
      <x:c r="AC22" s="12" t="str">
        <x:v>overlays\angry_021.png</x:v>
      </x:c>
      <x:c r="AD22" s="12" t="str"/>
      <x:c r="AE22" s="12" t="str"/>
      <x:c r="AF22" s="12" t="str">
        <x:v>acceptable</x:v>
      </x:c>
      <x:c r="AG22" s="12" t="n">
        <x:v>1</x:v>
      </x:c>
      <x:c r="AH22" s="12" t="str">
        <x:v>acceptable</x:v>
      </x:c>
      <x:c r="AI22" s="12" t="str">
        <x:v>acceptable</x:v>
      </x:c>
      <x:c r="AJ22" s="12" t="str">
        <x:v>acceptable</x:v>
      </x:c>
      <x:c r="AK22" s="12" t="str">
        <x:v>acceptable</x:v>
      </x:c>
      <x:c r="AL22" s="12" t="str">
        <x:v>mild</x:v>
      </x:c>
      <x:c r="AM22" s="14" t="str">
        <x:v>Large pose or profile; visible landmarks remain useful, while hidden-side and contour points are inferred.</x:v>
      </x:c>
    </x:row>
    <x:row r="23" ht="28" customHeight="1">
      <x:c r="A23" s="12" t="str">
        <x:v>angry_022</x:v>
      </x:c>
      <x:c r="B23" s="12" t="str">
        <x:v>angry</x:v>
      </x:c>
      <x:c r="C23" s="14" t="str">
        <x:v>angry/Training_3161929.jpg</x:v>
      </x:c>
      <x:c r="D23" s="12" t="str">
        <x:v>c7380331f2e10bb441131f930e8a2526392ae0a6845461bd19578c43c1e19c38</x:v>
      </x:c>
      <x:c r="E23" s="12" t="str">
        <x:v>c7380331f2e10bb441131f930e8a2526392ae0a6845461bd19578c43c1e19c38</x:v>
      </x:c>
      <x:c r="F23" s="12" t="str">
        <x:v>True</x:v>
      </x:c>
      <x:c r="G23" s="12" t="str">
        <x:v>48</x:v>
      </x:c>
      <x:c r="H23" s="12" t="str">
        <x:v>48</x:v>
      </x:c>
      <x:c r="I23" s="12" t="str">
        <x:v>0.0</x:v>
      </x:c>
      <x:c r="J23" s="12" t="str">
        <x:v>0.0</x:v>
      </x:c>
      <x:c r="K23" s="12" t="str">
        <x:v>47.0</x:v>
      </x:c>
      <x:c r="L23" s="12" t="str">
        <x:v>47.0</x:v>
      </x:c>
      <x:c r="M23" s="12" t="str">
        <x:v>True</x:v>
      </x:c>
      <x:c r="N23" s="12" t="str">
        <x:v>68</x:v>
      </x:c>
      <x:c r="O23" s="12" t="str">
        <x:v>68</x:v>
      </x:c>
      <x:c r="P23" s="16" t="str">
        <x:v>1.0</x:v>
      </x:c>
      <x:c r="Q23" s="12" t="str">
        <x:v>68</x:v>
      </x:c>
      <x:c r="R23" s="16" t="str">
        <x:v>1.0</x:v>
      </x:c>
      <x:c r="S23" s="12" t="str">
        <x:v>0.2</x:v>
      </x:c>
      <x:c r="T23" s="12" t="str">
        <x:v>68</x:v>
      </x:c>
      <x:c r="U23" s="16" t="str">
        <x:v>1.0</x:v>
      </x:c>
      <x:c r="V23" s="18" t="str">
        <x:v>0.4887886345386505</x:v>
      </x:c>
      <x:c r="W23" s="18" t="str">
        <x:v>0.6753459811210633</x:v>
      </x:c>
      <x:c r="X23" s="18" t="str">
        <x:v>0.7964682579040527</x:v>
      </x:c>
      <x:c r="Y23" s="18" t="str">
        <x:v>0.8232053518295288</x:v>
      </x:c>
      <x:c r="Z23" s="18" t="str">
        <x:v>0.8685106694698334</x:v>
      </x:c>
      <x:c r="AA23" s="18" t="str">
        <x:v>0.9073024392127991</x:v>
      </x:c>
      <x:c r="AB23" s="20" t="str">
        <x:v>154.19130000373116</x:v>
      </x:c>
      <x:c r="AC23" s="12" t="str">
        <x:v>overlays\angry_022.png</x:v>
      </x:c>
      <x:c r="AD23" s="12" t="str"/>
      <x:c r="AE23" s="12" t="str"/>
      <x:c r="AF23" s="12" t="str">
        <x:v>good</x:v>
      </x:c>
      <x:c r="AG23" s="12" t="n">
        <x:v>1</x:v>
      </x:c>
      <x:c r="AH23" s="12" t="str">
        <x:v>good</x:v>
      </x:c>
      <x:c r="AI23" s="12" t="str">
        <x:v>good</x:v>
      </x:c>
      <x:c r="AJ23" s="12" t="str">
        <x:v>good</x:v>
      </x:c>
      <x:c r="AK23" s="12" t="str">
        <x:v>good</x:v>
      </x:c>
      <x:c r="AL23" s="12" t="str">
        <x:v>none</x:v>
      </x:c>
      <x:c r="AM23" s="14" t="str">
        <x:v>Clear and well-aligned facial landmarks with no major pose, crop, or occlusion issue.</x:v>
      </x:c>
    </x:row>
    <x:row r="24" ht="28" customHeight="1">
      <x:c r="A24" s="12" t="str">
        <x:v>angry_023</x:v>
      </x:c>
      <x:c r="B24" s="12" t="str">
        <x:v>angry</x:v>
      </x:c>
      <x:c r="C24" s="14" t="str">
        <x:v>angry/Training_56643016.jpg</x:v>
      </x:c>
      <x:c r="D24" s="12" t="str">
        <x:v>2ff1df5aa29366d5250132f718697266d637c6f3566678037101887613d78154</x:v>
      </x:c>
      <x:c r="E24" s="12" t="str">
        <x:v>2ff1df5aa29366d5250132f718697266d637c6f3566678037101887613d78154</x:v>
      </x:c>
      <x:c r="F24" s="12" t="str">
        <x:v>True</x:v>
      </x:c>
      <x:c r="G24" s="12" t="str">
        <x:v>48</x:v>
      </x:c>
      <x:c r="H24" s="12" t="str">
        <x:v>48</x:v>
      </x:c>
      <x:c r="I24" s="12" t="str">
        <x:v>0.0</x:v>
      </x:c>
      <x:c r="J24" s="12" t="str">
        <x:v>0.0</x:v>
      </x:c>
      <x:c r="K24" s="12" t="str">
        <x:v>47.0</x:v>
      </x:c>
      <x:c r="L24" s="12" t="str">
        <x:v>47.0</x:v>
      </x:c>
      <x:c r="M24" s="12" t="str">
        <x:v>True</x:v>
      </x:c>
      <x:c r="N24" s="12" t="str">
        <x:v>68</x:v>
      </x:c>
      <x:c r="O24" s="12" t="str">
        <x:v>68</x:v>
      </x:c>
      <x:c r="P24" s="16" t="str">
        <x:v>1.0</x:v>
      </x:c>
      <x:c r="Q24" s="12" t="str">
        <x:v>68</x:v>
      </x:c>
      <x:c r="R24" s="16" t="str">
        <x:v>1.0</x:v>
      </x:c>
      <x:c r="S24" s="12" t="str">
        <x:v>0.2</x:v>
      </x:c>
      <x:c r="T24" s="12" t="str">
        <x:v>68</x:v>
      </x:c>
      <x:c r="U24" s="16" t="str">
        <x:v>1.0</x:v>
      </x:c>
      <x:c r="V24" s="18" t="str">
        <x:v>0.26131534576416016</x:v>
      </x:c>
      <x:c r="W24" s="18" t="str">
        <x:v>0.6324040293693542</x:v>
      </x:c>
      <x:c r="X24" s="18" t="str">
        <x:v>0.7452393174171448</x:v>
      </x:c>
      <x:c r="Y24" s="18" t="str">
        <x:v>0.7850000858306885</x:v>
      </x:c>
      <x:c r="Z24" s="18" t="str">
        <x:v>0.862156617641449</x:v>
      </x:c>
      <x:c r="AA24" s="18" t="str">
        <x:v>0.8917214274406433</x:v>
      </x:c>
      <x:c r="AB24" s="20" t="str">
        <x:v>169.7132999979658</x:v>
      </x:c>
      <x:c r="AC24" s="12" t="str">
        <x:v>overlays\angry_023.png</x:v>
      </x:c>
      <x:c r="AD24" s="12" t="str"/>
      <x:c r="AE24" s="12" t="str"/>
      <x:c r="AF24" s="12" t="str">
        <x:v>good</x:v>
      </x:c>
      <x:c r="AG24" s="12" t="n">
        <x:v>1</x:v>
      </x:c>
      <x:c r="AH24" s="12" t="str">
        <x:v>good</x:v>
      </x:c>
      <x:c r="AI24" s="12" t="str">
        <x:v>good</x:v>
      </x:c>
      <x:c r="AJ24" s="12" t="str">
        <x:v>good</x:v>
      </x:c>
      <x:c r="AK24" s="12" t="str">
        <x:v>good</x:v>
      </x:c>
      <x:c r="AL24" s="12" t="str">
        <x:v>none</x:v>
      </x:c>
      <x:c r="AM24" s="14" t="str">
        <x:v>Clear and well-aligned facial landmarks with no major pose, crop, or occlusion issue.</x:v>
      </x:c>
    </x:row>
    <x:row r="25" ht="28" customHeight="1">
      <x:c r="A25" s="12" t="str">
        <x:v>angry_024</x:v>
      </x:c>
      <x:c r="B25" s="12" t="str">
        <x:v>angry</x:v>
      </x:c>
      <x:c r="C25" s="14" t="str">
        <x:v>angry/Training_65912489.jpg</x:v>
      </x:c>
      <x:c r="D25" s="12" t="str">
        <x:v>37d0a0ce06f1c3e6d59bd74a7b22f4015c5952033f00e2e3185b5062b5478e88</x:v>
      </x:c>
      <x:c r="E25" s="12" t="str">
        <x:v>37d0a0ce06f1c3e6d59bd74a7b22f4015c5952033f00e2e3185b5062b5478e88</x:v>
      </x:c>
      <x:c r="F25" s="12" t="str">
        <x:v>True</x:v>
      </x:c>
      <x:c r="G25" s="12" t="str">
        <x:v>48</x:v>
      </x:c>
      <x:c r="H25" s="12" t="str">
        <x:v>48</x:v>
      </x:c>
      <x:c r="I25" s="12" t="str">
        <x:v>0.0</x:v>
      </x:c>
      <x:c r="J25" s="12" t="str">
        <x:v>0.0</x:v>
      </x:c>
      <x:c r="K25" s="12" t="str">
        <x:v>47.0</x:v>
      </x:c>
      <x:c r="L25" s="12" t="str">
        <x:v>47.0</x:v>
      </x:c>
      <x:c r="M25" s="12" t="str">
        <x:v>True</x:v>
      </x:c>
      <x:c r="N25" s="12" t="str">
        <x:v>68</x:v>
      </x:c>
      <x:c r="O25" s="12" t="str">
        <x:v>68</x:v>
      </x:c>
      <x:c r="P25" s="16" t="str">
        <x:v>1.0</x:v>
      </x:c>
      <x:c r="Q25" s="12" t="str">
        <x:v>68</x:v>
      </x:c>
      <x:c r="R25" s="16" t="str">
        <x:v>1.0</x:v>
      </x:c>
      <x:c r="S25" s="12" t="str">
        <x:v>0.2</x:v>
      </x:c>
      <x:c r="T25" s="12" t="str">
        <x:v>61</x:v>
      </x:c>
      <x:c r="U25" s="16" t="str">
        <x:v>0.8970588235294118</x:v>
      </x:c>
      <x:c r="V25" s="18" t="str">
        <x:v>0.10052435845136642</x:v>
      </x:c>
      <x:c r="W25" s="18" t="str">
        <x:v>0.20446914285421372</x:v>
      </x:c>
      <x:c r="X25" s="18" t="str">
        <x:v>0.4144675135612488</x:v>
      </x:c>
      <x:c r="Y25" s="18" t="str">
        <x:v>0.43151694536209106</x:v>
      </x:c>
      <x:c r="Z25" s="18" t="str">
        <x:v>0.5807995140552521</x:v>
      </x:c>
      <x:c r="AA25" s="18" t="str">
        <x:v>0.7134888768196106</x:v>
      </x:c>
      <x:c r="AB25" s="20" t="str">
        <x:v>172.9875999953947</x:v>
      </x:c>
      <x:c r="AC25" s="12" t="str">
        <x:v>overlays\angry_024.png</x:v>
      </x:c>
      <x:c r="AD25" s="12" t="str"/>
      <x:c r="AE25" s="12" t="str"/>
      <x:c r="AF25" s="12" t="str">
        <x:v>acceptable</x:v>
      </x:c>
      <x:c r="AG25" s="12" t="n">
        <x:v>1</x:v>
      </x:c>
      <x:c r="AH25" s="12" t="str">
        <x:v>acceptable</x:v>
      </x:c>
      <x:c r="AI25" s="12" t="str">
        <x:v>acceptable</x:v>
      </x:c>
      <x:c r="AJ25" s="12" t="str">
        <x:v>acceptable</x:v>
      </x:c>
      <x:c r="AK25" s="12" t="str">
        <x:v>acceptable</x:v>
      </x:c>
      <x:c r="AL25" s="12" t="str">
        <x:v>mild</x:v>
      </x:c>
      <x:c r="AM25" s="14" t="str">
        <x:v>Blur, low contrast, or unusual appearance lowers confidence, but the landmark geometry remains usable.</x:v>
      </x:c>
    </x:row>
    <x:row r="26" ht="28" customHeight="1">
      <x:c r="A26" s="12" t="str">
        <x:v>angry_025</x:v>
      </x:c>
      <x:c r="B26" s="12" t="str">
        <x:v>angry</x:v>
      </x:c>
      <x:c r="C26" s="14" t="str">
        <x:v>angry/Training_12776681.jpg</x:v>
      </x:c>
      <x:c r="D26" s="12" t="str">
        <x:v>db32a7cc85c28bccb6b76d907bb537ccd1c6bae9a622a79427faf433440b1b32</x:v>
      </x:c>
      <x:c r="E26" s="12" t="str">
        <x:v>db32a7cc85c28bccb6b76d907bb537ccd1c6bae9a622a79427faf433440b1b32</x:v>
      </x:c>
      <x:c r="F26" s="12" t="str">
        <x:v>True</x:v>
      </x:c>
      <x:c r="G26" s="12" t="str">
        <x:v>48</x:v>
      </x:c>
      <x:c r="H26" s="12" t="str">
        <x:v>48</x:v>
      </x:c>
      <x:c r="I26" s="12" t="str">
        <x:v>0.0</x:v>
      </x:c>
      <x:c r="J26" s="12" t="str">
        <x:v>0.0</x:v>
      </x:c>
      <x:c r="K26" s="12" t="str">
        <x:v>47.0</x:v>
      </x:c>
      <x:c r="L26" s="12" t="str">
        <x:v>47.0</x:v>
      </x:c>
      <x:c r="M26" s="12" t="str">
        <x:v>True</x:v>
      </x:c>
      <x:c r="N26" s="12" t="str">
        <x:v>68</x:v>
      </x:c>
      <x:c r="O26" s="12" t="str">
        <x:v>68</x:v>
      </x:c>
      <x:c r="P26" s="16" t="str">
        <x:v>1.0</x:v>
      </x:c>
      <x:c r="Q26" s="12" t="str">
        <x:v>68</x:v>
      </x:c>
      <x:c r="R26" s="16" t="str">
        <x:v>1.0</x:v>
      </x:c>
      <x:c r="S26" s="12" t="str">
        <x:v>0.2</x:v>
      </x:c>
      <x:c r="T26" s="12" t="str">
        <x:v>68</x:v>
      </x:c>
      <x:c r="U26" s="16" t="str">
        <x:v>1.0</x:v>
      </x:c>
      <x:c r="V26" s="18" t="str">
        <x:v>0.4756878614425659</x:v>
      </x:c>
      <x:c r="W26" s="18" t="str">
        <x:v>0.7272332787513733</x:v>
      </x:c>
      <x:c r="X26" s="18" t="str">
        <x:v>0.7943507432937622</x:v>
      </x:c>
      <x:c r="Y26" s="18" t="str">
        <x:v>0.8061256408691406</x:v>
      </x:c>
      <x:c r="Z26" s="18" t="str">
        <x:v>0.8598008215427398</x:v>
      </x:c>
      <x:c r="AA26" s="18" t="str">
        <x:v>0.9117909073829651</x:v>
      </x:c>
      <x:c r="AB26" s="20" t="str">
        <x:v>169.48310000589117</x:v>
      </x:c>
      <x:c r="AC26" s="12" t="str">
        <x:v>overlays\angry_025.png</x:v>
      </x:c>
      <x:c r="AD26" s="12" t="str"/>
      <x:c r="AE26" s="12" t="str"/>
      <x:c r="AF26" s="12" t="str">
        <x:v>good</x:v>
      </x:c>
      <x:c r="AG26" s="12" t="n">
        <x:v>1</x:v>
      </x:c>
      <x:c r="AH26" s="12" t="str">
        <x:v>good</x:v>
      </x:c>
      <x:c r="AI26" s="12" t="str">
        <x:v>good</x:v>
      </x:c>
      <x:c r="AJ26" s="12" t="str">
        <x:v>good</x:v>
      </x:c>
      <x:c r="AK26" s="12" t="str">
        <x:v>good</x:v>
      </x:c>
      <x:c r="AL26" s="12" t="str">
        <x:v>none</x:v>
      </x:c>
      <x:c r="AM26" s="14" t="str">
        <x:v>Clear and well-aligned facial landmarks with no major pose, crop, or occlusion issue.</x:v>
      </x:c>
    </x:row>
    <x:row r="27" ht="28" customHeight="1">
      <x:c r="A27" s="12" t="str">
        <x:v>angry_026</x:v>
      </x:c>
      <x:c r="B27" s="12" t="str">
        <x:v>angry</x:v>
      </x:c>
      <x:c r="C27" s="14" t="str">
        <x:v>angry/Training_62427202.jpg</x:v>
      </x:c>
      <x:c r="D27" s="12" t="str">
        <x:v>9503b21d6ec06437fb0d8f7e2ae97ed8bf07d27f5194da9e6335d72d9581e85f</x:v>
      </x:c>
      <x:c r="E27" s="12" t="str">
        <x:v>9503b21d6ec06437fb0d8f7e2ae97ed8bf07d27f5194da9e6335d72d9581e85f</x:v>
      </x:c>
      <x:c r="F27" s="12" t="str">
        <x:v>True</x:v>
      </x:c>
      <x:c r="G27" s="12" t="str">
        <x:v>48</x:v>
      </x:c>
      <x:c r="H27" s="12" t="str">
        <x:v>48</x:v>
      </x:c>
      <x:c r="I27" s="12" t="str">
        <x:v>0.0</x:v>
      </x:c>
      <x:c r="J27" s="12" t="str">
        <x:v>0.0</x:v>
      </x:c>
      <x:c r="K27" s="12" t="str">
        <x:v>47.0</x:v>
      </x:c>
      <x:c r="L27" s="12" t="str">
        <x:v>47.0</x:v>
      </x:c>
      <x:c r="M27" s="12" t="str">
        <x:v>True</x:v>
      </x:c>
      <x:c r="N27" s="12" t="str">
        <x:v>68</x:v>
      </x:c>
      <x:c r="O27" s="12" t="str">
        <x:v>68</x:v>
      </x:c>
      <x:c r="P27" s="16" t="str">
        <x:v>1.0</x:v>
      </x:c>
      <x:c r="Q27" s="12" t="str">
        <x:v>68</x:v>
      </x:c>
      <x:c r="R27" s="16" t="str">
        <x:v>1.0</x:v>
      </x:c>
      <x:c r="S27" s="12" t="str">
        <x:v>0.2</x:v>
      </x:c>
      <x:c r="T27" s="12" t="str">
        <x:v>68</x:v>
      </x:c>
      <x:c r="U27" s="16" t="str">
        <x:v>1.0</x:v>
      </x:c>
      <x:c r="V27" s="18" t="str">
        <x:v>0.3153001368045807</x:v>
      </x:c>
      <x:c r="W27" s="18" t="str">
        <x:v>0.49829915463924407</x:v>
      </x:c>
      <x:c r="X27" s="18" t="str">
        <x:v>0.7329632043838501</x:v>
      </x:c>
      <x:c r="Y27" s="18" t="str">
        <x:v>0.7891862392425537</x:v>
      </x:c>
      <x:c r="Z27" s="18" t="str">
        <x:v>0.8423636615276336</x:v>
      </x:c>
      <x:c r="AA27" s="18" t="str">
        <x:v>0.8890378475189209</x:v>
      </x:c>
      <x:c r="AB27" s="20" t="str">
        <x:v>164.21829999308102</x:v>
      </x:c>
      <x:c r="AC27" s="12" t="str">
        <x:v>overlays\angry_026.png</x:v>
      </x:c>
      <x:c r="AD27" s="12" t="str"/>
      <x:c r="AE27" s="12" t="str"/>
      <x:c r="AF27" s="12" t="str">
        <x:v>acceptable</x:v>
      </x:c>
      <x:c r="AG27" s="12" t="n">
        <x:v>1</x:v>
      </x:c>
      <x:c r="AH27" s="12" t="str">
        <x:v>acceptable</x:v>
      </x:c>
      <x:c r="AI27" s="12" t="str">
        <x:v>acceptable</x:v>
      </x:c>
      <x:c r="AJ27" s="12" t="str">
        <x:v>acceptable</x:v>
      </x:c>
      <x:c r="AK27" s="12" t="str">
        <x:v>not_applicable</x:v>
      </x:c>
      <x:c r="AL27" s="12" t="str">
        <x:v>mild</x:v>
      </x:c>
      <x:c r="AM27" s="14" t="str">
        <x:v>Moderate pose, crop, blur, or facial texture causes minor landmark uncertainty; the result remains usable.</x:v>
      </x:c>
    </x:row>
    <x:row r="28" ht="28" customHeight="1">
      <x:c r="A28" s="12" t="str">
        <x:v>angry_027</x:v>
      </x:c>
      <x:c r="B28" s="12" t="str">
        <x:v>angry</x:v>
      </x:c>
      <x:c r="C28" s="14" t="str">
        <x:v>angry/Training_28275568.jpg</x:v>
      </x:c>
      <x:c r="D28" s="12" t="str">
        <x:v>068c11ea7d96a1e3407e914e0702aa3efdc472691dd0135ca7f99958ef733410</x:v>
      </x:c>
      <x:c r="E28" s="12" t="str">
        <x:v>068c11ea7d96a1e3407e914e0702aa3efdc472691dd0135ca7f99958ef733410</x:v>
      </x:c>
      <x:c r="F28" s="12" t="str">
        <x:v>True</x:v>
      </x:c>
      <x:c r="G28" s="12" t="str">
        <x:v>48</x:v>
      </x:c>
      <x:c r="H28" s="12" t="str">
        <x:v>48</x:v>
      </x:c>
      <x:c r="I28" s="12" t="str">
        <x:v>0.0</x:v>
      </x:c>
      <x:c r="J28" s="12" t="str">
        <x:v>0.0</x:v>
      </x:c>
      <x:c r="K28" s="12" t="str">
        <x:v>47.0</x:v>
      </x:c>
      <x:c r="L28" s="12" t="str">
        <x:v>47.0</x:v>
      </x:c>
      <x:c r="M28" s="12" t="str">
        <x:v>True</x:v>
      </x:c>
      <x:c r="N28" s="12" t="str">
        <x:v>68</x:v>
      </x:c>
      <x:c r="O28" s="12" t="str">
        <x:v>68</x:v>
      </x:c>
      <x:c r="P28" s="16" t="str">
        <x:v>1.0</x:v>
      </x:c>
      <x:c r="Q28" s="12" t="str">
        <x:v>68</x:v>
      </x:c>
      <x:c r="R28" s="16" t="str">
        <x:v>1.0</x:v>
      </x:c>
      <x:c r="S28" s="12" t="str">
        <x:v>0.2</x:v>
      </x:c>
      <x:c r="T28" s="12" t="str">
        <x:v>68</x:v>
      </x:c>
      <x:c r="U28" s="16" t="str">
        <x:v>1.0</x:v>
      </x:c>
      <x:c r="V28" s="18" t="str">
        <x:v>0.6610215902328491</x:v>
      </x:c>
      <x:c r="W28" s="18" t="str">
        <x:v>0.7583318531513215</x:v>
      </x:c>
      <x:c r="X28" s="18" t="str">
        <x:v>0.8360506296157837</x:v>
      </x:c>
      <x:c r="Y28" s="18" t="str">
        <x:v>0.8510667085647583</x:v>
      </x:c>
      <x:c r="Z28" s="18" t="str">
        <x:v>0.8772883355617523</x:v>
      </x:c>
      <x:c r="AA28" s="18" t="str">
        <x:v>0.9155681729316711</x:v>
      </x:c>
      <x:c r="AB28" s="20" t="str">
        <x:v>162.0586999997613</x:v>
      </x:c>
      <x:c r="AC28" s="12" t="str">
        <x:v>overlays\angry_027.png</x:v>
      </x:c>
      <x:c r="AD28" s="12" t="str"/>
      <x:c r="AE28" s="12" t="str"/>
      <x:c r="AF28" s="12" t="str">
        <x:v>acceptable</x:v>
      </x:c>
      <x:c r="AG28" s="12" t="n">
        <x:v>1</x:v>
      </x:c>
      <x:c r="AH28" s="12" t="str">
        <x:v>acceptable</x:v>
      </x:c>
      <x:c r="AI28" s="12" t="str">
        <x:v>acceptable</x:v>
      </x:c>
      <x:c r="AJ28" s="12" t="str">
        <x:v>acceptable</x:v>
      </x:c>
      <x:c r="AK28" s="12" t="str">
        <x:v>not_applicable</x:v>
      </x:c>
      <x:c r="AL28" s="12" t="str">
        <x:v>mild</x:v>
      </x:c>
      <x:c r="AM28" s="14" t="str">
        <x:v>Large pose or profile; visible landmarks remain useful, while hidden-side and contour points are inferred.</x:v>
      </x:c>
    </x:row>
    <x:row r="29" ht="28" customHeight="1">
      <x:c r="A29" s="12" t="str">
        <x:v>angry_028</x:v>
      </x:c>
      <x:c r="B29" s="12" t="str">
        <x:v>angry</x:v>
      </x:c>
      <x:c r="C29" s="14" t="str">
        <x:v>angry/Training_76878533.jpg</x:v>
      </x:c>
      <x:c r="D29" s="12" t="str">
        <x:v>8c4907a43c971e372391f3e54cfb3851fcb9cd934a0e8b89e05b647e4f8e72b7</x:v>
      </x:c>
      <x:c r="E29" s="12" t="str">
        <x:v>8c4907a43c971e372391f3e54cfb3851fcb9cd934a0e8b89e05b647e4f8e72b7</x:v>
      </x:c>
      <x:c r="F29" s="12" t="str">
        <x:v>True</x:v>
      </x:c>
      <x:c r="G29" s="12" t="str">
        <x:v>48</x:v>
      </x:c>
      <x:c r="H29" s="12" t="str">
        <x:v>48</x:v>
      </x:c>
      <x:c r="I29" s="12" t="str">
        <x:v>0.0</x:v>
      </x:c>
      <x:c r="J29" s="12" t="str">
        <x:v>0.0</x:v>
      </x:c>
      <x:c r="K29" s="12" t="str">
        <x:v>47.0</x:v>
      </x:c>
      <x:c r="L29" s="12" t="str">
        <x:v>47.0</x:v>
      </x:c>
      <x:c r="M29" s="12" t="str">
        <x:v>True</x:v>
      </x:c>
      <x:c r="N29" s="12" t="str">
        <x:v>68</x:v>
      </x:c>
      <x:c r="O29" s="12" t="str">
        <x:v>68</x:v>
      </x:c>
      <x:c r="P29" s="16" t="str">
        <x:v>1.0</x:v>
      </x:c>
      <x:c r="Q29" s="12" t="str">
        <x:v>66</x:v>
      </x:c>
      <x:c r="R29" s="16" t="str">
        <x:v>0.9705882352941176</x:v>
      </x:c>
      <x:c r="S29" s="12" t="str">
        <x:v>0.2</x:v>
      </x:c>
      <x:c r="T29" s="12" t="str">
        <x:v>68</x:v>
      </x:c>
      <x:c r="U29" s="16" t="str">
        <x:v>1.0</x:v>
      </x:c>
      <x:c r="V29" s="18" t="str">
        <x:v>0.7541426420211792</x:v>
      </x:c>
      <x:c r="W29" s="18" t="str">
        <x:v>0.7852186977863311</x:v>
      </x:c>
      <x:c r="X29" s="18" t="str">
        <x:v>0.8357853889465332</x:v>
      </x:c>
      <x:c r="Y29" s="18" t="str">
        <x:v>0.8426487445831299</x:v>
      </x:c>
      <x:c r="Z29" s="18" t="str">
        <x:v>0.8781128227710724</x:v>
      </x:c>
      <x:c r="AA29" s="18" t="str">
        <x:v>0.9080432057380676</x:v>
      </x:c>
      <x:c r="AB29" s="20" t="str">
        <x:v>191.73070000397274</x:v>
      </x:c>
      <x:c r="AC29" s="12" t="str">
        <x:v>overlays\angry_028.png</x:v>
      </x:c>
      <x:c r="AD29" s="12" t="str"/>
      <x:c r="AE29" s="12" t="str"/>
      <x:c r="AF29" s="12" t="str">
        <x:v>good</x:v>
      </x:c>
      <x:c r="AG29" s="12" t="n">
        <x:v>1</x:v>
      </x:c>
      <x:c r="AH29" s="12" t="str">
        <x:v>good</x:v>
      </x:c>
      <x:c r="AI29" s="12" t="str">
        <x:v>good</x:v>
      </x:c>
      <x:c r="AJ29" s="12" t="str">
        <x:v>good</x:v>
      </x:c>
      <x:c r="AK29" s="12" t="str">
        <x:v>not_applicable</x:v>
      </x:c>
      <x:c r="AL29" s="12" t="str">
        <x:v>none</x:v>
      </x:c>
      <x:c r="AM29" s="14" t="str">
        <x:v>Clear and well-aligned facial landmarks with no major pose, crop, or occlusion issue.</x:v>
      </x:c>
    </x:row>
    <x:row r="30" ht="28" customHeight="1">
      <x:c r="A30" s="12" t="str">
        <x:v>angry_029</x:v>
      </x:c>
      <x:c r="B30" s="12" t="str">
        <x:v>angry</x:v>
      </x:c>
      <x:c r="C30" s="14" t="str">
        <x:v>angry/Training_70583545.jpg</x:v>
      </x:c>
      <x:c r="D30" s="12" t="str">
        <x:v>237d6d4f1eb263de9e2bc3f87528520b6b1dc6fa4c77037d51845f1a0e678e4c</x:v>
      </x:c>
      <x:c r="E30" s="12" t="str">
        <x:v>237d6d4f1eb263de9e2bc3f87528520b6b1dc6fa4c77037d51845f1a0e678e4c</x:v>
      </x:c>
      <x:c r="F30" s="12" t="str">
        <x:v>True</x:v>
      </x:c>
      <x:c r="G30" s="12" t="str">
        <x:v>48</x:v>
      </x:c>
      <x:c r="H30" s="12" t="str">
        <x:v>48</x:v>
      </x:c>
      <x:c r="I30" s="12" t="str">
        <x:v>0.0</x:v>
      </x:c>
      <x:c r="J30" s="12" t="str">
        <x:v>0.0</x:v>
      </x:c>
      <x:c r="K30" s="12" t="str">
        <x:v>47.0</x:v>
      </x:c>
      <x:c r="L30" s="12" t="str">
        <x:v>47.0</x:v>
      </x:c>
      <x:c r="M30" s="12" t="str">
        <x:v>True</x:v>
      </x:c>
      <x:c r="N30" s="12" t="str">
        <x:v>68</x:v>
      </x:c>
      <x:c r="O30" s="12" t="str">
        <x:v>68</x:v>
      </x:c>
      <x:c r="P30" s="16" t="str">
        <x:v>1.0</x:v>
      </x:c>
      <x:c r="Q30" s="12" t="str">
        <x:v>68</x:v>
      </x:c>
      <x:c r="R30" s="16" t="str">
        <x:v>1.0</x:v>
      </x:c>
      <x:c r="S30" s="12" t="str">
        <x:v>0.2</x:v>
      </x:c>
      <x:c r="T30" s="12" t="str">
        <x:v>68</x:v>
      </x:c>
      <x:c r="U30" s="16" t="str">
        <x:v>1.0</x:v>
      </x:c>
      <x:c r="V30" s="18" t="str">
        <x:v>0.6686530709266663</x:v>
      </x:c>
      <x:c r="W30" s="18" t="str">
        <x:v>0.7683526337146759</x:v>
      </x:c>
      <x:c r="X30" s="18" t="str">
        <x:v>0.8357476592063904</x:v>
      </x:c>
      <x:c r="Y30" s="18" t="str">
        <x:v>0.8463661670684814</x:v>
      </x:c>
      <x:c r="Z30" s="18" t="str">
        <x:v>0.8807110249996185</x:v>
      </x:c>
      <x:c r="AA30" s="18" t="str">
        <x:v>0.8945096135139465</x:v>
      </x:c>
      <x:c r="AB30" s="20" t="str">
        <x:v>180.01709999953164</x:v>
      </x:c>
      <x:c r="AC30" s="12" t="str">
        <x:v>overlays\angry_029.png</x:v>
      </x:c>
      <x:c r="AD30" s="12" t="str"/>
      <x:c r="AE30" s="12" t="str"/>
      <x:c r="AF30" s="12" t="str">
        <x:v>acceptable</x:v>
      </x:c>
      <x:c r="AG30" s="12" t="n">
        <x:v>1</x:v>
      </x:c>
      <x:c r="AH30" s="12" t="str">
        <x:v>acceptable</x:v>
      </x:c>
      <x:c r="AI30" s="12" t="str">
        <x:v>acceptable</x:v>
      </x:c>
      <x:c r="AJ30" s="12" t="str">
        <x:v>acceptable</x:v>
      </x:c>
      <x:c r="AK30" s="12" t="str">
        <x:v>not_applicable</x:v>
      </x:c>
      <x:c r="AL30" s="12" t="str">
        <x:v>mild</x:v>
      </x:c>
      <x:c r="AM30" s="14" t="str">
        <x:v>Moderate pose, crop, blur, or facial texture causes minor landmark uncertainty; the result remains usable.</x:v>
      </x:c>
    </x:row>
    <x:row r="31" ht="28" customHeight="1">
      <x:c r="A31" s="12" t="str">
        <x:v>angry_030</x:v>
      </x:c>
      <x:c r="B31" s="12" t="str">
        <x:v>angry</x:v>
      </x:c>
      <x:c r="C31" s="14" t="str">
        <x:v>angry/Training_75201127.jpg</x:v>
      </x:c>
      <x:c r="D31" s="12" t="str">
        <x:v>d5d53285050042a7060eb92b7850608c237099e0abfed849629dfac554e9983a</x:v>
      </x:c>
      <x:c r="E31" s="12" t="str">
        <x:v>d5d53285050042a7060eb92b7850608c237099e0abfed849629dfac554e9983a</x:v>
      </x:c>
      <x:c r="F31" s="12" t="str">
        <x:v>True</x:v>
      </x:c>
      <x:c r="G31" s="12" t="str">
        <x:v>48</x:v>
      </x:c>
      <x:c r="H31" s="12" t="str">
        <x:v>48</x:v>
      </x:c>
      <x:c r="I31" s="12" t="str">
        <x:v>0.0</x:v>
      </x:c>
      <x:c r="J31" s="12" t="str">
        <x:v>0.0</x:v>
      </x:c>
      <x:c r="K31" s="12" t="str">
        <x:v>47.0</x:v>
      </x:c>
      <x:c r="L31" s="12" t="str">
        <x:v>47.0</x:v>
      </x:c>
      <x:c r="M31" s="12" t="str">
        <x:v>True</x:v>
      </x:c>
      <x:c r="N31" s="12" t="str">
        <x:v>68</x:v>
      </x:c>
      <x:c r="O31" s="12" t="str">
        <x:v>68</x:v>
      </x:c>
      <x:c r="P31" s="16" t="str">
        <x:v>1.0</x:v>
      </x:c>
      <x:c r="Q31" s="12" t="str">
        <x:v>68</x:v>
      </x:c>
      <x:c r="R31" s="16" t="str">
        <x:v>1.0</x:v>
      </x:c>
      <x:c r="S31" s="12" t="str">
        <x:v>0.2</x:v>
      </x:c>
      <x:c r="T31" s="12" t="str">
        <x:v>68</x:v>
      </x:c>
      <x:c r="U31" s="16" t="str">
        <x:v>1.0</x:v>
      </x:c>
      <x:c r="V31" s="18" t="str">
        <x:v>0.7449615597724915</x:v>
      </x:c>
      <x:c r="W31" s="18" t="str">
        <x:v>0.7887238681316375</x:v>
      </x:c>
      <x:c r="X31" s="18" t="str">
        <x:v>0.8307986259460449</x:v>
      </x:c>
      <x:c r="Y31" s="18" t="str">
        <x:v>0.8372634649276733</x:v>
      </x:c>
      <x:c r="Z31" s="18" t="str">
        <x:v>0.8662549138069153</x:v>
      </x:c>
      <x:c r="AA31" s="18" t="str">
        <x:v>0.8886353373527527</x:v>
      </x:c>
      <x:c r="AB31" s="20" t="str">
        <x:v>158.67550000257324</x:v>
      </x:c>
      <x:c r="AC31" s="12" t="str">
        <x:v>overlays\angry_030.png</x:v>
      </x:c>
      <x:c r="AD31" s="12" t="str"/>
      <x:c r="AE31" s="12" t="str"/>
      <x:c r="AF31" s="12" t="str">
        <x:v>good</x:v>
      </x:c>
      <x:c r="AG31" s="12" t="n">
        <x:v>1</x:v>
      </x:c>
      <x:c r="AH31" s="12" t="str">
        <x:v>good</x:v>
      </x:c>
      <x:c r="AI31" s="12" t="str">
        <x:v>good</x:v>
      </x:c>
      <x:c r="AJ31" s="12" t="str">
        <x:v>good</x:v>
      </x:c>
      <x:c r="AK31" s="12" t="str">
        <x:v>not_applicable</x:v>
      </x:c>
      <x:c r="AL31" s="12" t="str">
        <x:v>none</x:v>
      </x:c>
      <x:c r="AM31" s="14" t="str">
        <x:v>Clear and well-aligned facial landmarks with no major pose, crop, or occlusion issue.</x:v>
      </x:c>
    </x:row>
    <x:row r="32" ht="28" customHeight="1">
      <x:c r="A32" s="12" t="str">
        <x:v>angry_031</x:v>
      </x:c>
      <x:c r="B32" s="12" t="str">
        <x:v>angry</x:v>
      </x:c>
      <x:c r="C32" s="14" t="str">
        <x:v>angry/Training_60381974.jpg</x:v>
      </x:c>
      <x:c r="D32" s="12" t="str">
        <x:v>a0b692d437badcbd05fb977d3d2a63f0bf56a55d27b432e36bf05ab4b9b3aec6</x:v>
      </x:c>
      <x:c r="E32" s="12" t="str">
        <x:v>a0b692d437badcbd05fb977d3d2a63f0bf56a55d27b432e36bf05ab4b9b3aec6</x:v>
      </x:c>
      <x:c r="F32" s="12" t="str">
        <x:v>True</x:v>
      </x:c>
      <x:c r="G32" s="12" t="str">
        <x:v>48</x:v>
      </x:c>
      <x:c r="H32" s="12" t="str">
        <x:v>48</x:v>
      </x:c>
      <x:c r="I32" s="12" t="str">
        <x:v>0.0</x:v>
      </x:c>
      <x:c r="J32" s="12" t="str">
        <x:v>0.0</x:v>
      </x:c>
      <x:c r="K32" s="12" t="str">
        <x:v>47.0</x:v>
      </x:c>
      <x:c r="L32" s="12" t="str">
        <x:v>47.0</x:v>
      </x:c>
      <x:c r="M32" s="12" t="str">
        <x:v>True</x:v>
      </x:c>
      <x:c r="N32" s="12" t="str">
        <x:v>68</x:v>
      </x:c>
      <x:c r="O32" s="12" t="str">
        <x:v>68</x:v>
      </x:c>
      <x:c r="P32" s="16" t="str">
        <x:v>1.0</x:v>
      </x:c>
      <x:c r="Q32" s="12" t="str">
        <x:v>67</x:v>
      </x:c>
      <x:c r="R32" s="16" t="str">
        <x:v>0.9852941176470589</x:v>
      </x:c>
      <x:c r="S32" s="12" t="str">
        <x:v>0.2</x:v>
      </x:c>
      <x:c r="T32" s="12" t="str">
        <x:v>68</x:v>
      </x:c>
      <x:c r="U32" s="16" t="str">
        <x:v>1.0</x:v>
      </x:c>
      <x:c r="V32" s="18" t="str">
        <x:v>0.5537368059158325</x:v>
      </x:c>
      <x:c r="W32" s="18" t="str">
        <x:v>0.6937746465206146</x:v>
      </x:c>
      <x:c r="X32" s="18" t="str">
        <x:v>0.7783010601997375</x:v>
      </x:c>
      <x:c r="Y32" s="18" t="str">
        <x:v>0.7954380512237549</x:v>
      </x:c>
      <x:c r="Z32" s="18" t="str">
        <x:v>0.8397001028060913</x:v>
      </x:c>
      <x:c r="AA32" s="18" t="str">
        <x:v>0.8670209050178528</x:v>
      </x:c>
      <x:c r="AB32" s="20" t="str">
        <x:v>155.02960000594612</x:v>
      </x:c>
      <x:c r="AC32" s="12" t="str">
        <x:v>overlays\angry_031.png</x:v>
      </x:c>
      <x:c r="AD32" s="12" t="str"/>
      <x:c r="AE32" s="12" t="str"/>
      <x:c r="AF32" s="12" t="str">
        <x:v>good</x:v>
      </x:c>
      <x:c r="AG32" s="12" t="n">
        <x:v>1</x:v>
      </x:c>
      <x:c r="AH32" s="12" t="str">
        <x:v>good</x:v>
      </x:c>
      <x:c r="AI32" s="12" t="str">
        <x:v>good</x:v>
      </x:c>
      <x:c r="AJ32" s="12" t="str">
        <x:v>good</x:v>
      </x:c>
      <x:c r="AK32" s="12" t="str">
        <x:v>not_applicable</x:v>
      </x:c>
      <x:c r="AL32" s="12" t="str">
        <x:v>none</x:v>
      </x:c>
      <x:c r="AM32" s="14" t="str">
        <x:v>Clear and well-aligned facial landmarks with no major pose, crop, or occlusion issue.</x:v>
      </x:c>
    </x:row>
    <x:row r="33" ht="28" customHeight="1">
      <x:c r="A33" s="12" t="str">
        <x:v>angry_032</x:v>
      </x:c>
      <x:c r="B33" s="12" t="str">
        <x:v>angry</x:v>
      </x:c>
      <x:c r="C33" s="14" t="str">
        <x:v>angry/Training_48608241.jpg</x:v>
      </x:c>
      <x:c r="D33" s="12" t="str">
        <x:v>5e58857dac2a4d90d279489e5209b98fa18cccbf59de1c56f8a51fbf09459299</x:v>
      </x:c>
      <x:c r="E33" s="12" t="str">
        <x:v>5e58857dac2a4d90d279489e5209b98fa18cccbf59de1c56f8a51fbf09459299</x:v>
      </x:c>
      <x:c r="F33" s="12" t="str">
        <x:v>True</x:v>
      </x:c>
      <x:c r="G33" s="12" t="str">
        <x:v>48</x:v>
      </x:c>
      <x:c r="H33" s="12" t="str">
        <x:v>48</x:v>
      </x:c>
      <x:c r="I33" s="12" t="str">
        <x:v>0.0</x:v>
      </x:c>
      <x:c r="J33" s="12" t="str">
        <x:v>0.0</x:v>
      </x:c>
      <x:c r="K33" s="12" t="str">
        <x:v>47.0</x:v>
      </x:c>
      <x:c r="L33" s="12" t="str">
        <x:v>47.0</x:v>
      </x:c>
      <x:c r="M33" s="12" t="str">
        <x:v>True</x:v>
      </x:c>
      <x:c r="N33" s="12" t="str">
        <x:v>68</x:v>
      </x:c>
      <x:c r="O33" s="12" t="str">
        <x:v>68</x:v>
      </x:c>
      <x:c r="P33" s="16" t="str">
        <x:v>1.0</x:v>
      </x:c>
      <x:c r="Q33" s="12" t="str">
        <x:v>68</x:v>
      </x:c>
      <x:c r="R33" s="16" t="str">
        <x:v>1.0</x:v>
      </x:c>
      <x:c r="S33" s="12" t="str">
        <x:v>0.2</x:v>
      </x:c>
      <x:c r="T33" s="12" t="str">
        <x:v>15</x:v>
      </x:c>
      <x:c r="U33" s="16" t="str">
        <x:v>0.22058823529411764</x:v>
      </x:c>
      <x:c r="V33" s="18" t="str">
        <x:v>0.029022691771388054</x:v>
      </x:c>
      <x:c r="W33" s="18" t="str">
        <x:v>0.045906975492835046</x:v>
      </x:c>
      <x:c r="X33" s="18" t="str">
        <x:v>0.1306522935628891</x:v>
      </x:c>
      <x:c r="Y33" s="18" t="str">
        <x:v>0.10874088108539581</x:v>
      </x:c>
      <x:c r="Z33" s="18" t="str">
        <x:v>0.26244128048419957</x:v>
      </x:c>
      <x:c r="AA33" s="18" t="str">
        <x:v>0.4135131537914276</x:v>
      </x:c>
      <x:c r="AB33" s="20" t="str">
        <x:v>157.71569999924395</x:v>
      </x:c>
      <x:c r="AC33" s="12" t="str">
        <x:v>overlays\angry_032.png</x:v>
      </x:c>
      <x:c r="AD33" s="12" t="str"/>
      <x:c r="AE33" s="12" t="str"/>
      <x:c r="AF33" s="12" t="str">
        <x:v>wrong</x:v>
      </x:c>
      <x:c r="AG33" s="12" t="n">
        <x:v>0</x:v>
      </x:c>
      <x:c r="AH33" s="12" t="str">
        <x:v>wrong</x:v>
      </x:c>
      <x:c r="AI33" s="12" t="str">
        <x:v>wrong</x:v>
      </x:c>
      <x:c r="AJ33" s="12" t="str">
        <x:v>wrong</x:v>
      </x:c>
      <x:c r="AK33" s="12" t="str">
        <x:v>not_applicable</x:v>
      </x:c>
      <x:c r="AL33" s="12" t="str">
        <x:v>severe</x:v>
      </x:c>
      <x:c r="AM33" s="14" t="str">
        <x:v>Severe blur and low confidence cause landmarks to scatter across the hair, forehead, and central face.</x:v>
      </x:c>
    </x:row>
    <x:row r="34" ht="28" customHeight="1">
      <x:c r="A34" s="12" t="str">
        <x:v>angry_033</x:v>
      </x:c>
      <x:c r="B34" s="12" t="str">
        <x:v>angry</x:v>
      </x:c>
      <x:c r="C34" s="14" t="str">
        <x:v>angry/Training_30292119.jpg</x:v>
      </x:c>
      <x:c r="D34" s="12" t="str">
        <x:v>16112807e1e8915be9ce1c31190afc8ef8f1b82dc3bce62de7da5f8efb348a8c</x:v>
      </x:c>
      <x:c r="E34" s="12" t="str">
        <x:v>16112807e1e8915be9ce1c31190afc8ef8f1b82dc3bce62de7da5f8efb348a8c</x:v>
      </x:c>
      <x:c r="F34" s="12" t="str">
        <x:v>True</x:v>
      </x:c>
      <x:c r="G34" s="12" t="str">
        <x:v>48</x:v>
      </x:c>
      <x:c r="H34" s="12" t="str">
        <x:v>48</x:v>
      </x:c>
      <x:c r="I34" s="12" t="str">
        <x:v>0.0</x:v>
      </x:c>
      <x:c r="J34" s="12" t="str">
        <x:v>0.0</x:v>
      </x:c>
      <x:c r="K34" s="12" t="str">
        <x:v>47.0</x:v>
      </x:c>
      <x:c r="L34" s="12" t="str">
        <x:v>47.0</x:v>
      </x:c>
      <x:c r="M34" s="12" t="str">
        <x:v>True</x:v>
      </x:c>
      <x:c r="N34" s="12" t="str">
        <x:v>68</x:v>
      </x:c>
      <x:c r="O34" s="12" t="str">
        <x:v>68</x:v>
      </x:c>
      <x:c r="P34" s="16" t="str">
        <x:v>1.0</x:v>
      </x:c>
      <x:c r="Q34" s="12" t="str">
        <x:v>68</x:v>
      </x:c>
      <x:c r="R34" s="16" t="str">
        <x:v>1.0</x:v>
      </x:c>
      <x:c r="S34" s="12" t="str">
        <x:v>0.2</x:v>
      </x:c>
      <x:c r="T34" s="12" t="str">
        <x:v>68</x:v>
      </x:c>
      <x:c r="U34" s="16" t="str">
        <x:v>1.0</x:v>
      </x:c>
      <x:c r="V34" s="18" t="str">
        <x:v>0.6100500226020813</x:v>
      </x:c>
      <x:c r="W34" s="18" t="str">
        <x:v>0.7675117492675781</x:v>
      </x:c>
      <x:c r="X34" s="18" t="str">
        <x:v>0.8201020956039429</x:v>
      </x:c>
      <x:c r="Y34" s="18" t="str">
        <x:v>0.8280104398727417</x:v>
      </x:c>
      <x:c r="Z34" s="18" t="str">
        <x:v>0.870815771818161</x:v>
      </x:c>
      <x:c r="AA34" s="18" t="str">
        <x:v>0.8949591517448425</x:v>
      </x:c>
      <x:c r="AB34" s="20" t="str">
        <x:v>202.92540000082226</x:v>
      </x:c>
      <x:c r="AC34" s="12" t="str">
        <x:v>overlays\angry_033.png</x:v>
      </x:c>
      <x:c r="AD34" s="12" t="str"/>
      <x:c r="AE34" s="12" t="str"/>
      <x:c r="AF34" s="12" t="str">
        <x:v>good</x:v>
      </x:c>
      <x:c r="AG34" s="12" t="n">
        <x:v>1</x:v>
      </x:c>
      <x:c r="AH34" s="12" t="str">
        <x:v>good</x:v>
      </x:c>
      <x:c r="AI34" s="12" t="str">
        <x:v>good</x:v>
      </x:c>
      <x:c r="AJ34" s="12" t="str">
        <x:v>good</x:v>
      </x:c>
      <x:c r="AK34" s="12" t="str">
        <x:v>good</x:v>
      </x:c>
      <x:c r="AL34" s="12" t="str">
        <x:v>none</x:v>
      </x:c>
      <x:c r="AM34" s="14" t="str">
        <x:v>Clear and well-aligned facial landmarks with no major pose, crop, or occlusion issue.</x:v>
      </x:c>
    </x:row>
    <x:row r="35" ht="28" customHeight="1">
      <x:c r="A35" s="12" t="str">
        <x:v>angry_034</x:v>
      </x:c>
      <x:c r="B35" s="12" t="str">
        <x:v>angry</x:v>
      </x:c>
      <x:c r="C35" s="14" t="str">
        <x:v>angry/Training_51453848.jpg</x:v>
      </x:c>
      <x:c r="D35" s="12" t="str">
        <x:v>fbeee19e2def3d14c39c4e94c5b68b7c514babe4d3696a5dd3b04fb7d4fcff6f</x:v>
      </x:c>
      <x:c r="E35" s="12" t="str">
        <x:v>fbeee19e2def3d14c39c4e94c5b68b7c514babe4d3696a5dd3b04fb7d4fcff6f</x:v>
      </x:c>
      <x:c r="F35" s="12" t="str">
        <x:v>True</x:v>
      </x:c>
      <x:c r="G35" s="12" t="str">
        <x:v>48</x:v>
      </x:c>
      <x:c r="H35" s="12" t="str">
        <x:v>48</x:v>
      </x:c>
      <x:c r="I35" s="12" t="str">
        <x:v>0.0</x:v>
      </x:c>
      <x:c r="J35" s="12" t="str">
        <x:v>0.0</x:v>
      </x:c>
      <x:c r="K35" s="12" t="str">
        <x:v>47.0</x:v>
      </x:c>
      <x:c r="L35" s="12" t="str">
        <x:v>47.0</x:v>
      </x:c>
      <x:c r="M35" s="12" t="str">
        <x:v>True</x:v>
      </x:c>
      <x:c r="N35" s="12" t="str">
        <x:v>68</x:v>
      </x:c>
      <x:c r="O35" s="12" t="str">
        <x:v>68</x:v>
      </x:c>
      <x:c r="P35" s="16" t="str">
        <x:v>1.0</x:v>
      </x:c>
      <x:c r="Q35" s="12" t="str">
        <x:v>68</x:v>
      </x:c>
      <x:c r="R35" s="16" t="str">
        <x:v>1.0</x:v>
      </x:c>
      <x:c r="S35" s="12" t="str">
        <x:v>0.2</x:v>
      </x:c>
      <x:c r="T35" s="12" t="str">
        <x:v>68</x:v>
      </x:c>
      <x:c r="U35" s="16" t="str">
        <x:v>1.0</x:v>
      </x:c>
      <x:c r="V35" s="18" t="str">
        <x:v>0.6775597929954529</x:v>
      </x:c>
      <x:c r="W35" s="18" t="str">
        <x:v>0.7079973876476288</x:v>
      </x:c>
      <x:c r="X35" s="18" t="str">
        <x:v>0.7925696969032288</x:v>
      </x:c>
      <x:c r="Y35" s="18" t="str">
        <x:v>0.8000792264938354</x:v>
      </x:c>
      <x:c r="Z35" s="18" t="str">
        <x:v>0.8672138333320618</x:v>
      </x:c>
      <x:c r="AA35" s="18" t="str">
        <x:v>0.9241445064544678</x:v>
      </x:c>
      <x:c r="AB35" s="20" t="str">
        <x:v>151.53229999850737</x:v>
      </x:c>
      <x:c r="AC35" s="12" t="str">
        <x:v>overlays\angry_034.png</x:v>
      </x:c>
      <x:c r="AD35" s="12" t="str"/>
      <x:c r="AE35" s="12" t="str"/>
      <x:c r="AF35" s="12" t="str">
        <x:v>acceptable</x:v>
      </x:c>
      <x:c r="AG35" s="12" t="n">
        <x:v>1</x:v>
      </x:c>
      <x:c r="AH35" s="12" t="str">
        <x:v>acceptable</x:v>
      </x:c>
      <x:c r="AI35" s="12" t="str">
        <x:v>acceptable</x:v>
      </x:c>
      <x:c r="AJ35" s="12" t="str">
        <x:v>acceptable</x:v>
      </x:c>
      <x:c r="AK35" s="12" t="str">
        <x:v>acceptable</x:v>
      </x:c>
      <x:c r="AL35" s="12" t="str">
        <x:v>mild</x:v>
      </x:c>
      <x:c r="AM35" s="14" t="str">
        <x:v>Large pose or profile; visible landmarks remain useful, while hidden-side and contour points are inferred.</x:v>
      </x:c>
    </x:row>
    <x:row r="36" ht="28" customHeight="1">
      <x:c r="A36" s="12" t="str">
        <x:v>angry_035</x:v>
      </x:c>
      <x:c r="B36" s="12" t="str">
        <x:v>angry</x:v>
      </x:c>
      <x:c r="C36" s="14" t="str">
        <x:v>angry/Training_64909824.jpg</x:v>
      </x:c>
      <x:c r="D36" s="12" t="str">
        <x:v>dc29d3ca229d4fc951716f746e0f0fa6bf1a4503a828ebd1ec6ad15ff91bce27</x:v>
      </x:c>
      <x:c r="E36" s="12" t="str">
        <x:v>dc29d3ca229d4fc951716f746e0f0fa6bf1a4503a828ebd1ec6ad15ff91bce27</x:v>
      </x:c>
      <x:c r="F36" s="12" t="str">
        <x:v>True</x:v>
      </x:c>
      <x:c r="G36" s="12" t="str">
        <x:v>48</x:v>
      </x:c>
      <x:c r="H36" s="12" t="str">
        <x:v>48</x:v>
      </x:c>
      <x:c r="I36" s="12" t="str">
        <x:v>0.0</x:v>
      </x:c>
      <x:c r="J36" s="12" t="str">
        <x:v>0.0</x:v>
      </x:c>
      <x:c r="K36" s="12" t="str">
        <x:v>47.0</x:v>
      </x:c>
      <x:c r="L36" s="12" t="str">
        <x:v>47.0</x:v>
      </x:c>
      <x:c r="M36" s="12" t="str">
        <x:v>True</x:v>
      </x:c>
      <x:c r="N36" s="12" t="str">
        <x:v>68</x:v>
      </x:c>
      <x:c r="O36" s="12" t="str">
        <x:v>68</x:v>
      </x:c>
      <x:c r="P36" s="16" t="str">
        <x:v>1.0</x:v>
      </x:c>
      <x:c r="Q36" s="12" t="str">
        <x:v>68</x:v>
      </x:c>
      <x:c r="R36" s="16" t="str">
        <x:v>1.0</x:v>
      </x:c>
      <x:c r="S36" s="12" t="str">
        <x:v>0.2</x:v>
      </x:c>
      <x:c r="T36" s="12" t="str">
        <x:v>68</x:v>
      </x:c>
      <x:c r="U36" s="16" t="str">
        <x:v>1.0</x:v>
      </x:c>
      <x:c r="V36" s="18" t="str">
        <x:v>0.6953848004341125</x:v>
      </x:c>
      <x:c r="W36" s="18" t="str">
        <x:v>0.7577905356884003</x:v>
      </x:c>
      <x:c r="X36" s="18" t="str">
        <x:v>0.820115864276886</x:v>
      </x:c>
      <x:c r="Y36" s="18" t="str">
        <x:v>0.8268558979034424</x:v>
      </x:c>
      <x:c r="Z36" s="18" t="str">
        <x:v>0.868724662065506</x:v>
      </x:c>
      <x:c r="AA36" s="18" t="str">
        <x:v>0.9066406488418579</x:v>
      </x:c>
      <x:c r="AB36" s="20" t="str">
        <x:v>157.379199998104</x:v>
      </x:c>
      <x:c r="AC36" s="12" t="str">
        <x:v>overlays\angry_035.png</x:v>
      </x:c>
      <x:c r="AD36" s="12" t="str"/>
      <x:c r="AE36" s="12" t="str"/>
      <x:c r="AF36" s="12" t="str">
        <x:v>good</x:v>
      </x:c>
      <x:c r="AG36" s="12" t="n">
        <x:v>1</x:v>
      </x:c>
      <x:c r="AH36" s="12" t="str">
        <x:v>good</x:v>
      </x:c>
      <x:c r="AI36" s="12" t="str">
        <x:v>good</x:v>
      </x:c>
      <x:c r="AJ36" s="12" t="str">
        <x:v>good</x:v>
      </x:c>
      <x:c r="AK36" s="12" t="str">
        <x:v>not_applicable</x:v>
      </x:c>
      <x:c r="AL36" s="12" t="str">
        <x:v>none</x:v>
      </x:c>
      <x:c r="AM36" s="14" t="str">
        <x:v>Clear and well-aligned facial landmarks with no major pose, crop, or occlusion issue.</x:v>
      </x:c>
    </x:row>
    <x:row r="37" ht="28" customHeight="1">
      <x:c r="A37" s="12" t="str">
        <x:v>angry_036</x:v>
      </x:c>
      <x:c r="B37" s="12" t="str">
        <x:v>angry</x:v>
      </x:c>
      <x:c r="C37" s="14" t="str">
        <x:v>angry/Training_35701263.jpg</x:v>
      </x:c>
      <x:c r="D37" s="12" t="str">
        <x:v>e9da6297f6fa290cf4cbb25975e98af135a2f5d11b0367cad5b68121f5076491</x:v>
      </x:c>
      <x:c r="E37" s="12" t="str">
        <x:v>e9da6297f6fa290cf4cbb25975e98af135a2f5d11b0367cad5b68121f5076491</x:v>
      </x:c>
      <x:c r="F37" s="12" t="str">
        <x:v>True</x:v>
      </x:c>
      <x:c r="G37" s="12" t="str">
        <x:v>48</x:v>
      </x:c>
      <x:c r="H37" s="12" t="str">
        <x:v>48</x:v>
      </x:c>
      <x:c r="I37" s="12" t="str">
        <x:v>0.0</x:v>
      </x:c>
      <x:c r="J37" s="12" t="str">
        <x:v>0.0</x:v>
      </x:c>
      <x:c r="K37" s="12" t="str">
        <x:v>47.0</x:v>
      </x:c>
      <x:c r="L37" s="12" t="str">
        <x:v>47.0</x:v>
      </x:c>
      <x:c r="M37" s="12" t="str">
        <x:v>True</x:v>
      </x:c>
      <x:c r="N37" s="12" t="str">
        <x:v>68</x:v>
      </x:c>
      <x:c r="O37" s="12" t="str">
        <x:v>68</x:v>
      </x:c>
      <x:c r="P37" s="16" t="str">
        <x:v>1.0</x:v>
      </x:c>
      <x:c r="Q37" s="12" t="str">
        <x:v>68</x:v>
      </x:c>
      <x:c r="R37" s="16" t="str">
        <x:v>1.0</x:v>
      </x:c>
      <x:c r="S37" s="12" t="str">
        <x:v>0.2</x:v>
      </x:c>
      <x:c r="T37" s="12" t="str">
        <x:v>68</x:v>
      </x:c>
      <x:c r="U37" s="16" t="str">
        <x:v>1.0</x:v>
      </x:c>
      <x:c r="V37" s="18" t="str">
        <x:v>0.7164983749389648</x:v>
      </x:c>
      <x:c r="W37" s="18" t="str">
        <x:v>0.7790576100349427</x:v>
      </x:c>
      <x:c r="X37" s="18" t="str">
        <x:v>0.8282451629638672</x:v>
      </x:c>
      <x:c r="Y37" s="18" t="str">
        <x:v>0.8322605490684509</x:v>
      </x:c>
      <x:c r="Z37" s="18" t="str">
        <x:v>0.8735026836395264</x:v>
      </x:c>
      <x:c r="AA37" s="18" t="str">
        <x:v>0.8968055844306946</x:v>
      </x:c>
      <x:c r="AB37" s="20" t="str">
        <x:v>180.32939999829978</x:v>
      </x:c>
      <x:c r="AC37" s="12" t="str">
        <x:v>overlays\angry_036.png</x:v>
      </x:c>
      <x:c r="AD37" s="12" t="str"/>
      <x:c r="AE37" s="12" t="str"/>
      <x:c r="AF37" s="12" t="str">
        <x:v>good</x:v>
      </x:c>
      <x:c r="AG37" s="12" t="n">
        <x:v>1</x:v>
      </x:c>
      <x:c r="AH37" s="12" t="str">
        <x:v>good</x:v>
      </x:c>
      <x:c r="AI37" s="12" t="str">
        <x:v>good</x:v>
      </x:c>
      <x:c r="AJ37" s="12" t="str">
        <x:v>good</x:v>
      </x:c>
      <x:c r="AK37" s="12" t="str">
        <x:v>not_applicable</x:v>
      </x:c>
      <x:c r="AL37" s="12" t="str">
        <x:v>none</x:v>
      </x:c>
      <x:c r="AM37" s="14" t="str">
        <x:v>Clear and well-aligned facial landmarks with no major pose, crop, or occlusion issue.</x:v>
      </x:c>
    </x:row>
    <x:row r="38" ht="28" customHeight="1">
      <x:c r="A38" s="12" t="str">
        <x:v>angry_037</x:v>
      </x:c>
      <x:c r="B38" s="12" t="str">
        <x:v>angry</x:v>
      </x:c>
      <x:c r="C38" s="14" t="str">
        <x:v>angry/Training_84932821.jpg</x:v>
      </x:c>
      <x:c r="D38" s="12" t="str">
        <x:v>4040b829ccd2320d47d71ebfdf5b50d8facb546e6dac109076a4f9896980f7ee</x:v>
      </x:c>
      <x:c r="E38" s="12" t="str">
        <x:v>4040b829ccd2320d47d71ebfdf5b50d8facb546e6dac109076a4f9896980f7ee</x:v>
      </x:c>
      <x:c r="F38" s="12" t="str">
        <x:v>True</x:v>
      </x:c>
      <x:c r="G38" s="12" t="str">
        <x:v>48</x:v>
      </x:c>
      <x:c r="H38" s="12" t="str">
        <x:v>48</x:v>
      </x:c>
      <x:c r="I38" s="12" t="str">
        <x:v>0.0</x:v>
      </x:c>
      <x:c r="J38" s="12" t="str">
        <x:v>0.0</x:v>
      </x:c>
      <x:c r="K38" s="12" t="str">
        <x:v>47.0</x:v>
      </x:c>
      <x:c r="L38" s="12" t="str">
        <x:v>47.0</x:v>
      </x:c>
      <x:c r="M38" s="12" t="str">
        <x:v>True</x:v>
      </x:c>
      <x:c r="N38" s="12" t="str">
        <x:v>68</x:v>
      </x:c>
      <x:c r="O38" s="12" t="str">
        <x:v>68</x:v>
      </x:c>
      <x:c r="P38" s="16" t="str">
        <x:v>1.0</x:v>
      </x:c>
      <x:c r="Q38" s="12" t="str">
        <x:v>68</x:v>
      </x:c>
      <x:c r="R38" s="16" t="str">
        <x:v>1.0</x:v>
      </x:c>
      <x:c r="S38" s="12" t="str">
        <x:v>0.2</x:v>
      </x:c>
      <x:c r="T38" s="12" t="str">
        <x:v>68</x:v>
      </x:c>
      <x:c r="U38" s="16" t="str">
        <x:v>1.0</x:v>
      </x:c>
      <x:c r="V38" s="18" t="str">
        <x:v>0.5145736932754517</x:v>
      </x:c>
      <x:c r="W38" s="18" t="str">
        <x:v>0.6875063002109527</x:v>
      </x:c>
      <x:c r="X38" s="18" t="str">
        <x:v>0.8099403977394104</x:v>
      </x:c>
      <x:c r="Y38" s="18" t="str">
        <x:v>0.8411792516708374</x:v>
      </x:c>
      <x:c r="Z38" s="18" t="str">
        <x:v>0.8834490895271302</x:v>
      </x:c>
      <x:c r="AA38" s="18" t="str">
        <x:v>0.9198790788650513</x:v>
      </x:c>
      <x:c r="AB38" s="20" t="str">
        <x:v>206.24020000104792</x:v>
      </x:c>
      <x:c r="AC38" s="12" t="str">
        <x:v>overlays\angry_037.png</x:v>
      </x:c>
      <x:c r="AD38" s="12" t="str"/>
      <x:c r="AE38" s="12" t="str"/>
      <x:c r="AF38" s="12" t="str">
        <x:v>good</x:v>
      </x:c>
      <x:c r="AG38" s="12" t="n">
        <x:v>1</x:v>
      </x:c>
      <x:c r="AH38" s="12" t="str">
        <x:v>good</x:v>
      </x:c>
      <x:c r="AI38" s="12" t="str">
        <x:v>good</x:v>
      </x:c>
      <x:c r="AJ38" s="12" t="str">
        <x:v>good</x:v>
      </x:c>
      <x:c r="AK38" s="12" t="str">
        <x:v>good</x:v>
      </x:c>
      <x:c r="AL38" s="12" t="str">
        <x:v>none</x:v>
      </x:c>
      <x:c r="AM38" s="14" t="str">
        <x:v>Clear and well-aligned facial landmarks with no major pose, crop, or occlusion issue.</x:v>
      </x:c>
    </x:row>
    <x:row r="39" ht="28" customHeight="1">
      <x:c r="A39" s="12" t="str">
        <x:v>angry_038</x:v>
      </x:c>
      <x:c r="B39" s="12" t="str">
        <x:v>angry</x:v>
      </x:c>
      <x:c r="C39" s="14" t="str">
        <x:v>angry/Training_9070993.jpg</x:v>
      </x:c>
      <x:c r="D39" s="12" t="str">
        <x:v>0efa93cc4d97f5550190ccf850e9bf5bbf7db56d1a4281bfb14aefbdb6b3e781</x:v>
      </x:c>
      <x:c r="E39" s="12" t="str">
        <x:v>0efa93cc4d97f5550190ccf850e9bf5bbf7db56d1a4281bfb14aefbdb6b3e781</x:v>
      </x:c>
      <x:c r="F39" s="12" t="str">
        <x:v>True</x:v>
      </x:c>
      <x:c r="G39" s="12" t="str">
        <x:v>48</x:v>
      </x:c>
      <x:c r="H39" s="12" t="str">
        <x:v>48</x:v>
      </x:c>
      <x:c r="I39" s="12" t="str">
        <x:v>0.0</x:v>
      </x:c>
      <x:c r="J39" s="12" t="str">
        <x:v>0.0</x:v>
      </x:c>
      <x:c r="K39" s="12" t="str">
        <x:v>47.0</x:v>
      </x:c>
      <x:c r="L39" s="12" t="str">
        <x:v>47.0</x:v>
      </x:c>
      <x:c r="M39" s="12" t="str">
        <x:v>True</x:v>
      </x:c>
      <x:c r="N39" s="12" t="str">
        <x:v>68</x:v>
      </x:c>
      <x:c r="O39" s="12" t="str">
        <x:v>68</x:v>
      </x:c>
      <x:c r="P39" s="16" t="str">
        <x:v>1.0</x:v>
      </x:c>
      <x:c r="Q39" s="12" t="str">
        <x:v>68</x:v>
      </x:c>
      <x:c r="R39" s="16" t="str">
        <x:v>1.0</x:v>
      </x:c>
      <x:c r="S39" s="12" t="str">
        <x:v>0.2</x:v>
      </x:c>
      <x:c r="T39" s="12" t="str">
        <x:v>68</x:v>
      </x:c>
      <x:c r="U39" s="16" t="str">
        <x:v>1.0</x:v>
      </x:c>
      <x:c r="V39" s="18" t="str">
        <x:v>0.742277979850769</x:v>
      </x:c>
      <x:c r="W39" s="18" t="str">
        <x:v>0.7666027188301087</x:v>
      </x:c>
      <x:c r="X39" s="18" t="str">
        <x:v>0.836519718170166</x:v>
      </x:c>
      <x:c r="Y39" s="18" t="str">
        <x:v>0.8368561863899231</x:v>
      </x:c>
      <x:c r="Z39" s="18" t="str">
        <x:v>0.8873449742794037</x:v>
      </x:c>
      <x:c r="AA39" s="18" t="str">
        <x:v>0.9063210487365723</x:v>
      </x:c>
      <x:c r="AB39" s="20" t="str">
        <x:v>158.62819999892963</x:v>
      </x:c>
      <x:c r="AC39" s="12" t="str">
        <x:v>overlays\angry_038.png</x:v>
      </x:c>
      <x:c r="AD39" s="12" t="str"/>
      <x:c r="AE39" s="12" t="str"/>
      <x:c r="AF39" s="12" t="str">
        <x:v>good</x:v>
      </x:c>
      <x:c r="AG39" s="12" t="n">
        <x:v>1</x:v>
      </x:c>
      <x:c r="AH39" s="12" t="str">
        <x:v>good</x:v>
      </x:c>
      <x:c r="AI39" s="12" t="str">
        <x:v>good</x:v>
      </x:c>
      <x:c r="AJ39" s="12" t="str">
        <x:v>good</x:v>
      </x:c>
      <x:c r="AK39" s="12" t="str">
        <x:v>good</x:v>
      </x:c>
      <x:c r="AL39" s="12" t="str">
        <x:v>none</x:v>
      </x:c>
      <x:c r="AM39" s="14" t="str">
        <x:v>Clear and well-aligned facial landmarks with no major pose, crop, or occlusion issue.</x:v>
      </x:c>
    </x:row>
    <x:row r="40" ht="28" customHeight="1">
      <x:c r="A40" s="12" t="str">
        <x:v>angry_039</x:v>
      </x:c>
      <x:c r="B40" s="12" t="str">
        <x:v>angry</x:v>
      </x:c>
      <x:c r="C40" s="14" t="str">
        <x:v>angry/Training_10899258.jpg</x:v>
      </x:c>
      <x:c r="D40" s="12" t="str">
        <x:v>611f86a9167dd8a50ee96c74729d76384258d7d447d3b7a96da9fcec72256530</x:v>
      </x:c>
      <x:c r="E40" s="12" t="str">
        <x:v>611f86a9167dd8a50ee96c74729d76384258d7d447d3b7a96da9fcec72256530</x:v>
      </x:c>
      <x:c r="F40" s="12" t="str">
        <x:v>True</x:v>
      </x:c>
      <x:c r="G40" s="12" t="str">
        <x:v>48</x:v>
      </x:c>
      <x:c r="H40" s="12" t="str">
        <x:v>48</x:v>
      </x:c>
      <x:c r="I40" s="12" t="str">
        <x:v>0.0</x:v>
      </x:c>
      <x:c r="J40" s="12" t="str">
        <x:v>0.0</x:v>
      </x:c>
      <x:c r="K40" s="12" t="str">
        <x:v>47.0</x:v>
      </x:c>
      <x:c r="L40" s="12" t="str">
        <x:v>47.0</x:v>
      </x:c>
      <x:c r="M40" s="12" t="str">
        <x:v>True</x:v>
      </x:c>
      <x:c r="N40" s="12" t="str">
        <x:v>68</x:v>
      </x:c>
      <x:c r="O40" s="12" t="str">
        <x:v>68</x:v>
      </x:c>
      <x:c r="P40" s="16" t="str">
        <x:v>1.0</x:v>
      </x:c>
      <x:c r="Q40" s="12" t="str">
        <x:v>68</x:v>
      </x:c>
      <x:c r="R40" s="16" t="str">
        <x:v>1.0</x:v>
      </x:c>
      <x:c r="S40" s="12" t="str">
        <x:v>0.2</x:v>
      </x:c>
      <x:c r="T40" s="12" t="str">
        <x:v>68</x:v>
      </x:c>
      <x:c r="U40" s="16" t="str">
        <x:v>1.0</x:v>
      </x:c>
      <x:c r="V40" s="18" t="str">
        <x:v>0.606227457523346</x:v>
      </x:c>
      <x:c r="W40" s="18" t="str">
        <x:v>0.6680060923099518</x:v>
      </x:c>
      <x:c r="X40" s="18" t="str">
        <x:v>0.764503538608551</x:v>
      </x:c>
      <x:c r="Y40" s="18" t="str">
        <x:v>0.7685056924819946</x:v>
      </x:c>
      <x:c r="Z40" s="18" t="str">
        <x:v>0.8472345650196076</x:v>
      </x:c>
      <x:c r="AA40" s="18" t="str">
        <x:v>0.9157713651657104</x:v>
      </x:c>
      <x:c r="AB40" s="20" t="str">
        <x:v>152.54310000455007</x:v>
      </x:c>
      <x:c r="AC40" s="12" t="str">
        <x:v>overlays\angry_039.png</x:v>
      </x:c>
      <x:c r="AD40" s="12" t="str"/>
      <x:c r="AE40" s="12" t="str"/>
      <x:c r="AF40" s="12" t="str">
        <x:v>acceptable</x:v>
      </x:c>
      <x:c r="AG40" s="12" t="n">
        <x:v>1</x:v>
      </x:c>
      <x:c r="AH40" s="12" t="str">
        <x:v>acceptable</x:v>
      </x:c>
      <x:c r="AI40" s="12" t="str">
        <x:v>acceptable</x:v>
      </x:c>
      <x:c r="AJ40" s="12" t="str">
        <x:v>acceptable</x:v>
      </x:c>
      <x:c r="AK40" s="12" t="str">
        <x:v>acceptable</x:v>
      </x:c>
      <x:c r="AL40" s="12" t="str">
        <x:v>mild</x:v>
      </x:c>
      <x:c r="AM40" s="14" t="str">
        <x:v>Moderate pose, crop, blur, or facial texture causes minor landmark uncertainty; the result remains usable.</x:v>
      </x:c>
    </x:row>
    <x:row r="41" ht="28" customHeight="1">
      <x:c r="A41" s="12" t="str">
        <x:v>angry_040</x:v>
      </x:c>
      <x:c r="B41" s="12" t="str">
        <x:v>angry</x:v>
      </x:c>
      <x:c r="C41" s="14" t="str">
        <x:v>angry/Training_80694454.jpg</x:v>
      </x:c>
      <x:c r="D41" s="12" t="str">
        <x:v>ecf57f003263b49a0f52b51a8cfe4f443c43e9223ba482343411e8dab6b3b587</x:v>
      </x:c>
      <x:c r="E41" s="12" t="str">
        <x:v>ecf57f003263b49a0f52b51a8cfe4f443c43e9223ba482343411e8dab6b3b587</x:v>
      </x:c>
      <x:c r="F41" s="12" t="str">
        <x:v>True</x:v>
      </x:c>
      <x:c r="G41" s="12" t="str">
        <x:v>48</x:v>
      </x:c>
      <x:c r="H41" s="12" t="str">
        <x:v>48</x:v>
      </x:c>
      <x:c r="I41" s="12" t="str">
        <x:v>0.0</x:v>
      </x:c>
      <x:c r="J41" s="12" t="str">
        <x:v>0.0</x:v>
      </x:c>
      <x:c r="K41" s="12" t="str">
        <x:v>47.0</x:v>
      </x:c>
      <x:c r="L41" s="12" t="str">
        <x:v>47.0</x:v>
      </x:c>
      <x:c r="M41" s="12" t="str">
        <x:v>True</x:v>
      </x:c>
      <x:c r="N41" s="12" t="str">
        <x:v>68</x:v>
      </x:c>
      <x:c r="O41" s="12" t="str">
        <x:v>68</x:v>
      </x:c>
      <x:c r="P41" s="16" t="str">
        <x:v>1.0</x:v>
      </x:c>
      <x:c r="Q41" s="12" t="str">
        <x:v>67</x:v>
      </x:c>
      <x:c r="R41" s="16" t="str">
        <x:v>0.9852941176470589</x:v>
      </x:c>
      <x:c r="S41" s="12" t="str">
        <x:v>0.2</x:v>
      </x:c>
      <x:c r="T41" s="12" t="str">
        <x:v>68</x:v>
      </x:c>
      <x:c r="U41" s="16" t="str">
        <x:v>1.0</x:v>
      </x:c>
      <x:c r="V41" s="18" t="str">
        <x:v>0.5816841721534729</x:v>
      </x:c>
      <x:c r="W41" s="18" t="str">
        <x:v>0.665302175283432</x:v>
      </x:c>
      <x:c r="X41" s="18" t="str">
        <x:v>0.769446611404419</x:v>
      </x:c>
      <x:c r="Y41" s="18" t="str">
        <x:v>0.7889692783355713</x:v>
      </x:c>
      <x:c r="Z41" s="18" t="str">
        <x:v>0.8323592483997345</x:v>
      </x:c>
      <x:c r="AA41" s="18" t="str">
        <x:v>0.8846489191055298</x:v>
      </x:c>
      <x:c r="AB41" s="20" t="str">
        <x:v>153.86540000326931</x:v>
      </x:c>
      <x:c r="AC41" s="12" t="str">
        <x:v>overlays\angry_040.png</x:v>
      </x:c>
      <x:c r="AD41" s="12" t="str"/>
      <x:c r="AE41" s="12" t="str"/>
      <x:c r="AF41" s="12" t="str">
        <x:v>good</x:v>
      </x:c>
      <x:c r="AG41" s="12" t="n">
        <x:v>1</x:v>
      </x:c>
      <x:c r="AH41" s="12" t="str">
        <x:v>good</x:v>
      </x:c>
      <x:c r="AI41" s="12" t="str">
        <x:v>good</x:v>
      </x:c>
      <x:c r="AJ41" s="12" t="str">
        <x:v>good</x:v>
      </x:c>
      <x:c r="AK41" s="12" t="str">
        <x:v>not_applicable</x:v>
      </x:c>
      <x:c r="AL41" s="12" t="str">
        <x:v>none</x:v>
      </x:c>
      <x:c r="AM41" s="14" t="str">
        <x:v>Clear and well-aligned facial landmarks with no major pose, crop, or occlusion issue.</x:v>
      </x:c>
    </x:row>
    <x:row r="42" ht="28" customHeight="1">
      <x:c r="A42" s="12" t="str">
        <x:v>angry_041</x:v>
      </x:c>
      <x:c r="B42" s="12" t="str">
        <x:v>angry</x:v>
      </x:c>
      <x:c r="C42" s="14" t="str">
        <x:v>angry/Training_84625038.jpg</x:v>
      </x:c>
      <x:c r="D42" s="12" t="str">
        <x:v>a069bfa063e00ecef1b590902f7b3de05f3b26ae8f854157c10a7ab04acbd48d</x:v>
      </x:c>
      <x:c r="E42" s="12" t="str">
        <x:v>a069bfa063e00ecef1b590902f7b3de05f3b26ae8f854157c10a7ab04acbd48d</x:v>
      </x:c>
      <x:c r="F42" s="12" t="str">
        <x:v>True</x:v>
      </x:c>
      <x:c r="G42" s="12" t="str">
        <x:v>48</x:v>
      </x:c>
      <x:c r="H42" s="12" t="str">
        <x:v>48</x:v>
      </x:c>
      <x:c r="I42" s="12" t="str">
        <x:v>0.0</x:v>
      </x:c>
      <x:c r="J42" s="12" t="str">
        <x:v>0.0</x:v>
      </x:c>
      <x:c r="K42" s="12" t="str">
        <x:v>47.0</x:v>
      </x:c>
      <x:c r="L42" s="12" t="str">
        <x:v>47.0</x:v>
      </x:c>
      <x:c r="M42" s="12" t="str">
        <x:v>True</x:v>
      </x:c>
      <x:c r="N42" s="12" t="str">
        <x:v>68</x:v>
      </x:c>
      <x:c r="O42" s="12" t="str">
        <x:v>68</x:v>
      </x:c>
      <x:c r="P42" s="16" t="str">
        <x:v>1.0</x:v>
      </x:c>
      <x:c r="Q42" s="12" t="str">
        <x:v>68</x:v>
      </x:c>
      <x:c r="R42" s="16" t="str">
        <x:v>1.0</x:v>
      </x:c>
      <x:c r="S42" s="12" t="str">
        <x:v>0.2</x:v>
      </x:c>
      <x:c r="T42" s="12" t="str">
        <x:v>68</x:v>
      </x:c>
      <x:c r="U42" s="16" t="str">
        <x:v>1.0</x:v>
      </x:c>
      <x:c r="V42" s="18" t="str">
        <x:v>0.6139096617698669</x:v>
      </x:c>
      <x:c r="W42" s="18" t="str">
        <x:v>0.726696789264679</x:v>
      </x:c>
      <x:c r="X42" s="18" t="str">
        <x:v>0.8112733364105225</x:v>
      </x:c>
      <x:c r="Y42" s="18" t="str">
        <x:v>0.828811526298523</x:v>
      </x:c>
      <x:c r="Z42" s="18" t="str">
        <x:v>0.8638944029808044</x:v>
      </x:c>
      <x:c r="AA42" s="18" t="str">
        <x:v>0.8901658654212952</x:v>
      </x:c>
      <x:c r="AB42" s="20" t="str">
        <x:v>156.1959000027855</x:v>
      </x:c>
      <x:c r="AC42" s="12" t="str">
        <x:v>overlays\angry_041.png</x:v>
      </x:c>
      <x:c r="AD42" s="12" t="str"/>
      <x:c r="AE42" s="12" t="str"/>
      <x:c r="AF42" s="12" t="str">
        <x:v>good</x:v>
      </x:c>
      <x:c r="AG42" s="12" t="n">
        <x:v>1</x:v>
      </x:c>
      <x:c r="AH42" s="12" t="str">
        <x:v>good</x:v>
      </x:c>
      <x:c r="AI42" s="12" t="str">
        <x:v>good</x:v>
      </x:c>
      <x:c r="AJ42" s="12" t="str">
        <x:v>good</x:v>
      </x:c>
      <x:c r="AK42" s="12" t="str">
        <x:v>not_applicable</x:v>
      </x:c>
      <x:c r="AL42" s="12" t="str">
        <x:v>none</x:v>
      </x:c>
      <x:c r="AM42" s="14" t="str">
        <x:v>Clear and well-aligned facial landmarks with no major pose, crop, or occlusion issue.</x:v>
      </x:c>
    </x:row>
    <x:row r="43" ht="28" customHeight="1">
      <x:c r="A43" s="12" t="str">
        <x:v>angry_042</x:v>
      </x:c>
      <x:c r="B43" s="12" t="str">
        <x:v>angry</x:v>
      </x:c>
      <x:c r="C43" s="14" t="str">
        <x:v>angry/Training_24890384.jpg</x:v>
      </x:c>
      <x:c r="D43" s="12" t="str">
        <x:v>5354c2fbdcbeea505818adc4711e6fe1d9a524a898f54bcac6017df216c99b98</x:v>
      </x:c>
      <x:c r="E43" s="12" t="str">
        <x:v>5354c2fbdcbeea505818adc4711e6fe1d9a524a898f54bcac6017df216c99b98</x:v>
      </x:c>
      <x:c r="F43" s="12" t="str">
        <x:v>True</x:v>
      </x:c>
      <x:c r="G43" s="12" t="str">
        <x:v>48</x:v>
      </x:c>
      <x:c r="H43" s="12" t="str">
        <x:v>48</x:v>
      </x:c>
      <x:c r="I43" s="12" t="str">
        <x:v>0.0</x:v>
      </x:c>
      <x:c r="J43" s="12" t="str">
        <x:v>0.0</x:v>
      </x:c>
      <x:c r="K43" s="12" t="str">
        <x:v>47.0</x:v>
      </x:c>
      <x:c r="L43" s="12" t="str">
        <x:v>47.0</x:v>
      </x:c>
      <x:c r="M43" s="12" t="str">
        <x:v>True</x:v>
      </x:c>
      <x:c r="N43" s="12" t="str">
        <x:v>68</x:v>
      </x:c>
      <x:c r="O43" s="12" t="str">
        <x:v>68</x:v>
      </x:c>
      <x:c r="P43" s="16" t="str">
        <x:v>1.0</x:v>
      </x:c>
      <x:c r="Q43" s="12" t="str">
        <x:v>67</x:v>
      </x:c>
      <x:c r="R43" s="16" t="str">
        <x:v>0.9852941176470589</x:v>
      </x:c>
      <x:c r="S43" s="12" t="str">
        <x:v>0.2</x:v>
      </x:c>
      <x:c r="T43" s="12" t="str">
        <x:v>68</x:v>
      </x:c>
      <x:c r="U43" s="16" t="str">
        <x:v>1.0</x:v>
      </x:c>
      <x:c r="V43" s="18" t="str">
        <x:v>0.567676305770874</x:v>
      </x:c>
      <x:c r="W43" s="18" t="str">
        <x:v>0.6665354609489441</x:v>
      </x:c>
      <x:c r="X43" s="18" t="str">
        <x:v>0.7678751349449158</x:v>
      </x:c>
      <x:c r="Y43" s="18" t="str">
        <x:v>0.7763336896896362</x:v>
      </x:c>
      <x:c r="Z43" s="18" t="str">
        <x:v>0.8354653477668762</x:v>
      </x:c>
      <x:c r="AA43" s="18" t="str">
        <x:v>0.8853278756141663</x:v>
      </x:c>
      <x:c r="AB43" s="20" t="str">
        <x:v>182.5262999991537</x:v>
      </x:c>
      <x:c r="AC43" s="12" t="str">
        <x:v>overlays\angry_042.png</x:v>
      </x:c>
      <x:c r="AD43" s="12" t="str"/>
      <x:c r="AE43" s="12" t="str"/>
      <x:c r="AF43" s="12" t="str">
        <x:v>good</x:v>
      </x:c>
      <x:c r="AG43" s="12" t="n">
        <x:v>1</x:v>
      </x:c>
      <x:c r="AH43" s="12" t="str">
        <x:v>good</x:v>
      </x:c>
      <x:c r="AI43" s="12" t="str">
        <x:v>good</x:v>
      </x:c>
      <x:c r="AJ43" s="12" t="str">
        <x:v>good</x:v>
      </x:c>
      <x:c r="AK43" s="12" t="str">
        <x:v>good</x:v>
      </x:c>
      <x:c r="AL43" s="12" t="str">
        <x:v>none</x:v>
      </x:c>
      <x:c r="AM43" s="14" t="str">
        <x:v>Clear and well-aligned facial landmarks with no major pose, crop, or occlusion issue.</x:v>
      </x:c>
    </x:row>
    <x:row r="44" ht="28" customHeight="1">
      <x:c r="A44" s="12" t="str">
        <x:v>angry_043</x:v>
      </x:c>
      <x:c r="B44" s="12" t="str">
        <x:v>angry</x:v>
      </x:c>
      <x:c r="C44" s="14" t="str">
        <x:v>angry/Training_7489923.jpg</x:v>
      </x:c>
      <x:c r="D44" s="12" t="str">
        <x:v>5444ac025f5ffbcdefb01cadd012636ed95e83df80e17f3434d3893b61ceafee</x:v>
      </x:c>
      <x:c r="E44" s="12" t="str">
        <x:v>5444ac025f5ffbcdefb01cadd012636ed95e83df80e17f3434d3893b61ceafee</x:v>
      </x:c>
      <x:c r="F44" s="12" t="str">
        <x:v>True</x:v>
      </x:c>
      <x:c r="G44" s="12" t="str">
        <x:v>48</x:v>
      </x:c>
      <x:c r="H44" s="12" t="str">
        <x:v>48</x:v>
      </x:c>
      <x:c r="I44" s="12" t="str">
        <x:v>0.0</x:v>
      </x:c>
      <x:c r="J44" s="12" t="str">
        <x:v>0.0</x:v>
      </x:c>
      <x:c r="K44" s="12" t="str">
        <x:v>47.0</x:v>
      </x:c>
      <x:c r="L44" s="12" t="str">
        <x:v>47.0</x:v>
      </x:c>
      <x:c r="M44" s="12" t="str">
        <x:v>True</x:v>
      </x:c>
      <x:c r="N44" s="12" t="str">
        <x:v>68</x:v>
      </x:c>
      <x:c r="O44" s="12" t="str">
        <x:v>68</x:v>
      </x:c>
      <x:c r="P44" s="16" t="str">
        <x:v>1.0</x:v>
      </x:c>
      <x:c r="Q44" s="12" t="str">
        <x:v>65</x:v>
      </x:c>
      <x:c r="R44" s="16" t="str">
        <x:v>0.9558823529411765</x:v>
      </x:c>
      <x:c r="S44" s="12" t="str">
        <x:v>0.2</x:v>
      </x:c>
      <x:c r="T44" s="12" t="str">
        <x:v>68</x:v>
      </x:c>
      <x:c r="U44" s="16" t="str">
        <x:v>1.0</x:v>
      </x:c>
      <x:c r="V44" s="18" t="str">
        <x:v>0.7101026177406311</x:v>
      </x:c>
      <x:c r="W44" s="18" t="str">
        <x:v>0.7722987771034241</x:v>
      </x:c>
      <x:c r="X44" s="18" t="str">
        <x:v>0.8308078050613403</x:v>
      </x:c>
      <x:c r="Y44" s="18" t="str">
        <x:v>0.8343862295150757</x:v>
      </x:c>
      <x:c r="Z44" s="18" t="str">
        <x:v>0.8738123059272767</x:v>
      </x:c>
      <x:c r="AA44" s="18" t="str">
        <x:v>0.9071575403213501</x:v>
      </x:c>
      <x:c r="AB44" s="20" t="str">
        <x:v>242.4073000001954</x:v>
      </x:c>
      <x:c r="AC44" s="12" t="str">
        <x:v>overlays\angry_043.png</x:v>
      </x:c>
      <x:c r="AD44" s="12" t="str"/>
      <x:c r="AE44" s="12" t="str"/>
      <x:c r="AF44" s="12" t="str">
        <x:v>acceptable</x:v>
      </x:c>
      <x:c r="AG44" s="12" t="n">
        <x:v>1</x:v>
      </x:c>
      <x:c r="AH44" s="12" t="str">
        <x:v>acceptable</x:v>
      </x:c>
      <x:c r="AI44" s="12" t="str">
        <x:v>acceptable</x:v>
      </x:c>
      <x:c r="AJ44" s="12" t="str">
        <x:v>acceptable</x:v>
      </x:c>
      <x:c r="AK44" s="12" t="str">
        <x:v>acceptable</x:v>
      </x:c>
      <x:c r="AL44" s="12" t="str">
        <x:v>mild</x:v>
      </x:c>
      <x:c r="AM44" s="14" t="str">
        <x:v>Large pose or profile; visible landmarks remain useful, while hidden-side and contour points are inferred.</x:v>
      </x:c>
    </x:row>
    <x:row r="45" ht="28" customHeight="1">
      <x:c r="A45" s="12" t="str">
        <x:v>angry_044</x:v>
      </x:c>
      <x:c r="B45" s="12" t="str">
        <x:v>angry</x:v>
      </x:c>
      <x:c r="C45" s="14" t="str">
        <x:v>angry/Training_48906234.jpg</x:v>
      </x:c>
      <x:c r="D45" s="12" t="str">
        <x:v>a216b8637604e78131d80822848228557e3ed8e57db2156a637c91586ceda29b</x:v>
      </x:c>
      <x:c r="E45" s="12" t="str">
        <x:v>a216b8637604e78131d80822848228557e3ed8e57db2156a637c91586ceda29b</x:v>
      </x:c>
      <x:c r="F45" s="12" t="str">
        <x:v>True</x:v>
      </x:c>
      <x:c r="G45" s="12" t="str">
        <x:v>48</x:v>
      </x:c>
      <x:c r="H45" s="12" t="str">
        <x:v>48</x:v>
      </x:c>
      <x:c r="I45" s="12" t="str">
        <x:v>0.0</x:v>
      </x:c>
      <x:c r="J45" s="12" t="str">
        <x:v>0.0</x:v>
      </x:c>
      <x:c r="K45" s="12" t="str">
        <x:v>47.0</x:v>
      </x:c>
      <x:c r="L45" s="12" t="str">
        <x:v>47.0</x:v>
      </x:c>
      <x:c r="M45" s="12" t="str">
        <x:v>True</x:v>
      </x:c>
      <x:c r="N45" s="12" t="str">
        <x:v>68</x:v>
      </x:c>
      <x:c r="O45" s="12" t="str">
        <x:v>68</x:v>
      </x:c>
      <x:c r="P45" s="16" t="str">
        <x:v>1.0</x:v>
      </x:c>
      <x:c r="Q45" s="12" t="str">
        <x:v>68</x:v>
      </x:c>
      <x:c r="R45" s="16" t="str">
        <x:v>1.0</x:v>
      </x:c>
      <x:c r="S45" s="12" t="str">
        <x:v>0.2</x:v>
      </x:c>
      <x:c r="T45" s="12" t="str">
        <x:v>68</x:v>
      </x:c>
      <x:c r="U45" s="16" t="str">
        <x:v>1.0</x:v>
      </x:c>
      <x:c r="V45" s="18" t="str">
        <x:v>0.6781143546104431</x:v>
      </x:c>
      <x:c r="W45" s="18" t="str">
        <x:v>0.7688703238964081</x:v>
      </x:c>
      <x:c r="X45" s="18" t="str">
        <x:v>0.8242484331130981</x:v>
      </x:c>
      <x:c r="Y45" s="18" t="str">
        <x:v>0.8333119750022888</x:v>
      </x:c>
      <x:c r="Z45" s="18" t="str">
        <x:v>0.8659462928771973</x:v>
      </x:c>
      <x:c r="AA45" s="18" t="str">
        <x:v>0.9224985837936401</x:v>
      </x:c>
      <x:c r="AB45" s="20" t="str">
        <x:v>187.80749999859836</x:v>
      </x:c>
      <x:c r="AC45" s="12" t="str">
        <x:v>overlays\angry_044.png</x:v>
      </x:c>
      <x:c r="AD45" s="12" t="str"/>
      <x:c r="AE45" s="12" t="str"/>
      <x:c r="AF45" s="12" t="str">
        <x:v>good</x:v>
      </x:c>
      <x:c r="AG45" s="12" t="n">
        <x:v>1</x:v>
      </x:c>
      <x:c r="AH45" s="12" t="str">
        <x:v>good</x:v>
      </x:c>
      <x:c r="AI45" s="12" t="str">
        <x:v>good</x:v>
      </x:c>
      <x:c r="AJ45" s="12" t="str">
        <x:v>good</x:v>
      </x:c>
      <x:c r="AK45" s="12" t="str">
        <x:v>not_applicable</x:v>
      </x:c>
      <x:c r="AL45" s="12" t="str">
        <x:v>none</x:v>
      </x:c>
      <x:c r="AM45" s="14" t="str">
        <x:v>Clear and well-aligned facial landmarks with no major pose, crop, or occlusion issue.</x:v>
      </x:c>
    </x:row>
    <x:row r="46" ht="28" customHeight="1">
      <x:c r="A46" s="12" t="str">
        <x:v>angry_045</x:v>
      </x:c>
      <x:c r="B46" s="12" t="str">
        <x:v>angry</x:v>
      </x:c>
      <x:c r="C46" s="14" t="str">
        <x:v>angry/Training_40747741.jpg</x:v>
      </x:c>
      <x:c r="D46" s="12" t="str">
        <x:v>fca348cb63e83f5eaef283ea25fc6c3d156d5432b827b60b1ff9f1d3160f45ec</x:v>
      </x:c>
      <x:c r="E46" s="12" t="str">
        <x:v>fca348cb63e83f5eaef283ea25fc6c3d156d5432b827b60b1ff9f1d3160f45ec</x:v>
      </x:c>
      <x:c r="F46" s="12" t="str">
        <x:v>True</x:v>
      </x:c>
      <x:c r="G46" s="12" t="str">
        <x:v>48</x:v>
      </x:c>
      <x:c r="H46" s="12" t="str">
        <x:v>48</x:v>
      </x:c>
      <x:c r="I46" s="12" t="str">
        <x:v>0.0</x:v>
      </x:c>
      <x:c r="J46" s="12" t="str">
        <x:v>0.0</x:v>
      </x:c>
      <x:c r="K46" s="12" t="str">
        <x:v>47.0</x:v>
      </x:c>
      <x:c r="L46" s="12" t="str">
        <x:v>47.0</x:v>
      </x:c>
      <x:c r="M46" s="12" t="str">
        <x:v>True</x:v>
      </x:c>
      <x:c r="N46" s="12" t="str">
        <x:v>68</x:v>
      </x:c>
      <x:c r="O46" s="12" t="str">
        <x:v>68</x:v>
      </x:c>
      <x:c r="P46" s="16" t="str">
        <x:v>1.0</x:v>
      </x:c>
      <x:c r="Q46" s="12" t="str">
        <x:v>68</x:v>
      </x:c>
      <x:c r="R46" s="16" t="str">
        <x:v>1.0</x:v>
      </x:c>
      <x:c r="S46" s="12" t="str">
        <x:v>0.2</x:v>
      </x:c>
      <x:c r="T46" s="12" t="str">
        <x:v>68</x:v>
      </x:c>
      <x:c r="U46" s="16" t="str">
        <x:v>1.0</x:v>
      </x:c>
      <x:c r="V46" s="18" t="str">
        <x:v>0.6125584244728088</x:v>
      </x:c>
      <x:c r="W46" s="18" t="str">
        <x:v>0.7274760723114013</x:v>
      </x:c>
      <x:c r="X46" s="18" t="str">
        <x:v>0.8074450492858887</x:v>
      </x:c>
      <x:c r="Y46" s="18" t="str">
        <x:v>0.8213459253311157</x:v>
      </x:c>
      <x:c r="Z46" s="18" t="str">
        <x:v>0.8653786838054657</x:v>
      </x:c>
      <x:c r="AA46" s="18" t="str">
        <x:v>0.904248833656311</x:v>
      </x:c>
      <x:c r="AB46" s="20" t="str">
        <x:v>159.6535999997286</x:v>
      </x:c>
      <x:c r="AC46" s="12" t="str">
        <x:v>overlays\angry_045.png</x:v>
      </x:c>
      <x:c r="AD46" s="12" t="str"/>
      <x:c r="AE46" s="12" t="str"/>
      <x:c r="AF46" s="12" t="str">
        <x:v>good</x:v>
      </x:c>
      <x:c r="AG46" s="12" t="n">
        <x:v>1</x:v>
      </x:c>
      <x:c r="AH46" s="12" t="str">
        <x:v>good</x:v>
      </x:c>
      <x:c r="AI46" s="12" t="str">
        <x:v>good</x:v>
      </x:c>
      <x:c r="AJ46" s="12" t="str">
        <x:v>good</x:v>
      </x:c>
      <x:c r="AK46" s="12" t="str">
        <x:v>not_applicable</x:v>
      </x:c>
      <x:c r="AL46" s="12" t="str">
        <x:v>none</x:v>
      </x:c>
      <x:c r="AM46" s="14" t="str">
        <x:v>Clear and well-aligned facial landmarks with no major pose, crop, or occlusion issue.</x:v>
      </x:c>
    </x:row>
    <x:row r="47" ht="28" customHeight="1">
      <x:c r="A47" s="12" t="str">
        <x:v>angry_046</x:v>
      </x:c>
      <x:c r="B47" s="12" t="str">
        <x:v>angry</x:v>
      </x:c>
      <x:c r="C47" s="14" t="str">
        <x:v>angry/Training_35695824.jpg</x:v>
      </x:c>
      <x:c r="D47" s="12" t="str">
        <x:v>afcfd6db27ffc24c9f7667be6a7ac4e3305114ed086326efaf7da3c5dbd98054</x:v>
      </x:c>
      <x:c r="E47" s="12" t="str">
        <x:v>afcfd6db27ffc24c9f7667be6a7ac4e3305114ed086326efaf7da3c5dbd98054</x:v>
      </x:c>
      <x:c r="F47" s="12" t="str">
        <x:v>True</x:v>
      </x:c>
      <x:c r="G47" s="12" t="str">
        <x:v>48</x:v>
      </x:c>
      <x:c r="H47" s="12" t="str">
        <x:v>48</x:v>
      </x:c>
      <x:c r="I47" s="12" t="str">
        <x:v>0.0</x:v>
      </x:c>
      <x:c r="J47" s="12" t="str">
        <x:v>0.0</x:v>
      </x:c>
      <x:c r="K47" s="12" t="str">
        <x:v>47.0</x:v>
      </x:c>
      <x:c r="L47" s="12" t="str">
        <x:v>47.0</x:v>
      </x:c>
      <x:c r="M47" s="12" t="str">
        <x:v>True</x:v>
      </x:c>
      <x:c r="N47" s="12" t="str">
        <x:v>68</x:v>
      </x:c>
      <x:c r="O47" s="12" t="str">
        <x:v>68</x:v>
      </x:c>
      <x:c r="P47" s="16" t="str">
        <x:v>1.0</x:v>
      </x:c>
      <x:c r="Q47" s="12" t="str">
        <x:v>68</x:v>
      </x:c>
      <x:c r="R47" s="16" t="str">
        <x:v>1.0</x:v>
      </x:c>
      <x:c r="S47" s="12" t="str">
        <x:v>0.2</x:v>
      </x:c>
      <x:c r="T47" s="12" t="str">
        <x:v>68</x:v>
      </x:c>
      <x:c r="U47" s="16" t="str">
        <x:v>1.0</x:v>
      </x:c>
      <x:c r="V47" s="18" t="str">
        <x:v>0.7055425047874451</x:v>
      </x:c>
      <x:c r="W47" s="18" t="str">
        <x:v>0.7543782711029052</x:v>
      </x:c>
      <x:c r="X47" s="18" t="str">
        <x:v>0.8296852707862854</x:v>
      </x:c>
      <x:c r="Y47" s="18" t="str">
        <x:v>0.8403111696243286</x:v>
      </x:c>
      <x:c r="Z47" s="18" t="str">
        <x:v>0.8828483581542969</x:v>
      </x:c>
      <x:c r="AA47" s="18" t="str">
        <x:v>0.9114363789558411</x:v>
      </x:c>
      <x:c r="AB47" s="20" t="str">
        <x:v>189.56269999762299</x:v>
      </x:c>
      <x:c r="AC47" s="12" t="str">
        <x:v>overlays\angry_046.png</x:v>
      </x:c>
      <x:c r="AD47" s="12" t="str"/>
      <x:c r="AE47" s="12" t="str"/>
      <x:c r="AF47" s="12" t="str">
        <x:v>good</x:v>
      </x:c>
      <x:c r="AG47" s="12" t="n">
        <x:v>1</x:v>
      </x:c>
      <x:c r="AH47" s="12" t="str">
        <x:v>good</x:v>
      </x:c>
      <x:c r="AI47" s="12" t="str">
        <x:v>good</x:v>
      </x:c>
      <x:c r="AJ47" s="12" t="str">
        <x:v>good</x:v>
      </x:c>
      <x:c r="AK47" s="12" t="str">
        <x:v>not_applicable</x:v>
      </x:c>
      <x:c r="AL47" s="12" t="str">
        <x:v>none</x:v>
      </x:c>
      <x:c r="AM47" s="14" t="str">
        <x:v>Clear and well-aligned facial landmarks with no major pose, crop, or occlusion issue.</x:v>
      </x:c>
    </x:row>
    <x:row r="48" ht="28" customHeight="1">
      <x:c r="A48" s="12" t="str">
        <x:v>angry_047</x:v>
      </x:c>
      <x:c r="B48" s="12" t="str">
        <x:v>angry</x:v>
      </x:c>
      <x:c r="C48" s="14" t="str">
        <x:v>angry/Training_24511742.jpg</x:v>
      </x:c>
      <x:c r="D48" s="12" t="str">
        <x:v>d5c76b1e809242720e3c473f7e511503c1953a61687a670618a6a82679ea31b2</x:v>
      </x:c>
      <x:c r="E48" s="12" t="str">
        <x:v>d5c76b1e809242720e3c473f7e511503c1953a61687a670618a6a82679ea31b2</x:v>
      </x:c>
      <x:c r="F48" s="12" t="str">
        <x:v>True</x:v>
      </x:c>
      <x:c r="G48" s="12" t="str">
        <x:v>48</x:v>
      </x:c>
      <x:c r="H48" s="12" t="str">
        <x:v>48</x:v>
      </x:c>
      <x:c r="I48" s="12" t="str">
        <x:v>0.0</x:v>
      </x:c>
      <x:c r="J48" s="12" t="str">
        <x:v>0.0</x:v>
      </x:c>
      <x:c r="K48" s="12" t="str">
        <x:v>47.0</x:v>
      </x:c>
      <x:c r="L48" s="12" t="str">
        <x:v>47.0</x:v>
      </x:c>
      <x:c r="M48" s="12" t="str">
        <x:v>True</x:v>
      </x:c>
      <x:c r="N48" s="12" t="str">
        <x:v>68</x:v>
      </x:c>
      <x:c r="O48" s="12" t="str">
        <x:v>68</x:v>
      </x:c>
      <x:c r="P48" s="16" t="str">
        <x:v>1.0</x:v>
      </x:c>
      <x:c r="Q48" s="12" t="str">
        <x:v>67</x:v>
      </x:c>
      <x:c r="R48" s="16" t="str">
        <x:v>0.9852941176470589</x:v>
      </x:c>
      <x:c r="S48" s="12" t="str">
        <x:v>0.2</x:v>
      </x:c>
      <x:c r="T48" s="12" t="str">
        <x:v>68</x:v>
      </x:c>
      <x:c r="U48" s="16" t="str">
        <x:v>1.0</x:v>
      </x:c>
      <x:c r="V48" s="18" t="str">
        <x:v>0.7161110639572144</x:v>
      </x:c>
      <x:c r="W48" s="18" t="str">
        <x:v>0.7854943811893463</x:v>
      </x:c>
      <x:c r="X48" s="18" t="str">
        <x:v>0.8338154554367065</x:v>
      </x:c>
      <x:c r="Y48" s="18" t="str">
        <x:v>0.8359329104423523</x:v>
      </x:c>
      <x:c r="Z48" s="18" t="str">
        <x:v>0.8752095818519592</x:v>
      </x:c>
      <x:c r="AA48" s="18" t="str">
        <x:v>0.8977007269859314</x:v>
      </x:c>
      <x:c r="AB48" s="20" t="str">
        <x:v>161.43420000298647</x:v>
      </x:c>
      <x:c r="AC48" s="12" t="str">
        <x:v>overlays\angry_047.png</x:v>
      </x:c>
      <x:c r="AD48" s="12" t="str"/>
      <x:c r="AE48" s="12" t="str"/>
      <x:c r="AF48" s="12" t="str">
        <x:v>good</x:v>
      </x:c>
      <x:c r="AG48" s="12" t="n">
        <x:v>1</x:v>
      </x:c>
      <x:c r="AH48" s="12" t="str">
        <x:v>good</x:v>
      </x:c>
      <x:c r="AI48" s="12" t="str">
        <x:v>good</x:v>
      </x:c>
      <x:c r="AJ48" s="12" t="str">
        <x:v>good</x:v>
      </x:c>
      <x:c r="AK48" s="12" t="str">
        <x:v>good</x:v>
      </x:c>
      <x:c r="AL48" s="12" t="str">
        <x:v>none</x:v>
      </x:c>
      <x:c r="AM48" s="14" t="str">
        <x:v>Large pose or profile; visible landmarks remain useful, while hidden-side and contour points are inferred.</x:v>
      </x:c>
    </x:row>
    <x:row r="49" ht="28" customHeight="1">
      <x:c r="A49" s="12" t="str">
        <x:v>angry_048</x:v>
      </x:c>
      <x:c r="B49" s="12" t="str">
        <x:v>angry</x:v>
      </x:c>
      <x:c r="C49" s="14" t="str">
        <x:v>angry/Training_29711189.jpg</x:v>
      </x:c>
      <x:c r="D49" s="12" t="str">
        <x:v>d2897f0eb26bda656bebd735daf8c093fc3d6f29299c0e1d4517e7a6453fd54d</x:v>
      </x:c>
      <x:c r="E49" s="12" t="str">
        <x:v>d2897f0eb26bda656bebd735daf8c093fc3d6f29299c0e1d4517e7a6453fd54d</x:v>
      </x:c>
      <x:c r="F49" s="12" t="str">
        <x:v>True</x:v>
      </x:c>
      <x:c r="G49" s="12" t="str">
        <x:v>48</x:v>
      </x:c>
      <x:c r="H49" s="12" t="str">
        <x:v>48</x:v>
      </x:c>
      <x:c r="I49" s="12" t="str">
        <x:v>0.0</x:v>
      </x:c>
      <x:c r="J49" s="12" t="str">
        <x:v>0.0</x:v>
      </x:c>
      <x:c r="K49" s="12" t="str">
        <x:v>47.0</x:v>
      </x:c>
      <x:c r="L49" s="12" t="str">
        <x:v>47.0</x:v>
      </x:c>
      <x:c r="M49" s="12" t="str">
        <x:v>True</x:v>
      </x:c>
      <x:c r="N49" s="12" t="str">
        <x:v>68</x:v>
      </x:c>
      <x:c r="O49" s="12" t="str">
        <x:v>68</x:v>
      </x:c>
      <x:c r="P49" s="16" t="str">
        <x:v>1.0</x:v>
      </x:c>
      <x:c r="Q49" s="12" t="str">
        <x:v>67</x:v>
      </x:c>
      <x:c r="R49" s="16" t="str">
        <x:v>0.9852941176470589</x:v>
      </x:c>
      <x:c r="S49" s="12" t="str">
        <x:v>0.2</x:v>
      </x:c>
      <x:c r="T49" s="12" t="str">
        <x:v>68</x:v>
      </x:c>
      <x:c r="U49" s="16" t="str">
        <x:v>1.0</x:v>
      </x:c>
      <x:c r="V49" s="18" t="str">
        <x:v>0.7649734616279602</x:v>
      </x:c>
      <x:c r="W49" s="18" t="str">
        <x:v>0.7869082272052765</x:v>
      </x:c>
      <x:c r="X49" s="18" t="str">
        <x:v>0.8343614935874939</x:v>
      </x:c>
      <x:c r="Y49" s="18" t="str">
        <x:v>0.8378415107727051</x:v>
      </x:c>
      <x:c r="Z49" s="18" t="str">
        <x:v>0.8792229175567627</x:v>
      </x:c>
      <x:c r="AA49" s="18" t="str">
        <x:v>0.8938940763473511</x:v>
      </x:c>
      <x:c r="AB49" s="20" t="str">
        <x:v>160.01300000061747</x:v>
      </x:c>
      <x:c r="AC49" s="12" t="str">
        <x:v>overlays\angry_048.png</x:v>
      </x:c>
      <x:c r="AD49" s="12" t="str"/>
      <x:c r="AE49" s="12" t="str"/>
      <x:c r="AF49" s="12" t="str">
        <x:v>acceptable</x:v>
      </x:c>
      <x:c r="AG49" s="12" t="n">
        <x:v>1</x:v>
      </x:c>
      <x:c r="AH49" s="12" t="str">
        <x:v>acceptable</x:v>
      </x:c>
      <x:c r="AI49" s="12" t="str">
        <x:v>acceptable</x:v>
      </x:c>
      <x:c r="AJ49" s="12" t="str">
        <x:v>acceptable</x:v>
      </x:c>
      <x:c r="AK49" s="12" t="str">
        <x:v>not_applicable</x:v>
      </x:c>
      <x:c r="AL49" s="12" t="str">
        <x:v>mild</x:v>
      </x:c>
      <x:c r="AM49" s="14" t="str">
        <x:v>Moderate pose, crop, blur, or facial texture causes minor landmark uncertainty; the result remains usable.</x:v>
      </x:c>
    </x:row>
    <x:row r="50" ht="28" customHeight="1">
      <x:c r="A50" s="12" t="str">
        <x:v>angry_049</x:v>
      </x:c>
      <x:c r="B50" s="12" t="str">
        <x:v>angry</x:v>
      </x:c>
      <x:c r="C50" s="14" t="str">
        <x:v>angry/Training_98547173.jpg</x:v>
      </x:c>
      <x:c r="D50" s="12" t="str">
        <x:v>334064ada54f6a47fef8126ebebb90a07ccfe555ce0ed2b396f3889a76a4a52e</x:v>
      </x:c>
      <x:c r="E50" s="12" t="str">
        <x:v>334064ada54f6a47fef8126ebebb90a07ccfe555ce0ed2b396f3889a76a4a52e</x:v>
      </x:c>
      <x:c r="F50" s="12" t="str">
        <x:v>True</x:v>
      </x:c>
      <x:c r="G50" s="12" t="str">
        <x:v>48</x:v>
      </x:c>
      <x:c r="H50" s="12" t="str">
        <x:v>48</x:v>
      </x:c>
      <x:c r="I50" s="12" t="str">
        <x:v>0.0</x:v>
      </x:c>
      <x:c r="J50" s="12" t="str">
        <x:v>0.0</x:v>
      </x:c>
      <x:c r="K50" s="12" t="str">
        <x:v>47.0</x:v>
      </x:c>
      <x:c r="L50" s="12" t="str">
        <x:v>47.0</x:v>
      </x:c>
      <x:c r="M50" s="12" t="str">
        <x:v>True</x:v>
      </x:c>
      <x:c r="N50" s="12" t="str">
        <x:v>68</x:v>
      </x:c>
      <x:c r="O50" s="12" t="str">
        <x:v>68</x:v>
      </x:c>
      <x:c r="P50" s="16" t="str">
        <x:v>1.0</x:v>
      </x:c>
      <x:c r="Q50" s="12" t="str">
        <x:v>68</x:v>
      </x:c>
      <x:c r="R50" s="16" t="str">
        <x:v>1.0</x:v>
      </x:c>
      <x:c r="S50" s="12" t="str">
        <x:v>0.2</x:v>
      </x:c>
      <x:c r="T50" s="12" t="str">
        <x:v>68</x:v>
      </x:c>
      <x:c r="U50" s="16" t="str">
        <x:v>1.0</x:v>
      </x:c>
      <x:c r="V50" s="18" t="str">
        <x:v>0.5411228537559509</x:v>
      </x:c>
      <x:c r="W50" s="18" t="str">
        <x:v>0.7052551209926605</x:v>
      </x:c>
      <x:c r="X50" s="18" t="str">
        <x:v>0.8022291660308838</x:v>
      </x:c>
      <x:c r="Y50" s="18" t="str">
        <x:v>0.819725751876831</x:v>
      </x:c>
      <x:c r="Z50" s="18" t="str">
        <x:v>0.8629619657993317</x:v>
      </x:c>
      <x:c r="AA50" s="18" t="str">
        <x:v>0.8897644877433777</x:v>
      </x:c>
      <x:c r="AB50" s="20" t="str">
        <x:v>196.3603000040166</x:v>
      </x:c>
      <x:c r="AC50" s="12" t="str">
        <x:v>overlays\angry_049.png</x:v>
      </x:c>
      <x:c r="AD50" s="12" t="str"/>
      <x:c r="AE50" s="12" t="str"/>
      <x:c r="AF50" s="12" t="str">
        <x:v>acceptable</x:v>
      </x:c>
      <x:c r="AG50" s="12" t="n">
        <x:v>1</x:v>
      </x:c>
      <x:c r="AH50" s="12" t="str">
        <x:v>acceptable</x:v>
      </x:c>
      <x:c r="AI50" s="12" t="str">
        <x:v>acceptable</x:v>
      </x:c>
      <x:c r="AJ50" s="12" t="str">
        <x:v>acceptable</x:v>
      </x:c>
      <x:c r="AK50" s="12" t="str">
        <x:v>not_applicable</x:v>
      </x:c>
      <x:c r="AL50" s="12" t="str">
        <x:v>mild</x:v>
      </x:c>
      <x:c r="AM50" s="14" t="str">
        <x:v>Moderate pose, crop, blur, or facial texture causes minor landmark uncertainty; the result remains usable.</x:v>
      </x:c>
    </x:row>
    <x:row r="51" ht="28" customHeight="1">
      <x:c r="A51" s="12" t="str">
        <x:v>angry_050</x:v>
      </x:c>
      <x:c r="B51" s="12" t="str">
        <x:v>angry</x:v>
      </x:c>
      <x:c r="C51" s="14" t="str">
        <x:v>angry/Training_80974557.jpg</x:v>
      </x:c>
      <x:c r="D51" s="12" t="str">
        <x:v>cb93cd062fbff67f551780b68ca20cedf8d5659d1717097f12ceb3c8629047ef</x:v>
      </x:c>
      <x:c r="E51" s="12" t="str">
        <x:v>cb93cd062fbff67f551780b68ca20cedf8d5659d1717097f12ceb3c8629047ef</x:v>
      </x:c>
      <x:c r="F51" s="12" t="str">
        <x:v>True</x:v>
      </x:c>
      <x:c r="G51" s="12" t="str">
        <x:v>48</x:v>
      </x:c>
      <x:c r="H51" s="12" t="str">
        <x:v>48</x:v>
      </x:c>
      <x:c r="I51" s="12" t="str">
        <x:v>0.0</x:v>
      </x:c>
      <x:c r="J51" s="12" t="str">
        <x:v>0.0</x:v>
      </x:c>
      <x:c r="K51" s="12" t="str">
        <x:v>47.0</x:v>
      </x:c>
      <x:c r="L51" s="12" t="str">
        <x:v>47.0</x:v>
      </x:c>
      <x:c r="M51" s="12" t="str">
        <x:v>True</x:v>
      </x:c>
      <x:c r="N51" s="12" t="str">
        <x:v>68</x:v>
      </x:c>
      <x:c r="O51" s="12" t="str">
        <x:v>68</x:v>
      </x:c>
      <x:c r="P51" s="16" t="str">
        <x:v>1.0</x:v>
      </x:c>
      <x:c r="Q51" s="12" t="str">
        <x:v>68</x:v>
      </x:c>
      <x:c r="R51" s="16" t="str">
        <x:v>1.0</x:v>
      </x:c>
      <x:c r="S51" s="12" t="str">
        <x:v>0.2</x:v>
      </x:c>
      <x:c r="T51" s="12" t="str">
        <x:v>68</x:v>
      </x:c>
      <x:c r="U51" s="16" t="str">
        <x:v>1.0</x:v>
      </x:c>
      <x:c r="V51" s="18" t="str">
        <x:v>0.5692712068557739</x:v>
      </x:c>
      <x:c r="W51" s="18" t="str">
        <x:v>0.6931225299835205</x:v>
      </x:c>
      <x:c r="X51" s="18" t="str">
        <x:v>0.7876734137535095</x:v>
      </x:c>
      <x:c r="Y51" s="18" t="str">
        <x:v>0.8020937442779541</x:v>
      </x:c>
      <x:c r="Z51" s="18" t="str">
        <x:v>0.86297767162323</x:v>
      </x:c>
      <x:c r="AA51" s="18" t="str">
        <x:v>0.9135481715202332</x:v>
      </x:c>
      <x:c r="AB51" s="20" t="str">
        <x:v>223.79709999950137</x:v>
      </x:c>
      <x:c r="AC51" s="12" t="str">
        <x:v>overlays\angry_050.png</x:v>
      </x:c>
      <x:c r="AD51" s="12" t="str"/>
      <x:c r="AE51" s="12" t="str"/>
      <x:c r="AF51" s="12" t="str">
        <x:v>acceptable</x:v>
      </x:c>
      <x:c r="AG51" s="12" t="n">
        <x:v>1</x:v>
      </x:c>
      <x:c r="AH51" s="12" t="str">
        <x:v>acceptable</x:v>
      </x:c>
      <x:c r="AI51" s="12" t="str">
        <x:v>acceptable</x:v>
      </x:c>
      <x:c r="AJ51" s="12" t="str">
        <x:v>acceptable</x:v>
      </x:c>
      <x:c r="AK51" s="12" t="str">
        <x:v>not_applicable</x:v>
      </x:c>
      <x:c r="AL51" s="12" t="str">
        <x:v>mild</x:v>
      </x:c>
      <x:c r="AM51" s="14" t="str">
        <x:v>Large pose or profile; visible landmarks remain useful, while hidden-side and contour points are inferred.</x:v>
      </x:c>
    </x:row>
    <x:row r="52" ht="28" customHeight="1">
      <x:c r="A52" s="12" t="str">
        <x:v>disgust_001</x:v>
      </x:c>
      <x:c r="B52" s="12" t="str">
        <x:v>disgust</x:v>
      </x:c>
      <x:c r="C52" s="14" t="str">
        <x:v>disgust/Training_49158638.jpg</x:v>
      </x:c>
      <x:c r="D52" s="12" t="str">
        <x:v>8a6039e513d00fff41aa22f564b16f354500d74fa902ec53dc0f99adfeee3ae3</x:v>
      </x:c>
      <x:c r="E52" s="12" t="str">
        <x:v>8a6039e513d00fff41aa22f564b16f354500d74fa902ec53dc0f99adfeee3ae3</x:v>
      </x:c>
      <x:c r="F52" s="12" t="str">
        <x:v>True</x:v>
      </x:c>
      <x:c r="G52" s="12" t="str">
        <x:v>48</x:v>
      </x:c>
      <x:c r="H52" s="12" t="str">
        <x:v>48</x:v>
      </x:c>
      <x:c r="I52" s="12" t="str">
        <x:v>0.0</x:v>
      </x:c>
      <x:c r="J52" s="12" t="str">
        <x:v>0.0</x:v>
      </x:c>
      <x:c r="K52" s="12" t="str">
        <x:v>47.0</x:v>
      </x:c>
      <x:c r="L52" s="12" t="str">
        <x:v>47.0</x:v>
      </x:c>
      <x:c r="M52" s="12" t="str">
        <x:v>True</x:v>
      </x:c>
      <x:c r="N52" s="12" t="str">
        <x:v>68</x:v>
      </x:c>
      <x:c r="O52" s="12" t="str">
        <x:v>68</x:v>
      </x:c>
      <x:c r="P52" s="16" t="str">
        <x:v>1.0</x:v>
      </x:c>
      <x:c r="Q52" s="12" t="str">
        <x:v>66</x:v>
      </x:c>
      <x:c r="R52" s="16" t="str">
        <x:v>0.9705882352941176</x:v>
      </x:c>
      <x:c r="S52" s="12" t="str">
        <x:v>0.2</x:v>
      </x:c>
      <x:c r="T52" s="12" t="str">
        <x:v>68</x:v>
      </x:c>
      <x:c r="U52" s="16" t="str">
        <x:v>1.0</x:v>
      </x:c>
      <x:c r="V52" s="18" t="str">
        <x:v>0.6900970339775085</x:v>
      </x:c>
      <x:c r="W52" s="18" t="str">
        <x:v>0.7467491269111634</x:v>
      </x:c>
      <x:c r="X52" s="18" t="str">
        <x:v>0.8247273564338684</x:v>
      </x:c>
      <x:c r="Y52" s="18" t="str">
        <x:v>0.8406351208686829</x:v>
      </x:c>
      <x:c r="Z52" s="18" t="str">
        <x:v>0.8841081738471985</x:v>
      </x:c>
      <x:c r="AA52" s="18" t="str">
        <x:v>0.9072597622871399</x:v>
      </x:c>
      <x:c r="AB52" s="20" t="str">
        <x:v>173.06779999489663</x:v>
      </x:c>
      <x:c r="AC52" s="12" t="str">
        <x:v>overlays\disgust_001.png</x:v>
      </x:c>
      <x:c r="AD52" s="12" t="str"/>
      <x:c r="AE52" s="12" t="str"/>
      <x:c r="AF52" s="12" t="str">
        <x:v>acceptable</x:v>
      </x:c>
      <x:c r="AG52" s="12" t="n">
        <x:v>1</x:v>
      </x:c>
      <x:c r="AH52" s="12" t="str">
        <x:v>acceptable</x:v>
      </x:c>
      <x:c r="AI52" s="12" t="str">
        <x:v>acceptable</x:v>
      </x:c>
      <x:c r="AJ52" s="12" t="str">
        <x:v>acceptable</x:v>
      </x:c>
      <x:c r="AK52" s="12" t="str">
        <x:v>not_applicable</x:v>
      </x:c>
      <x:c r="AL52" s="12" t="str">
        <x:v>mild</x:v>
      </x:c>
      <x:c r="AM52" s="14" t="str">
        <x:v>Moderate pose, crop, blur, or facial texture causes minor landmark uncertainty; the result remains usable.</x:v>
      </x:c>
    </x:row>
    <x:row r="53" ht="28" customHeight="1">
      <x:c r="A53" s="12" t="str">
        <x:v>disgust_002</x:v>
      </x:c>
      <x:c r="B53" s="12" t="str">
        <x:v>disgust</x:v>
      </x:c>
      <x:c r="C53" s="14" t="str">
        <x:v>disgust/Training_20847777.jpg</x:v>
      </x:c>
      <x:c r="D53" s="12" t="str">
        <x:v>27ecb6a984b9182c35117d49de0e77e404edb0c05b46797b4abf9cf213b27b7a</x:v>
      </x:c>
      <x:c r="E53" s="12" t="str">
        <x:v>27ecb6a984b9182c35117d49de0e77e404edb0c05b46797b4abf9cf213b27b7a</x:v>
      </x:c>
      <x:c r="F53" s="12" t="str">
        <x:v>True</x:v>
      </x:c>
      <x:c r="G53" s="12" t="str">
        <x:v>48</x:v>
      </x:c>
      <x:c r="H53" s="12" t="str">
        <x:v>48</x:v>
      </x:c>
      <x:c r="I53" s="12" t="str">
        <x:v>0.0</x:v>
      </x:c>
      <x:c r="J53" s="12" t="str">
        <x:v>0.0</x:v>
      </x:c>
      <x:c r="K53" s="12" t="str">
        <x:v>47.0</x:v>
      </x:c>
      <x:c r="L53" s="12" t="str">
        <x:v>47.0</x:v>
      </x:c>
      <x:c r="M53" s="12" t="str">
        <x:v>True</x:v>
      </x:c>
      <x:c r="N53" s="12" t="str">
        <x:v>68</x:v>
      </x:c>
      <x:c r="O53" s="12" t="str">
        <x:v>68</x:v>
      </x:c>
      <x:c r="P53" s="16" t="str">
        <x:v>1.0</x:v>
      </x:c>
      <x:c r="Q53" s="12" t="str">
        <x:v>68</x:v>
      </x:c>
      <x:c r="R53" s="16" t="str">
        <x:v>1.0</x:v>
      </x:c>
      <x:c r="S53" s="12" t="str">
        <x:v>0.2</x:v>
      </x:c>
      <x:c r="T53" s="12" t="str">
        <x:v>68</x:v>
      </x:c>
      <x:c r="U53" s="16" t="str">
        <x:v>1.0</x:v>
      </x:c>
      <x:c r="V53" s="18" t="str">
        <x:v>0.6947774887084961</x:v>
      </x:c>
      <x:c r="W53" s="18" t="str">
        <x:v>0.7648922145366669</x:v>
      </x:c>
      <x:c r="X53" s="18" t="str">
        <x:v>0.8237871527671814</x:v>
      </x:c>
      <x:c r="Y53" s="18" t="str">
        <x:v>0.8265318870544434</x:v>
      </x:c>
      <x:c r="Z53" s="18" t="str">
        <x:v>0.8725650489330292</x:v>
      </x:c>
      <x:c r="AA53" s="18" t="str">
        <x:v>0.921314001083374</x:v>
      </x:c>
      <x:c r="AB53" s="20" t="str">
        <x:v>156.0207000002265</x:v>
      </x:c>
      <x:c r="AC53" s="12" t="str">
        <x:v>overlays\disgust_002.png</x:v>
      </x:c>
      <x:c r="AD53" s="12" t="str"/>
      <x:c r="AE53" s="12" t="str"/>
      <x:c r="AF53" s="12" t="str">
        <x:v>good</x:v>
      </x:c>
      <x:c r="AG53" s="12" t="n">
        <x:v>1</x:v>
      </x:c>
      <x:c r="AH53" s="12" t="str">
        <x:v>good</x:v>
      </x:c>
      <x:c r="AI53" s="12" t="str">
        <x:v>good</x:v>
      </x:c>
      <x:c r="AJ53" s="12" t="str">
        <x:v>good</x:v>
      </x:c>
      <x:c r="AK53" s="12" t="str">
        <x:v>good</x:v>
      </x:c>
      <x:c r="AL53" s="12" t="str">
        <x:v>none</x:v>
      </x:c>
      <x:c r="AM53" s="14" t="str">
        <x:v>Clear and well-aligned facial landmarks with no major pose, crop, or occlusion issue.</x:v>
      </x:c>
    </x:row>
    <x:row r="54" ht="28" customHeight="1">
      <x:c r="A54" s="12" t="str">
        <x:v>disgust_003</x:v>
      </x:c>
      <x:c r="B54" s="12" t="str">
        <x:v>disgust</x:v>
      </x:c>
      <x:c r="C54" s="14" t="str">
        <x:v>disgust/Training_19915172.jpg</x:v>
      </x:c>
      <x:c r="D54" s="12" t="str">
        <x:v>38af3ba40e631d4d4f6379d0f517c92dcfaa5c2c239dbb512649e21a4f3e2711</x:v>
      </x:c>
      <x:c r="E54" s="12" t="str">
        <x:v>38af3ba40e631d4d4f6379d0f517c92dcfaa5c2c239dbb512649e21a4f3e2711</x:v>
      </x:c>
      <x:c r="F54" s="12" t="str">
        <x:v>True</x:v>
      </x:c>
      <x:c r="G54" s="12" t="str">
        <x:v>48</x:v>
      </x:c>
      <x:c r="H54" s="12" t="str">
        <x:v>48</x:v>
      </x:c>
      <x:c r="I54" s="12" t="str">
        <x:v>0.0</x:v>
      </x:c>
      <x:c r="J54" s="12" t="str">
        <x:v>0.0</x:v>
      </x:c>
      <x:c r="K54" s="12" t="str">
        <x:v>47.0</x:v>
      </x:c>
      <x:c r="L54" s="12" t="str">
        <x:v>47.0</x:v>
      </x:c>
      <x:c r="M54" s="12" t="str">
        <x:v>True</x:v>
      </x:c>
      <x:c r="N54" s="12" t="str">
        <x:v>68</x:v>
      </x:c>
      <x:c r="O54" s="12" t="str">
        <x:v>68</x:v>
      </x:c>
      <x:c r="P54" s="16" t="str">
        <x:v>1.0</x:v>
      </x:c>
      <x:c r="Q54" s="12" t="str">
        <x:v>68</x:v>
      </x:c>
      <x:c r="R54" s="16" t="str">
        <x:v>1.0</x:v>
      </x:c>
      <x:c r="S54" s="12" t="str">
        <x:v>0.2</x:v>
      </x:c>
      <x:c r="T54" s="12" t="str">
        <x:v>68</x:v>
      </x:c>
      <x:c r="U54" s="16" t="str">
        <x:v>1.0</x:v>
      </x:c>
      <x:c r="V54" s="18" t="str">
        <x:v>0.7097264528274536</x:v>
      </x:c>
      <x:c r="W54" s="18" t="str">
        <x:v>0.7701376497745513</x:v>
      </x:c>
      <x:c r="X54" s="18" t="str">
        <x:v>0.8311508297920227</x:v>
      </x:c>
      <x:c r="Y54" s="18" t="str">
        <x:v>0.8397492170333862</x:v>
      </x:c>
      <x:c r="Z54" s="18" t="str">
        <x:v>0.8735711634159088</x:v>
      </x:c>
      <x:c r="AA54" s="18" t="str">
        <x:v>0.8948615789413452</x:v>
      </x:c>
      <x:c r="AB54" s="20" t="str">
        <x:v>168.78449999785516</x:v>
      </x:c>
      <x:c r="AC54" s="12" t="str">
        <x:v>overlays\disgust_003.png</x:v>
      </x:c>
      <x:c r="AD54" s="12" t="str"/>
      <x:c r="AE54" s="12" t="str"/>
      <x:c r="AF54" s="12" t="str">
        <x:v>good</x:v>
      </x:c>
      <x:c r="AG54" s="12" t="n">
        <x:v>1</x:v>
      </x:c>
      <x:c r="AH54" s="12" t="str">
        <x:v>good</x:v>
      </x:c>
      <x:c r="AI54" s="12" t="str">
        <x:v>good</x:v>
      </x:c>
      <x:c r="AJ54" s="12" t="str">
        <x:v>good</x:v>
      </x:c>
      <x:c r="AK54" s="12" t="str">
        <x:v>not_applicable</x:v>
      </x:c>
      <x:c r="AL54" s="12" t="str">
        <x:v>none</x:v>
      </x:c>
      <x:c r="AM54" s="14" t="str">
        <x:v>Clear and well-aligned facial landmarks with no major pose, crop, or occlusion issue.</x:v>
      </x:c>
    </x:row>
    <x:row r="55" ht="28" customHeight="1">
      <x:c r="A55" s="12" t="str">
        <x:v>disgust_004</x:v>
      </x:c>
      <x:c r="B55" s="12" t="str">
        <x:v>disgust</x:v>
      </x:c>
      <x:c r="C55" s="14" t="str">
        <x:v>disgust/Training_53960771.jpg</x:v>
      </x:c>
      <x:c r="D55" s="12" t="str">
        <x:v>5f2cb571339100c625ea9239c198a869c7caab9413bbbe213b0a30f8fed11ac8</x:v>
      </x:c>
      <x:c r="E55" s="12" t="str">
        <x:v>5f2cb571339100c625ea9239c198a869c7caab9413bbbe213b0a30f8fed11ac8</x:v>
      </x:c>
      <x:c r="F55" s="12" t="str">
        <x:v>True</x:v>
      </x:c>
      <x:c r="G55" s="12" t="str">
        <x:v>48</x:v>
      </x:c>
      <x:c r="H55" s="12" t="str">
        <x:v>48</x:v>
      </x:c>
      <x:c r="I55" s="12" t="str">
        <x:v>0.0</x:v>
      </x:c>
      <x:c r="J55" s="12" t="str">
        <x:v>0.0</x:v>
      </x:c>
      <x:c r="K55" s="12" t="str">
        <x:v>47.0</x:v>
      </x:c>
      <x:c r="L55" s="12" t="str">
        <x:v>47.0</x:v>
      </x:c>
      <x:c r="M55" s="12" t="str">
        <x:v>True</x:v>
      </x:c>
      <x:c r="N55" s="12" t="str">
        <x:v>68</x:v>
      </x:c>
      <x:c r="O55" s="12" t="str">
        <x:v>68</x:v>
      </x:c>
      <x:c r="P55" s="16" t="str">
        <x:v>1.0</x:v>
      </x:c>
      <x:c r="Q55" s="12" t="str">
        <x:v>67</x:v>
      </x:c>
      <x:c r="R55" s="16" t="str">
        <x:v>0.9852941176470589</x:v>
      </x:c>
      <x:c r="S55" s="12" t="str">
        <x:v>0.2</x:v>
      </x:c>
      <x:c r="T55" s="12" t="str">
        <x:v>68</x:v>
      </x:c>
      <x:c r="U55" s="16" t="str">
        <x:v>1.0</x:v>
      </x:c>
      <x:c r="V55" s="18" t="str">
        <x:v>0.7006276249885559</x:v>
      </x:c>
      <x:c r="W55" s="18" t="str">
        <x:v>0.7574019134044647</x:v>
      </x:c>
      <x:c r="X55" s="18" t="str">
        <x:v>0.8202207088470459</x:v>
      </x:c>
      <x:c r="Y55" s="18" t="str">
        <x:v>0.8275198936462402</x:v>
      </x:c>
      <x:c r="Z55" s="18" t="str">
        <x:v>0.8634982943534851</x:v>
      </x:c>
      <x:c r="AA55" s="18" t="str">
        <x:v>0.8803158402442932</x:v>
      </x:c>
      <x:c r="AB55" s="20" t="str">
        <x:v>209.41580000362592</x:v>
      </x:c>
      <x:c r="AC55" s="12" t="str">
        <x:v>overlays\disgust_004.png</x:v>
      </x:c>
      <x:c r="AD55" s="12" t="str"/>
      <x:c r="AE55" s="12" t="str"/>
      <x:c r="AF55" s="12" t="str">
        <x:v>acceptable</x:v>
      </x:c>
      <x:c r="AG55" s="12" t="n">
        <x:v>1</x:v>
      </x:c>
      <x:c r="AH55" s="12" t="str">
        <x:v>acceptable</x:v>
      </x:c>
      <x:c r="AI55" s="12" t="str">
        <x:v>acceptable</x:v>
      </x:c>
      <x:c r="AJ55" s="12" t="str">
        <x:v>acceptable</x:v>
      </x:c>
      <x:c r="AK55" s="12" t="str">
        <x:v>not_applicable</x:v>
      </x:c>
      <x:c r="AL55" s="12" t="str">
        <x:v>mild</x:v>
      </x:c>
      <x:c r="AM55" s="14" t="str">
        <x:v>Large pose or profile; visible landmarks remain useful, while hidden-side and contour points are inferred.</x:v>
      </x:c>
    </x:row>
    <x:row r="56" ht="28" customHeight="1">
      <x:c r="A56" s="12" t="str">
        <x:v>disgust_005</x:v>
      </x:c>
      <x:c r="B56" s="12" t="str">
        <x:v>disgust</x:v>
      </x:c>
      <x:c r="C56" s="14" t="str">
        <x:v>disgust/Training_2036746.jpg</x:v>
      </x:c>
      <x:c r="D56" s="12" t="str">
        <x:v>887f574670c1a6c705699867d7ac63ccf7fc5bb477a45a61760894fbc3fb39aa</x:v>
      </x:c>
      <x:c r="E56" s="12" t="str">
        <x:v>887f574670c1a6c705699867d7ac63ccf7fc5bb477a45a61760894fbc3fb39aa</x:v>
      </x:c>
      <x:c r="F56" s="12" t="str">
        <x:v>True</x:v>
      </x:c>
      <x:c r="G56" s="12" t="str">
        <x:v>48</x:v>
      </x:c>
      <x:c r="H56" s="12" t="str">
        <x:v>48</x:v>
      </x:c>
      <x:c r="I56" s="12" t="str">
        <x:v>0.0</x:v>
      </x:c>
      <x:c r="J56" s="12" t="str">
        <x:v>0.0</x:v>
      </x:c>
      <x:c r="K56" s="12" t="str">
        <x:v>47.0</x:v>
      </x:c>
      <x:c r="L56" s="12" t="str">
        <x:v>47.0</x:v>
      </x:c>
      <x:c r="M56" s="12" t="str">
        <x:v>True</x:v>
      </x:c>
      <x:c r="N56" s="12" t="str">
        <x:v>68</x:v>
      </x:c>
      <x:c r="O56" s="12" t="str">
        <x:v>68</x:v>
      </x:c>
      <x:c r="P56" s="16" t="str">
        <x:v>1.0</x:v>
      </x:c>
      <x:c r="Q56" s="12" t="str">
        <x:v>68</x:v>
      </x:c>
      <x:c r="R56" s="16" t="str">
        <x:v>1.0</x:v>
      </x:c>
      <x:c r="S56" s="12" t="str">
        <x:v>0.2</x:v>
      </x:c>
      <x:c r="T56" s="12" t="str">
        <x:v>68</x:v>
      </x:c>
      <x:c r="U56" s="16" t="str">
        <x:v>1.0</x:v>
      </x:c>
      <x:c r="V56" s="18" t="str">
        <x:v>0.7224583625793457</x:v>
      </x:c>
      <x:c r="W56" s="18" t="str">
        <x:v>0.7610913991928101</x:v>
      </x:c>
      <x:c r="X56" s="18" t="str">
        <x:v>0.835483193397522</x:v>
      </x:c>
      <x:c r="Y56" s="18" t="str">
        <x:v>0.8496042490005493</x:v>
      </x:c>
      <x:c r="Z56" s="18" t="str">
        <x:v>0.8760090351104737</x:v>
      </x:c>
      <x:c r="AA56" s="18" t="str">
        <x:v>0.8898993730545044</x:v>
      </x:c>
      <x:c r="AB56" s="20" t="str">
        <x:v>157.41350000462262</x:v>
      </x:c>
      <x:c r="AC56" s="12" t="str">
        <x:v>overlays\disgust_005.png</x:v>
      </x:c>
      <x:c r="AD56" s="12" t="str"/>
      <x:c r="AE56" s="12" t="str"/>
      <x:c r="AF56" s="12" t="str">
        <x:v>good</x:v>
      </x:c>
      <x:c r="AG56" s="12" t="n">
        <x:v>1</x:v>
      </x:c>
      <x:c r="AH56" s="12" t="str">
        <x:v>good</x:v>
      </x:c>
      <x:c r="AI56" s="12" t="str">
        <x:v>good</x:v>
      </x:c>
      <x:c r="AJ56" s="12" t="str">
        <x:v>good</x:v>
      </x:c>
      <x:c r="AK56" s="12" t="str">
        <x:v>not_applicable</x:v>
      </x:c>
      <x:c r="AL56" s="12" t="str">
        <x:v>none</x:v>
      </x:c>
      <x:c r="AM56" s="14" t="str">
        <x:v>Clear and well-aligned facial landmarks with no major pose, crop, or occlusion issue.</x:v>
      </x:c>
    </x:row>
    <x:row r="57" ht="28" customHeight="1">
      <x:c r="A57" s="12" t="str">
        <x:v>disgust_006</x:v>
      </x:c>
      <x:c r="B57" s="12" t="str">
        <x:v>disgust</x:v>
      </x:c>
      <x:c r="C57" s="14" t="str">
        <x:v>disgust/Training_52126443.jpg</x:v>
      </x:c>
      <x:c r="D57" s="12" t="str">
        <x:v>558b837b4d086aa477ac2fc652659e76aaee4b0e3844a8c8c316aadf730f8a8f</x:v>
      </x:c>
      <x:c r="E57" s="12" t="str">
        <x:v>558b837b4d086aa477ac2fc652659e76aaee4b0e3844a8c8c316aadf730f8a8f</x:v>
      </x:c>
      <x:c r="F57" s="12" t="str">
        <x:v>True</x:v>
      </x:c>
      <x:c r="G57" s="12" t="str">
        <x:v>48</x:v>
      </x:c>
      <x:c r="H57" s="12" t="str">
        <x:v>48</x:v>
      </x:c>
      <x:c r="I57" s="12" t="str">
        <x:v>0.0</x:v>
      </x:c>
      <x:c r="J57" s="12" t="str">
        <x:v>0.0</x:v>
      </x:c>
      <x:c r="K57" s="12" t="str">
        <x:v>47.0</x:v>
      </x:c>
      <x:c r="L57" s="12" t="str">
        <x:v>47.0</x:v>
      </x:c>
      <x:c r="M57" s="12" t="str">
        <x:v>True</x:v>
      </x:c>
      <x:c r="N57" s="12" t="str">
        <x:v>68</x:v>
      </x:c>
      <x:c r="O57" s="12" t="str">
        <x:v>68</x:v>
      </x:c>
      <x:c r="P57" s="16" t="str">
        <x:v>1.0</x:v>
      </x:c>
      <x:c r="Q57" s="12" t="str">
        <x:v>68</x:v>
      </x:c>
      <x:c r="R57" s="16" t="str">
        <x:v>1.0</x:v>
      </x:c>
      <x:c r="S57" s="12" t="str">
        <x:v>0.2</x:v>
      </x:c>
      <x:c r="T57" s="12" t="str">
        <x:v>68</x:v>
      </x:c>
      <x:c r="U57" s="16" t="str">
        <x:v>1.0</x:v>
      </x:c>
      <x:c r="V57" s="18" t="str">
        <x:v>0.5494435429573059</x:v>
      </x:c>
      <x:c r="W57" s="18" t="str">
        <x:v>0.7414847314357758</x:v>
      </x:c>
      <x:c r="X57" s="18" t="str">
        <x:v>0.8097267746925354</x:v>
      </x:c>
      <x:c r="Y57" s="18" t="str">
        <x:v>0.8267593383789062</x:v>
      </x:c>
      <x:c r="Z57" s="18" t="str">
        <x:v>0.8765240728855134</x:v>
      </x:c>
      <x:c r="AA57" s="18" t="str">
        <x:v>0.899093747138977</x:v>
      </x:c>
      <x:c r="AB57" s="20" t="str">
        <x:v>154.3119999987539</x:v>
      </x:c>
      <x:c r="AC57" s="12" t="str">
        <x:v>overlays\disgust_006.png</x:v>
      </x:c>
      <x:c r="AD57" s="12" t="str"/>
      <x:c r="AE57" s="12" t="str"/>
      <x:c r="AF57" s="12" t="str">
        <x:v>good</x:v>
      </x:c>
      <x:c r="AG57" s="12" t="n">
        <x:v>1</x:v>
      </x:c>
      <x:c r="AH57" s="12" t="str">
        <x:v>good</x:v>
      </x:c>
      <x:c r="AI57" s="12" t="str">
        <x:v>good</x:v>
      </x:c>
      <x:c r="AJ57" s="12" t="str">
        <x:v>good</x:v>
      </x:c>
      <x:c r="AK57" s="12" t="str">
        <x:v>good</x:v>
      </x:c>
      <x:c r="AL57" s="12" t="str">
        <x:v>none</x:v>
      </x:c>
      <x:c r="AM57" s="14" t="str">
        <x:v>Clear and well-aligned facial landmarks with no major pose, crop, or occlusion issue.</x:v>
      </x:c>
    </x:row>
    <x:row r="58" ht="28" customHeight="1">
      <x:c r="A58" s="12" t="str">
        <x:v>disgust_007</x:v>
      </x:c>
      <x:c r="B58" s="12" t="str">
        <x:v>disgust</x:v>
      </x:c>
      <x:c r="C58" s="14" t="str">
        <x:v>disgust/Training_9948239.jpg</x:v>
      </x:c>
      <x:c r="D58" s="12" t="str">
        <x:v>f1de5b3ca255021aa6f2cc756bd4ae3fd4d5e2241004ff566c222647786a0996</x:v>
      </x:c>
      <x:c r="E58" s="12" t="str">
        <x:v>f1de5b3ca255021aa6f2cc756bd4ae3fd4d5e2241004ff566c222647786a0996</x:v>
      </x:c>
      <x:c r="F58" s="12" t="str">
        <x:v>True</x:v>
      </x:c>
      <x:c r="G58" s="12" t="str">
        <x:v>48</x:v>
      </x:c>
      <x:c r="H58" s="12" t="str">
        <x:v>48</x:v>
      </x:c>
      <x:c r="I58" s="12" t="str">
        <x:v>0.0</x:v>
      </x:c>
      <x:c r="J58" s="12" t="str">
        <x:v>0.0</x:v>
      </x:c>
      <x:c r="K58" s="12" t="str">
        <x:v>47.0</x:v>
      </x:c>
      <x:c r="L58" s="12" t="str">
        <x:v>47.0</x:v>
      </x:c>
      <x:c r="M58" s="12" t="str">
        <x:v>True</x:v>
      </x:c>
      <x:c r="N58" s="12" t="str">
        <x:v>68</x:v>
      </x:c>
      <x:c r="O58" s="12" t="str">
        <x:v>68</x:v>
      </x:c>
      <x:c r="P58" s="16" t="str">
        <x:v>1.0</x:v>
      </x:c>
      <x:c r="Q58" s="12" t="str">
        <x:v>68</x:v>
      </x:c>
      <x:c r="R58" s="16" t="str">
        <x:v>1.0</x:v>
      </x:c>
      <x:c r="S58" s="12" t="str">
        <x:v>0.2</x:v>
      </x:c>
      <x:c r="T58" s="12" t="str">
        <x:v>68</x:v>
      </x:c>
      <x:c r="U58" s="16" t="str">
        <x:v>1.0</x:v>
      </x:c>
      <x:c r="V58" s="18" t="str">
        <x:v>0.6405519247055054</x:v>
      </x:c>
      <x:c r="W58" s="18" t="str">
        <x:v>0.731206727027893</x:v>
      </x:c>
      <x:c r="X58" s="18" t="str">
        <x:v>0.822855532169342</x:v>
      </x:c>
      <x:c r="Y58" s="18" t="str">
        <x:v>0.8379930257797241</x:v>
      </x:c>
      <x:c r="Z58" s="18" t="str">
        <x:v>0.8710865795612336</x:v>
      </x:c>
      <x:c r="AA58" s="18" t="str">
        <x:v>0.9083176851272583</x:v>
      </x:c>
      <x:c r="AB58" s="20" t="str">
        <x:v>203.6889999944833</x:v>
      </x:c>
      <x:c r="AC58" s="12" t="str">
        <x:v>overlays\disgust_007.png</x:v>
      </x:c>
      <x:c r="AD58" s="12" t="str"/>
      <x:c r="AE58" s="12" t="str"/>
      <x:c r="AF58" s="12" t="str">
        <x:v>good</x:v>
      </x:c>
      <x:c r="AG58" s="12" t="n">
        <x:v>1</x:v>
      </x:c>
      <x:c r="AH58" s="12" t="str">
        <x:v>good</x:v>
      </x:c>
      <x:c r="AI58" s="12" t="str">
        <x:v>good</x:v>
      </x:c>
      <x:c r="AJ58" s="12" t="str">
        <x:v>good</x:v>
      </x:c>
      <x:c r="AK58" s="12" t="str">
        <x:v>not_applicable</x:v>
      </x:c>
      <x:c r="AL58" s="12" t="str">
        <x:v>none</x:v>
      </x:c>
      <x:c r="AM58" s="14" t="str">
        <x:v>Clear and well-aligned facial landmarks with no major pose, crop, or occlusion issue.</x:v>
      </x:c>
    </x:row>
    <x:row r="59" ht="28" customHeight="1">
      <x:c r="A59" s="12" t="str">
        <x:v>disgust_008</x:v>
      </x:c>
      <x:c r="B59" s="12" t="str">
        <x:v>disgust</x:v>
      </x:c>
      <x:c r="C59" s="14" t="str">
        <x:v>disgust/Training_50925427.jpg</x:v>
      </x:c>
      <x:c r="D59" s="12" t="str">
        <x:v>f64ef00facafc7ec4203495a33c4b4d094e64346a0d5014a35cd79231ba042b3</x:v>
      </x:c>
      <x:c r="E59" s="12" t="str">
        <x:v>f64ef00facafc7ec4203495a33c4b4d094e64346a0d5014a35cd79231ba042b3</x:v>
      </x:c>
      <x:c r="F59" s="12" t="str">
        <x:v>True</x:v>
      </x:c>
      <x:c r="G59" s="12" t="str">
        <x:v>48</x:v>
      </x:c>
      <x:c r="H59" s="12" t="str">
        <x:v>48</x:v>
      </x:c>
      <x:c r="I59" s="12" t="str">
        <x:v>0.0</x:v>
      </x:c>
      <x:c r="J59" s="12" t="str">
        <x:v>0.0</x:v>
      </x:c>
      <x:c r="K59" s="12" t="str">
        <x:v>47.0</x:v>
      </x:c>
      <x:c r="L59" s="12" t="str">
        <x:v>47.0</x:v>
      </x:c>
      <x:c r="M59" s="12" t="str">
        <x:v>True</x:v>
      </x:c>
      <x:c r="N59" s="12" t="str">
        <x:v>68</x:v>
      </x:c>
      <x:c r="O59" s="12" t="str">
        <x:v>68</x:v>
      </x:c>
      <x:c r="P59" s="16" t="str">
        <x:v>1.0</x:v>
      </x:c>
      <x:c r="Q59" s="12" t="str">
        <x:v>68</x:v>
      </x:c>
      <x:c r="R59" s="16" t="str">
        <x:v>1.0</x:v>
      </x:c>
      <x:c r="S59" s="12" t="str">
        <x:v>0.2</x:v>
      </x:c>
      <x:c r="T59" s="12" t="str">
        <x:v>68</x:v>
      </x:c>
      <x:c r="U59" s="16" t="str">
        <x:v>1.0</x:v>
      </x:c>
      <x:c r="V59" s="18" t="str">
        <x:v>0.7102150321006775</x:v>
      </x:c>
      <x:c r="W59" s="18" t="str">
        <x:v>0.7620190918445587</x:v>
      </x:c>
      <x:c r="X59" s="18" t="str">
        <x:v>0.8174026012420654</x:v>
      </x:c>
      <x:c r="Y59" s="18" t="str">
        <x:v>0.8212656378746033</x:v>
      </x:c>
      <x:c r="Z59" s="18" t="str">
        <x:v>0.8642465174198151</x:v>
      </x:c>
      <x:c r="AA59" s="18" t="str">
        <x:v>0.8950106501579285</x:v>
      </x:c>
      <x:c r="AB59" s="20" t="str">
        <x:v>159.24580000137212</x:v>
      </x:c>
      <x:c r="AC59" s="12" t="str">
        <x:v>overlays\disgust_008.png</x:v>
      </x:c>
      <x:c r="AD59" s="12" t="str"/>
      <x:c r="AE59" s="12" t="str"/>
      <x:c r="AF59" s="12" t="str">
        <x:v>good</x:v>
      </x:c>
      <x:c r="AG59" s="12" t="n">
        <x:v>1</x:v>
      </x:c>
      <x:c r="AH59" s="12" t="str">
        <x:v>good</x:v>
      </x:c>
      <x:c r="AI59" s="12" t="str">
        <x:v>good</x:v>
      </x:c>
      <x:c r="AJ59" s="12" t="str">
        <x:v>good</x:v>
      </x:c>
      <x:c r="AK59" s="12" t="str">
        <x:v>not_applicable</x:v>
      </x:c>
      <x:c r="AL59" s="12" t="str">
        <x:v>none</x:v>
      </x:c>
      <x:c r="AM59" s="14" t="str">
        <x:v>Clear and well-aligned facial landmarks with no major pose, crop, or occlusion issue.</x:v>
      </x:c>
    </x:row>
    <x:row r="60" ht="28" customHeight="1">
      <x:c r="A60" s="12" t="str">
        <x:v>disgust_009</x:v>
      </x:c>
      <x:c r="B60" s="12" t="str">
        <x:v>disgust</x:v>
      </x:c>
      <x:c r="C60" s="14" t="str">
        <x:v>disgust/Training_76279247.jpg</x:v>
      </x:c>
      <x:c r="D60" s="12" t="str">
        <x:v>a8d1e104ab9357d080a586da31d009b1baff1a7d5cb500b49cf715d210bfdca4</x:v>
      </x:c>
      <x:c r="E60" s="12" t="str">
        <x:v>a8d1e104ab9357d080a586da31d009b1baff1a7d5cb500b49cf715d210bfdca4</x:v>
      </x:c>
      <x:c r="F60" s="12" t="str">
        <x:v>True</x:v>
      </x:c>
      <x:c r="G60" s="12" t="str">
        <x:v>48</x:v>
      </x:c>
      <x:c r="H60" s="12" t="str">
        <x:v>48</x:v>
      </x:c>
      <x:c r="I60" s="12" t="str">
        <x:v>0.0</x:v>
      </x:c>
      <x:c r="J60" s="12" t="str">
        <x:v>0.0</x:v>
      </x:c>
      <x:c r="K60" s="12" t="str">
        <x:v>47.0</x:v>
      </x:c>
      <x:c r="L60" s="12" t="str">
        <x:v>47.0</x:v>
      </x:c>
      <x:c r="M60" s="12" t="str">
        <x:v>True</x:v>
      </x:c>
      <x:c r="N60" s="12" t="str">
        <x:v>68</x:v>
      </x:c>
      <x:c r="O60" s="12" t="str">
        <x:v>68</x:v>
      </x:c>
      <x:c r="P60" s="16" t="str">
        <x:v>1.0</x:v>
      </x:c>
      <x:c r="Q60" s="12" t="str">
        <x:v>67</x:v>
      </x:c>
      <x:c r="R60" s="16" t="str">
        <x:v>0.9852941176470589</x:v>
      </x:c>
      <x:c r="S60" s="12" t="str">
        <x:v>0.2</x:v>
      </x:c>
      <x:c r="T60" s="12" t="str">
        <x:v>68</x:v>
      </x:c>
      <x:c r="U60" s="16" t="str">
        <x:v>1.0</x:v>
      </x:c>
      <x:c r="V60" s="18" t="str">
        <x:v>0.43443360924720764</x:v>
      </x:c>
      <x:c r="W60" s="18" t="str">
        <x:v>0.7166696906089782</x:v>
      </x:c>
      <x:c r="X60" s="18" t="str">
        <x:v>0.7997899055480957</x:v>
      </x:c>
      <x:c r="Y60" s="18" t="str">
        <x:v>0.8200256824493408</x:v>
      </x:c>
      <x:c r="Z60" s="18" t="str">
        <x:v>0.8694724380970001</x:v>
      </x:c>
      <x:c r="AA60" s="18" t="str">
        <x:v>0.8990427255630493</x:v>
      </x:c>
      <x:c r="AB60" s="20" t="str">
        <x:v>160.1966000016546</x:v>
      </x:c>
      <x:c r="AC60" s="12" t="str">
        <x:v>overlays\disgust_009.png</x:v>
      </x:c>
      <x:c r="AD60" s="12" t="str"/>
      <x:c r="AE60" s="12" t="str"/>
      <x:c r="AF60" s="12" t="str">
        <x:v>good</x:v>
      </x:c>
      <x:c r="AG60" s="12" t="n">
        <x:v>1</x:v>
      </x:c>
      <x:c r="AH60" s="12" t="str">
        <x:v>good</x:v>
      </x:c>
      <x:c r="AI60" s="12" t="str">
        <x:v>good</x:v>
      </x:c>
      <x:c r="AJ60" s="12" t="str">
        <x:v>good</x:v>
      </x:c>
      <x:c r="AK60" s="12" t="str">
        <x:v>not_applicable</x:v>
      </x:c>
      <x:c r="AL60" s="12" t="str">
        <x:v>none</x:v>
      </x:c>
      <x:c r="AM60" s="14" t="str">
        <x:v>Clear and well-aligned facial landmarks with no major pose, crop, or occlusion issue.</x:v>
      </x:c>
    </x:row>
    <x:row r="61" ht="28" customHeight="1">
      <x:c r="A61" s="12" t="str">
        <x:v>disgust_010</x:v>
      </x:c>
      <x:c r="B61" s="12" t="str">
        <x:v>disgust</x:v>
      </x:c>
      <x:c r="C61" s="14" t="str">
        <x:v>disgust/Training_39831964.jpg</x:v>
      </x:c>
      <x:c r="D61" s="12" t="str">
        <x:v>d1062b436912a8c89e2037e19da3b93f0c7ee49d90767a23bdaf67d5c365999a</x:v>
      </x:c>
      <x:c r="E61" s="12" t="str">
        <x:v>d1062b436912a8c89e2037e19da3b93f0c7ee49d90767a23bdaf67d5c365999a</x:v>
      </x:c>
      <x:c r="F61" s="12" t="str">
        <x:v>True</x:v>
      </x:c>
      <x:c r="G61" s="12" t="str">
        <x:v>48</x:v>
      </x:c>
      <x:c r="H61" s="12" t="str">
        <x:v>48</x:v>
      </x:c>
      <x:c r="I61" s="12" t="str">
        <x:v>0.0</x:v>
      </x:c>
      <x:c r="J61" s="12" t="str">
        <x:v>0.0</x:v>
      </x:c>
      <x:c r="K61" s="12" t="str">
        <x:v>47.0</x:v>
      </x:c>
      <x:c r="L61" s="12" t="str">
        <x:v>47.0</x:v>
      </x:c>
      <x:c r="M61" s="12" t="str">
        <x:v>True</x:v>
      </x:c>
      <x:c r="N61" s="12" t="str">
        <x:v>68</x:v>
      </x:c>
      <x:c r="O61" s="12" t="str">
        <x:v>68</x:v>
      </x:c>
      <x:c r="P61" s="16" t="str">
        <x:v>1.0</x:v>
      </x:c>
      <x:c r="Q61" s="12" t="str">
        <x:v>68</x:v>
      </x:c>
      <x:c r="R61" s="16" t="str">
        <x:v>1.0</x:v>
      </x:c>
      <x:c r="S61" s="12" t="str">
        <x:v>0.2</x:v>
      </x:c>
      <x:c r="T61" s="12" t="str">
        <x:v>68</x:v>
      </x:c>
      <x:c r="U61" s="16" t="str">
        <x:v>1.0</x:v>
      </x:c>
      <x:c r="V61" s="18" t="str">
        <x:v>0.4608801305294037</x:v>
      </x:c>
      <x:c r="W61" s="18" t="str">
        <x:v>0.6685697734355927</x:v>
      </x:c>
      <x:c r="X61" s="18" t="str">
        <x:v>0.7913917303085327</x:v>
      </x:c>
      <x:c r="Y61" s="18" t="str">
        <x:v>0.8293030261993408</x:v>
      </x:c>
      <x:c r="Z61" s="18" t="str">
        <x:v>0.8648726046085358</x:v>
      </x:c>
      <x:c r="AA61" s="18" t="str">
        <x:v>0.8962134122848511</x:v>
      </x:c>
      <x:c r="AB61" s="20" t="str">
        <x:v>167.27470000478206</x:v>
      </x:c>
      <x:c r="AC61" s="12" t="str">
        <x:v>overlays\disgust_010.png</x:v>
      </x:c>
      <x:c r="AD61" s="12" t="str"/>
      <x:c r="AE61" s="12" t="str"/>
      <x:c r="AF61" s="12" t="str">
        <x:v>acceptable</x:v>
      </x:c>
      <x:c r="AG61" s="12" t="n">
        <x:v>1</x:v>
      </x:c>
      <x:c r="AH61" s="12" t="str">
        <x:v>acceptable</x:v>
      </x:c>
      <x:c r="AI61" s="12" t="str">
        <x:v>acceptable</x:v>
      </x:c>
      <x:c r="AJ61" s="12" t="str">
        <x:v>acceptable</x:v>
      </x:c>
      <x:c r="AK61" s="12" t="str">
        <x:v>not_applicable</x:v>
      </x:c>
      <x:c r="AL61" s="12" t="str">
        <x:v>mild</x:v>
      </x:c>
      <x:c r="AM61" s="14" t="str">
        <x:v>Moderate pose, crop, blur, or facial texture causes minor landmark uncertainty; the result remains usable.</x:v>
      </x:c>
    </x:row>
    <x:row r="62" ht="28" customHeight="1">
      <x:c r="A62" s="12" t="str">
        <x:v>disgust_011</x:v>
      </x:c>
      <x:c r="B62" s="12" t="str">
        <x:v>disgust</x:v>
      </x:c>
      <x:c r="C62" s="14" t="str">
        <x:v>disgust/Training_96356478.jpg</x:v>
      </x:c>
      <x:c r="D62" s="12" t="str">
        <x:v>976cb0c537e7bcc424134abb7035d503dd8ad4f0ee18d0672f22b727b712a498</x:v>
      </x:c>
      <x:c r="E62" s="12" t="str">
        <x:v>976cb0c537e7bcc424134abb7035d503dd8ad4f0ee18d0672f22b727b712a498</x:v>
      </x:c>
      <x:c r="F62" s="12" t="str">
        <x:v>True</x:v>
      </x:c>
      <x:c r="G62" s="12" t="str">
        <x:v>48</x:v>
      </x:c>
      <x:c r="H62" s="12" t="str">
        <x:v>48</x:v>
      </x:c>
      <x:c r="I62" s="12" t="str">
        <x:v>0.0</x:v>
      </x:c>
      <x:c r="J62" s="12" t="str">
        <x:v>0.0</x:v>
      </x:c>
      <x:c r="K62" s="12" t="str">
        <x:v>47.0</x:v>
      </x:c>
      <x:c r="L62" s="12" t="str">
        <x:v>47.0</x:v>
      </x:c>
      <x:c r="M62" s="12" t="str">
        <x:v>True</x:v>
      </x:c>
      <x:c r="N62" s="12" t="str">
        <x:v>68</x:v>
      </x:c>
      <x:c r="O62" s="12" t="str">
        <x:v>68</x:v>
      </x:c>
      <x:c r="P62" s="16" t="str">
        <x:v>1.0</x:v>
      </x:c>
      <x:c r="Q62" s="12" t="str">
        <x:v>68</x:v>
      </x:c>
      <x:c r="R62" s="16" t="str">
        <x:v>1.0</x:v>
      </x:c>
      <x:c r="S62" s="12" t="str">
        <x:v>0.2</x:v>
      </x:c>
      <x:c r="T62" s="12" t="str">
        <x:v>68</x:v>
      </x:c>
      <x:c r="U62" s="16" t="str">
        <x:v>1.0</x:v>
      </x:c>
      <x:c r="V62" s="18" t="str">
        <x:v>0.6971269845962524</x:v>
      </x:c>
      <x:c r="W62" s="18" t="str">
        <x:v>0.7624712228775025</x:v>
      </x:c>
      <x:c r="X62" s="18" t="str">
        <x:v>0.8147635459899902</x:v>
      </x:c>
      <x:c r="Y62" s="18" t="str">
        <x:v>0.815854549407959</x:v>
      </x:c>
      <x:c r="Z62" s="18" t="str">
        <x:v>0.8648575842380524</x:v>
      </x:c>
      <x:c r="AA62" s="18" t="str">
        <x:v>0.895255982875824</x:v>
      </x:c>
      <x:c r="AB62" s="20" t="str">
        <x:v>197.40670000464888</x:v>
      </x:c>
      <x:c r="AC62" s="12" t="str">
        <x:v>overlays\disgust_011.png</x:v>
      </x:c>
      <x:c r="AD62" s="12" t="str"/>
      <x:c r="AE62" s="12" t="str"/>
      <x:c r="AF62" s="12" t="str">
        <x:v>good</x:v>
      </x:c>
      <x:c r="AG62" s="12" t="n">
        <x:v>1</x:v>
      </x:c>
      <x:c r="AH62" s="12" t="str">
        <x:v>good</x:v>
      </x:c>
      <x:c r="AI62" s="12" t="str">
        <x:v>good</x:v>
      </x:c>
      <x:c r="AJ62" s="12" t="str">
        <x:v>good</x:v>
      </x:c>
      <x:c r="AK62" s="12" t="str">
        <x:v>not_applicable</x:v>
      </x:c>
      <x:c r="AL62" s="12" t="str">
        <x:v>none</x:v>
      </x:c>
      <x:c r="AM62" s="14" t="str">
        <x:v>Clear and well-aligned facial landmarks with no major pose, crop, or occlusion issue.</x:v>
      </x:c>
    </x:row>
    <x:row r="63" ht="28" customHeight="1">
      <x:c r="A63" s="12" t="str">
        <x:v>disgust_012</x:v>
      </x:c>
      <x:c r="B63" s="12" t="str">
        <x:v>disgust</x:v>
      </x:c>
      <x:c r="C63" s="14" t="str">
        <x:v>disgust/Training_14049546.jpg</x:v>
      </x:c>
      <x:c r="D63" s="12" t="str">
        <x:v>fe0732aa8c457060678bb87a9551c3dc8aeb565c4c45ece7a5f72ccd4378a153</x:v>
      </x:c>
      <x:c r="E63" s="12" t="str">
        <x:v>fe0732aa8c457060678bb87a9551c3dc8aeb565c4c45ece7a5f72ccd4378a153</x:v>
      </x:c>
      <x:c r="F63" s="12" t="str">
        <x:v>True</x:v>
      </x:c>
      <x:c r="G63" s="12" t="str">
        <x:v>48</x:v>
      </x:c>
      <x:c r="H63" s="12" t="str">
        <x:v>48</x:v>
      </x:c>
      <x:c r="I63" s="12" t="str">
        <x:v>0.0</x:v>
      </x:c>
      <x:c r="J63" s="12" t="str">
        <x:v>0.0</x:v>
      </x:c>
      <x:c r="K63" s="12" t="str">
        <x:v>47.0</x:v>
      </x:c>
      <x:c r="L63" s="12" t="str">
        <x:v>47.0</x:v>
      </x:c>
      <x:c r="M63" s="12" t="str">
        <x:v>True</x:v>
      </x:c>
      <x:c r="N63" s="12" t="str">
        <x:v>68</x:v>
      </x:c>
      <x:c r="O63" s="12" t="str">
        <x:v>68</x:v>
      </x:c>
      <x:c r="P63" s="16" t="str">
        <x:v>1.0</x:v>
      </x:c>
      <x:c r="Q63" s="12" t="str">
        <x:v>66</x:v>
      </x:c>
      <x:c r="R63" s="16" t="str">
        <x:v>0.9705882352941176</x:v>
      </x:c>
      <x:c r="S63" s="12" t="str">
        <x:v>0.2</x:v>
      </x:c>
      <x:c r="T63" s="12" t="str">
        <x:v>68</x:v>
      </x:c>
      <x:c r="U63" s="16" t="str">
        <x:v>1.0</x:v>
      </x:c>
      <x:c r="V63" s="18" t="str">
        <x:v>0.47515010833740234</x:v>
      </x:c>
      <x:c r="W63" s="18" t="str">
        <x:v>0.6798159360885621</x:v>
      </x:c>
      <x:c r="X63" s="18" t="str">
        <x:v>0.7866219282150269</x:v>
      </x:c>
      <x:c r="Y63" s="18" t="str">
        <x:v>0.8174413442611694</x:v>
      </x:c>
      <x:c r="Z63" s="18" t="str">
        <x:v>0.8669069945812226</x:v>
      </x:c>
      <x:c r="AA63" s="18" t="str">
        <x:v>0.8964502811431885</x:v>
      </x:c>
      <x:c r="AB63" s="20" t="str">
        <x:v>225.68999999930384</x:v>
      </x:c>
      <x:c r="AC63" s="12" t="str">
        <x:v>overlays\disgust_012.png</x:v>
      </x:c>
      <x:c r="AD63" s="12" t="str"/>
      <x:c r="AE63" s="12" t="str"/>
      <x:c r="AF63" s="12" t="str">
        <x:v>acceptable</x:v>
      </x:c>
      <x:c r="AG63" s="12" t="n">
        <x:v>1</x:v>
      </x:c>
      <x:c r="AH63" s="12" t="str">
        <x:v>acceptable</x:v>
      </x:c>
      <x:c r="AI63" s="12" t="str">
        <x:v>acceptable</x:v>
      </x:c>
      <x:c r="AJ63" s="12" t="str">
        <x:v>acceptable</x:v>
      </x:c>
      <x:c r="AK63" s="12" t="str">
        <x:v>not_applicable</x:v>
      </x:c>
      <x:c r="AL63" s="12" t="str">
        <x:v>mild</x:v>
      </x:c>
      <x:c r="AM63" s="14" t="str">
        <x:v>Moderate pose, crop, blur, or facial texture causes minor landmark uncertainty; the result remains usable.</x:v>
      </x:c>
    </x:row>
    <x:row r="64" ht="28" customHeight="1">
      <x:c r="A64" s="12" t="str">
        <x:v>disgust_013</x:v>
      </x:c>
      <x:c r="B64" s="12" t="str">
        <x:v>disgust</x:v>
      </x:c>
      <x:c r="C64" s="14" t="str">
        <x:v>disgust/Training_87032685.jpg</x:v>
      </x:c>
      <x:c r="D64" s="12" t="str">
        <x:v>8491b40934bff848050addcda9637e90b6342054227afc41e85726c84210abb0</x:v>
      </x:c>
      <x:c r="E64" s="12" t="str">
        <x:v>8491b40934bff848050addcda9637e90b6342054227afc41e85726c84210abb0</x:v>
      </x:c>
      <x:c r="F64" s="12" t="str">
        <x:v>True</x:v>
      </x:c>
      <x:c r="G64" s="12" t="str">
        <x:v>48</x:v>
      </x:c>
      <x:c r="H64" s="12" t="str">
        <x:v>48</x:v>
      </x:c>
      <x:c r="I64" s="12" t="str">
        <x:v>0.0</x:v>
      </x:c>
      <x:c r="J64" s="12" t="str">
        <x:v>0.0</x:v>
      </x:c>
      <x:c r="K64" s="12" t="str">
        <x:v>47.0</x:v>
      </x:c>
      <x:c r="L64" s="12" t="str">
        <x:v>47.0</x:v>
      </x:c>
      <x:c r="M64" s="12" t="str">
        <x:v>True</x:v>
      </x:c>
      <x:c r="N64" s="12" t="str">
        <x:v>68</x:v>
      </x:c>
      <x:c r="O64" s="12" t="str">
        <x:v>68</x:v>
      </x:c>
      <x:c r="P64" s="16" t="str">
        <x:v>1.0</x:v>
      </x:c>
      <x:c r="Q64" s="12" t="str">
        <x:v>66</x:v>
      </x:c>
      <x:c r="R64" s="16" t="str">
        <x:v>0.9705882352941176</x:v>
      </x:c>
      <x:c r="S64" s="12" t="str">
        <x:v>0.2</x:v>
      </x:c>
      <x:c r="T64" s="12" t="str">
        <x:v>68</x:v>
      </x:c>
      <x:c r="U64" s="16" t="str">
        <x:v>1.0</x:v>
      </x:c>
      <x:c r="V64" s="18" t="str">
        <x:v>0.6680634617805481</x:v>
      </x:c>
      <x:c r="W64" s="18" t="str">
        <x:v>0.7590921461582184</x:v>
      </x:c>
      <x:c r="X64" s="18" t="str">
        <x:v>0.8202314376831055</x:v>
      </x:c>
      <x:c r="Y64" s="18" t="str">
        <x:v>0.8339215517044067</x:v>
      </x:c>
      <x:c r="Z64" s="18" t="str">
        <x:v>0.8746765077114105</x:v>
      </x:c>
      <x:c r="AA64" s="18" t="str">
        <x:v>0.8995538949966431</x:v>
      </x:c>
      <x:c r="AB64" s="20" t="str">
        <x:v>249.10130000353092</x:v>
      </x:c>
      <x:c r="AC64" s="12" t="str">
        <x:v>overlays\disgust_013.png</x:v>
      </x:c>
      <x:c r="AD64" s="12" t="str"/>
      <x:c r="AE64" s="12" t="str"/>
      <x:c r="AF64" s="12" t="str">
        <x:v>good</x:v>
      </x:c>
      <x:c r="AG64" s="12" t="n">
        <x:v>1</x:v>
      </x:c>
      <x:c r="AH64" s="12" t="str">
        <x:v>good</x:v>
      </x:c>
      <x:c r="AI64" s="12" t="str">
        <x:v>good</x:v>
      </x:c>
      <x:c r="AJ64" s="12" t="str">
        <x:v>good</x:v>
      </x:c>
      <x:c r="AK64" s="12" t="str">
        <x:v>not_applicable</x:v>
      </x:c>
      <x:c r="AL64" s="12" t="str">
        <x:v>none</x:v>
      </x:c>
      <x:c r="AM64" s="14" t="str">
        <x:v>Clear and well-aligned facial landmarks with no major pose, crop, or occlusion issue.</x:v>
      </x:c>
    </x:row>
    <x:row r="65" ht="28" customHeight="1">
      <x:c r="A65" s="12" t="str">
        <x:v>disgust_014</x:v>
      </x:c>
      <x:c r="B65" s="12" t="str">
        <x:v>disgust</x:v>
      </x:c>
      <x:c r="C65" s="14" t="str">
        <x:v>disgust/Training_61291772.jpg</x:v>
      </x:c>
      <x:c r="D65" s="12" t="str">
        <x:v>ff5d503caabd02caec530a2eb7e23b4ce7eeb84760c7760a5b82c31969eb437e</x:v>
      </x:c>
      <x:c r="E65" s="12" t="str">
        <x:v>ff5d503caabd02caec530a2eb7e23b4ce7eeb84760c7760a5b82c31969eb437e</x:v>
      </x:c>
      <x:c r="F65" s="12" t="str">
        <x:v>True</x:v>
      </x:c>
      <x:c r="G65" s="12" t="str">
        <x:v>48</x:v>
      </x:c>
      <x:c r="H65" s="12" t="str">
        <x:v>48</x:v>
      </x:c>
      <x:c r="I65" s="12" t="str">
        <x:v>0.0</x:v>
      </x:c>
      <x:c r="J65" s="12" t="str">
        <x:v>0.0</x:v>
      </x:c>
      <x:c r="K65" s="12" t="str">
        <x:v>47.0</x:v>
      </x:c>
      <x:c r="L65" s="12" t="str">
        <x:v>47.0</x:v>
      </x:c>
      <x:c r="M65" s="12" t="str">
        <x:v>True</x:v>
      </x:c>
      <x:c r="N65" s="12" t="str">
        <x:v>68</x:v>
      </x:c>
      <x:c r="O65" s="12" t="str">
        <x:v>68</x:v>
      </x:c>
      <x:c r="P65" s="16" t="str">
        <x:v>1.0</x:v>
      </x:c>
      <x:c r="Q65" s="12" t="str">
        <x:v>64</x:v>
      </x:c>
      <x:c r="R65" s="16" t="str">
        <x:v>0.9411764705882353</x:v>
      </x:c>
      <x:c r="S65" s="12" t="str">
        <x:v>0.2</x:v>
      </x:c>
      <x:c r="T65" s="12" t="str">
        <x:v>68</x:v>
      </x:c>
      <x:c r="U65" s="16" t="str">
        <x:v>1.0</x:v>
      </x:c>
      <x:c r="V65" s="18" t="str">
        <x:v>0.7259570956230164</x:v>
      </x:c>
      <x:c r="W65" s="18" t="str">
        <x:v>0.7652630865573883</x:v>
      </x:c>
      <x:c r="X65" s="18" t="str">
        <x:v>0.82413649559021</x:v>
      </x:c>
      <x:c r="Y65" s="18" t="str">
        <x:v>0.8319913148880005</x:v>
      </x:c>
      <x:c r="Z65" s="18" t="str">
        <x:v>0.8610870718955994</x:v>
      </x:c>
      <x:c r="AA65" s="18" t="str">
        <x:v>0.8802627325057983</x:v>
      </x:c>
      <x:c r="AB65" s="20" t="str">
        <x:v>156.72270000504795</x:v>
      </x:c>
      <x:c r="AC65" s="12" t="str">
        <x:v>overlays\disgust_014.png</x:v>
      </x:c>
      <x:c r="AD65" s="12" t="str"/>
      <x:c r="AE65" s="12" t="str"/>
      <x:c r="AF65" s="12" t="str">
        <x:v>acceptable</x:v>
      </x:c>
      <x:c r="AG65" s="12" t="n">
        <x:v>1</x:v>
      </x:c>
      <x:c r="AH65" s="12" t="str">
        <x:v>acceptable</x:v>
      </x:c>
      <x:c r="AI65" s="12" t="str">
        <x:v>acceptable</x:v>
      </x:c>
      <x:c r="AJ65" s="12" t="str">
        <x:v>acceptable</x:v>
      </x:c>
      <x:c r="AK65" s="12" t="str">
        <x:v>not_applicable</x:v>
      </x:c>
      <x:c r="AL65" s="12" t="str">
        <x:v>mild</x:v>
      </x:c>
      <x:c r="AM65" s="14" t="str">
        <x:v>Moderate pose, crop, blur, or facial texture causes minor landmark uncertainty; the result remains usable.</x:v>
      </x:c>
    </x:row>
    <x:row r="66" ht="28" customHeight="1">
      <x:c r="A66" s="12" t="str">
        <x:v>disgust_015</x:v>
      </x:c>
      <x:c r="B66" s="12" t="str">
        <x:v>disgust</x:v>
      </x:c>
      <x:c r="C66" s="14" t="str">
        <x:v>disgust/Training_68677948.jpg</x:v>
      </x:c>
      <x:c r="D66" s="12" t="str">
        <x:v>c1de35dec83cba05f0668c5934a2f1e2e0f8ec93aa916b0867ac586f30371354</x:v>
      </x:c>
      <x:c r="E66" s="12" t="str">
        <x:v>c1de35dec83cba05f0668c5934a2f1e2e0f8ec93aa916b0867ac586f30371354</x:v>
      </x:c>
      <x:c r="F66" s="12" t="str">
        <x:v>True</x:v>
      </x:c>
      <x:c r="G66" s="12" t="str">
        <x:v>48</x:v>
      </x:c>
      <x:c r="H66" s="12" t="str">
        <x:v>48</x:v>
      </x:c>
      <x:c r="I66" s="12" t="str">
        <x:v>0.0</x:v>
      </x:c>
      <x:c r="J66" s="12" t="str">
        <x:v>0.0</x:v>
      </x:c>
      <x:c r="K66" s="12" t="str">
        <x:v>47.0</x:v>
      </x:c>
      <x:c r="L66" s="12" t="str">
        <x:v>47.0</x:v>
      </x:c>
      <x:c r="M66" s="12" t="str">
        <x:v>True</x:v>
      </x:c>
      <x:c r="N66" s="12" t="str">
        <x:v>68</x:v>
      </x:c>
      <x:c r="O66" s="12" t="str">
        <x:v>68</x:v>
      </x:c>
      <x:c r="P66" s="16" t="str">
        <x:v>1.0</x:v>
      </x:c>
      <x:c r="Q66" s="12" t="str">
        <x:v>68</x:v>
      </x:c>
      <x:c r="R66" s="16" t="str">
        <x:v>1.0</x:v>
      </x:c>
      <x:c r="S66" s="12" t="str">
        <x:v>0.2</x:v>
      </x:c>
      <x:c r="T66" s="12" t="str">
        <x:v>68</x:v>
      </x:c>
      <x:c r="U66" s="16" t="str">
        <x:v>1.0</x:v>
      </x:c>
      <x:c r="V66" s="18" t="str">
        <x:v>0.37492290139198303</x:v>
      </x:c>
      <x:c r="W66" s="18" t="str">
        <x:v>0.4945863336324692</x:v>
      </x:c>
      <x:c r="X66" s="18" t="str">
        <x:v>0.7338122129440308</x:v>
      </x:c>
      <x:c r="Y66" s="18" t="str">
        <x:v>0.7853677868843079</x:v>
      </x:c>
      <x:c r="Z66" s="18" t="str">
        <x:v>0.8424153625965118</x:v>
      </x:c>
      <x:c r="AA66" s="18" t="str">
        <x:v>0.8660234808921814</x:v>
      </x:c>
      <x:c r="AB66" s="20" t="str">
        <x:v>180.21779999980936</x:v>
      </x:c>
      <x:c r="AC66" s="12" t="str">
        <x:v>overlays\disgust_015.png</x:v>
      </x:c>
      <x:c r="AD66" s="12" t="str"/>
      <x:c r="AE66" s="12" t="str"/>
      <x:c r="AF66" s="12" t="str">
        <x:v>acceptable</x:v>
      </x:c>
      <x:c r="AG66" s="12" t="n">
        <x:v>1</x:v>
      </x:c>
      <x:c r="AH66" s="12" t="str">
        <x:v>acceptable</x:v>
      </x:c>
      <x:c r="AI66" s="12" t="str">
        <x:v>acceptable</x:v>
      </x:c>
      <x:c r="AJ66" s="12" t="str">
        <x:v>acceptable</x:v>
      </x:c>
      <x:c r="AK66" s="12" t="str">
        <x:v>not_applicable</x:v>
      </x:c>
      <x:c r="AL66" s="12" t="str">
        <x:v>mild</x:v>
      </x:c>
      <x:c r="AM66" s="14" t="str">
        <x:v>Moderate pose, crop, blur, or facial texture causes minor landmark uncertainty; the result remains usable.</x:v>
      </x:c>
    </x:row>
    <x:row r="67" ht="28" customHeight="1">
      <x:c r="A67" s="12" t="str">
        <x:v>disgust_016</x:v>
      </x:c>
      <x:c r="B67" s="12" t="str">
        <x:v>disgust</x:v>
      </x:c>
      <x:c r="C67" s="14" t="str">
        <x:v>disgust/Training_24592307.jpg</x:v>
      </x:c>
      <x:c r="D67" s="12" t="str">
        <x:v>cd41c34e373c959d634c06e531016ed417c510750ada67758888873217834781</x:v>
      </x:c>
      <x:c r="E67" s="12" t="str">
        <x:v>cd41c34e373c959d634c06e531016ed417c510750ada67758888873217834781</x:v>
      </x:c>
      <x:c r="F67" s="12" t="str">
        <x:v>True</x:v>
      </x:c>
      <x:c r="G67" s="12" t="str">
        <x:v>48</x:v>
      </x:c>
      <x:c r="H67" s="12" t="str">
        <x:v>48</x:v>
      </x:c>
      <x:c r="I67" s="12" t="str">
        <x:v>0.0</x:v>
      </x:c>
      <x:c r="J67" s="12" t="str">
        <x:v>0.0</x:v>
      </x:c>
      <x:c r="K67" s="12" t="str">
        <x:v>47.0</x:v>
      </x:c>
      <x:c r="L67" s="12" t="str">
        <x:v>47.0</x:v>
      </x:c>
      <x:c r="M67" s="12" t="str">
        <x:v>True</x:v>
      </x:c>
      <x:c r="N67" s="12" t="str">
        <x:v>68</x:v>
      </x:c>
      <x:c r="O67" s="12" t="str">
        <x:v>68</x:v>
      </x:c>
      <x:c r="P67" s="16" t="str">
        <x:v>1.0</x:v>
      </x:c>
      <x:c r="Q67" s="12" t="str">
        <x:v>68</x:v>
      </x:c>
      <x:c r="R67" s="16" t="str">
        <x:v>1.0</x:v>
      </x:c>
      <x:c r="S67" s="12" t="str">
        <x:v>0.2</x:v>
      </x:c>
      <x:c r="T67" s="12" t="str">
        <x:v>68</x:v>
      </x:c>
      <x:c r="U67" s="16" t="str">
        <x:v>1.0</x:v>
      </x:c>
      <x:c r="V67" s="18" t="str">
        <x:v>0.7149792909622192</x:v>
      </x:c>
      <x:c r="W67" s="18" t="str">
        <x:v>0.7529510915279388</x:v>
      </x:c>
      <x:c r="X67" s="18" t="str">
        <x:v>0.8302837014198303</x:v>
      </x:c>
      <x:c r="Y67" s="18" t="str">
        <x:v>0.8378218412399292</x:v>
      </x:c>
      <x:c r="Z67" s="18" t="str">
        <x:v>0.8852719008922577</x:v>
      </x:c>
      <x:c r="AA67" s="18" t="str">
        <x:v>0.9050667881965637</x:v>
      </x:c>
      <x:c r="AB67" s="20" t="str">
        <x:v>160.66670000145677</x:v>
      </x:c>
      <x:c r="AC67" s="12" t="str">
        <x:v>overlays\disgust_016.png</x:v>
      </x:c>
      <x:c r="AD67" s="12" t="str"/>
      <x:c r="AE67" s="12" t="str"/>
      <x:c r="AF67" s="12" t="str">
        <x:v>acceptable</x:v>
      </x:c>
      <x:c r="AG67" s="12" t="n">
        <x:v>1</x:v>
      </x:c>
      <x:c r="AH67" s="12" t="str">
        <x:v>acceptable</x:v>
      </x:c>
      <x:c r="AI67" s="12" t="str">
        <x:v>acceptable</x:v>
      </x:c>
      <x:c r="AJ67" s="12" t="str">
        <x:v>acceptable</x:v>
      </x:c>
      <x:c r="AK67" s="12" t="str">
        <x:v>not_applicable</x:v>
      </x:c>
      <x:c r="AL67" s="12" t="str">
        <x:v>mild</x:v>
      </x:c>
      <x:c r="AM67" s="14" t="str">
        <x:v>Large pose or profile; visible landmarks remain useful, while hidden-side and contour points are inferred.</x:v>
      </x:c>
    </x:row>
    <x:row r="68" ht="28" customHeight="1">
      <x:c r="A68" s="12" t="str">
        <x:v>disgust_017</x:v>
      </x:c>
      <x:c r="B68" s="12" t="str">
        <x:v>disgust</x:v>
      </x:c>
      <x:c r="C68" s="14" t="str">
        <x:v>disgust/Training_5395043.jpg</x:v>
      </x:c>
      <x:c r="D68" s="12" t="str">
        <x:v>597bbb2c2015fc48c7ea92a88d8add907b22594fa5fcb515506510f382a594c2</x:v>
      </x:c>
      <x:c r="E68" s="12" t="str">
        <x:v>597bbb2c2015fc48c7ea92a88d8add907b22594fa5fcb515506510f382a594c2</x:v>
      </x:c>
      <x:c r="F68" s="12" t="str">
        <x:v>True</x:v>
      </x:c>
      <x:c r="G68" s="12" t="str">
        <x:v>48</x:v>
      </x:c>
      <x:c r="H68" s="12" t="str">
        <x:v>48</x:v>
      </x:c>
      <x:c r="I68" s="12" t="str">
        <x:v>0.0</x:v>
      </x:c>
      <x:c r="J68" s="12" t="str">
        <x:v>0.0</x:v>
      </x:c>
      <x:c r="K68" s="12" t="str">
        <x:v>47.0</x:v>
      </x:c>
      <x:c r="L68" s="12" t="str">
        <x:v>47.0</x:v>
      </x:c>
      <x:c r="M68" s="12" t="str">
        <x:v>True</x:v>
      </x:c>
      <x:c r="N68" s="12" t="str">
        <x:v>68</x:v>
      </x:c>
      <x:c r="O68" s="12" t="str">
        <x:v>68</x:v>
      </x:c>
      <x:c r="P68" s="16" t="str">
        <x:v>1.0</x:v>
      </x:c>
      <x:c r="Q68" s="12" t="str">
        <x:v>68</x:v>
      </x:c>
      <x:c r="R68" s="16" t="str">
        <x:v>1.0</x:v>
      </x:c>
      <x:c r="S68" s="12" t="str">
        <x:v>0.2</x:v>
      </x:c>
      <x:c r="T68" s="12" t="str">
        <x:v>68</x:v>
      </x:c>
      <x:c r="U68" s="16" t="str">
        <x:v>1.0</x:v>
      </x:c>
      <x:c r="V68" s="18" t="str">
        <x:v>0.68021160364151</x:v>
      </x:c>
      <x:c r="W68" s="18" t="str">
        <x:v>0.7233561754226685</x:v>
      </x:c>
      <x:c r="X68" s="18" t="str">
        <x:v>0.8167635798454285</x:v>
      </x:c>
      <x:c r="Y68" s="18" t="str">
        <x:v>0.8261385560035706</x:v>
      </x:c>
      <x:c r="Z68" s="18" t="str">
        <x:v>0.8758807897567749</x:v>
      </x:c>
      <x:c r="AA68" s="18" t="str">
        <x:v>0.9257298707962036</x:v>
      </x:c>
      <x:c r="AB68" s="20" t="str">
        <x:v>214.12380000401754</x:v>
      </x:c>
      <x:c r="AC68" s="12" t="str">
        <x:v>overlays\disgust_017.png</x:v>
      </x:c>
      <x:c r="AD68" s="12" t="str"/>
      <x:c r="AE68" s="12" t="str"/>
      <x:c r="AF68" s="12" t="str">
        <x:v>good</x:v>
      </x:c>
      <x:c r="AG68" s="12" t="n">
        <x:v>1</x:v>
      </x:c>
      <x:c r="AH68" s="12" t="str">
        <x:v>good</x:v>
      </x:c>
      <x:c r="AI68" s="12" t="str">
        <x:v>good</x:v>
      </x:c>
      <x:c r="AJ68" s="12" t="str">
        <x:v>good</x:v>
      </x:c>
      <x:c r="AK68" s="12" t="str">
        <x:v>good</x:v>
      </x:c>
      <x:c r="AL68" s="12" t="str">
        <x:v>none</x:v>
      </x:c>
      <x:c r="AM68" s="14" t="str">
        <x:v>Clear and well-aligned facial landmarks with no major pose, crop, or occlusion issue.</x:v>
      </x:c>
    </x:row>
    <x:row r="69" ht="28" customHeight="1">
      <x:c r="A69" s="12" t="str">
        <x:v>disgust_018</x:v>
      </x:c>
      <x:c r="B69" s="12" t="str">
        <x:v>disgust</x:v>
      </x:c>
      <x:c r="C69" s="14" t="str">
        <x:v>disgust/Training_18375779.jpg</x:v>
      </x:c>
      <x:c r="D69" s="12" t="str">
        <x:v>f73b12d19de74767b0db5a94fa2317bbdd37b71a08aa5509c3de2e67ee8518aa</x:v>
      </x:c>
      <x:c r="E69" s="12" t="str">
        <x:v>f73b12d19de74767b0db5a94fa2317bbdd37b71a08aa5509c3de2e67ee8518aa</x:v>
      </x:c>
      <x:c r="F69" s="12" t="str">
        <x:v>True</x:v>
      </x:c>
      <x:c r="G69" s="12" t="str">
        <x:v>48</x:v>
      </x:c>
      <x:c r="H69" s="12" t="str">
        <x:v>48</x:v>
      </x:c>
      <x:c r="I69" s="12" t="str">
        <x:v>0.0</x:v>
      </x:c>
      <x:c r="J69" s="12" t="str">
        <x:v>0.0</x:v>
      </x:c>
      <x:c r="K69" s="12" t="str">
        <x:v>47.0</x:v>
      </x:c>
      <x:c r="L69" s="12" t="str">
        <x:v>47.0</x:v>
      </x:c>
      <x:c r="M69" s="12" t="str">
        <x:v>True</x:v>
      </x:c>
      <x:c r="N69" s="12" t="str">
        <x:v>68</x:v>
      </x:c>
      <x:c r="O69" s="12" t="str">
        <x:v>68</x:v>
      </x:c>
      <x:c r="P69" s="16" t="str">
        <x:v>1.0</x:v>
      </x:c>
      <x:c r="Q69" s="12" t="str">
        <x:v>67</x:v>
      </x:c>
      <x:c r="R69" s="16" t="str">
        <x:v>0.9852941176470589</x:v>
      </x:c>
      <x:c r="S69" s="12" t="str">
        <x:v>0.2</x:v>
      </x:c>
      <x:c r="T69" s="12" t="str">
        <x:v>68</x:v>
      </x:c>
      <x:c r="U69" s="16" t="str">
        <x:v>1.0</x:v>
      </x:c>
      <x:c r="V69" s="18" t="str">
        <x:v>0.6890864968299866</x:v>
      </x:c>
      <x:c r="W69" s="18" t="str">
        <x:v>0.7615315794944764</x:v>
      </x:c>
      <x:c r="X69" s="18" t="str">
        <x:v>0.8128576874732971</x:v>
      </x:c>
      <x:c r="Y69" s="18" t="str">
        <x:v>0.8181107044219971</x:v>
      </x:c>
      <x:c r="Z69" s="18" t="str">
        <x:v>0.8685918152332306</x:v>
      </x:c>
      <x:c r="AA69" s="18" t="str">
        <x:v>0.8854495882987976</x:v>
      </x:c>
      <x:c r="AB69" s="20" t="str">
        <x:v>227.59229999792296</x:v>
      </x:c>
      <x:c r="AC69" s="12" t="str">
        <x:v>overlays\disgust_018.png</x:v>
      </x:c>
      <x:c r="AD69" s="12" t="str"/>
      <x:c r="AE69" s="12" t="str"/>
      <x:c r="AF69" s="12" t="str">
        <x:v>good</x:v>
      </x:c>
      <x:c r="AG69" s="12" t="n">
        <x:v>1</x:v>
      </x:c>
      <x:c r="AH69" s="12" t="str">
        <x:v>good</x:v>
      </x:c>
      <x:c r="AI69" s="12" t="str">
        <x:v>good</x:v>
      </x:c>
      <x:c r="AJ69" s="12" t="str">
        <x:v>good</x:v>
      </x:c>
      <x:c r="AK69" s="12" t="str">
        <x:v>not_applicable</x:v>
      </x:c>
      <x:c r="AL69" s="12" t="str">
        <x:v>none</x:v>
      </x:c>
      <x:c r="AM69" s="14" t="str">
        <x:v>Clear and well-aligned facial landmarks with no major pose, crop, or occlusion issue.</x:v>
      </x:c>
    </x:row>
    <x:row r="70" ht="28" customHeight="1">
      <x:c r="A70" s="12" t="str">
        <x:v>disgust_019</x:v>
      </x:c>
      <x:c r="B70" s="12" t="str">
        <x:v>disgust</x:v>
      </x:c>
      <x:c r="C70" s="14" t="str">
        <x:v>disgust/Training_70479209.jpg</x:v>
      </x:c>
      <x:c r="D70" s="12" t="str">
        <x:v>7f6b64d5a19ea9e97abb3c7704e8d48e3a9d3db1376f6d68f44b43c20f54ac85</x:v>
      </x:c>
      <x:c r="E70" s="12" t="str">
        <x:v>7f6b64d5a19ea9e97abb3c7704e8d48e3a9d3db1376f6d68f44b43c20f54ac85</x:v>
      </x:c>
      <x:c r="F70" s="12" t="str">
        <x:v>True</x:v>
      </x:c>
      <x:c r="G70" s="12" t="str">
        <x:v>48</x:v>
      </x:c>
      <x:c r="H70" s="12" t="str">
        <x:v>48</x:v>
      </x:c>
      <x:c r="I70" s="12" t="str">
        <x:v>0.0</x:v>
      </x:c>
      <x:c r="J70" s="12" t="str">
        <x:v>0.0</x:v>
      </x:c>
      <x:c r="K70" s="12" t="str">
        <x:v>47.0</x:v>
      </x:c>
      <x:c r="L70" s="12" t="str">
        <x:v>47.0</x:v>
      </x:c>
      <x:c r="M70" s="12" t="str">
        <x:v>True</x:v>
      </x:c>
      <x:c r="N70" s="12" t="str">
        <x:v>68</x:v>
      </x:c>
      <x:c r="O70" s="12" t="str">
        <x:v>68</x:v>
      </x:c>
      <x:c r="P70" s="16" t="str">
        <x:v>1.0</x:v>
      </x:c>
      <x:c r="Q70" s="12" t="str">
        <x:v>56</x:v>
      </x:c>
      <x:c r="R70" s="16" t="str">
        <x:v>0.8235294117647058</x:v>
      </x:c>
      <x:c r="S70" s="12" t="str">
        <x:v>0.2</x:v>
      </x:c>
      <x:c r="T70" s="12" t="str">
        <x:v>68</x:v>
      </x:c>
      <x:c r="U70" s="16" t="str">
        <x:v>1.0</x:v>
      </x:c>
      <x:c r="V70" s="18" t="str">
        <x:v>0.6366863250732422</x:v>
      </x:c>
      <x:c r="W70" s="18" t="str">
        <x:v>0.7005959212779999</x:v>
      </x:c>
      <x:c r="X70" s="18" t="str">
        <x:v>0.7922961115837097</x:v>
      </x:c>
      <x:c r="Y70" s="18" t="str">
        <x:v>0.8056740760803223</x:v>
      </x:c>
      <x:c r="Z70" s="18" t="str">
        <x:v>0.8552924931049347</x:v>
      </x:c>
      <x:c r="AA70" s="18" t="str">
        <x:v>0.866492748260498</x:v>
      </x:c>
      <x:c r="AB70" s="20" t="str">
        <x:v>164.43299999809824</x:v>
      </x:c>
      <x:c r="AC70" s="12" t="str">
        <x:v>overlays\disgust_019.png</x:v>
      </x:c>
      <x:c r="AD70" s="12" t="str"/>
      <x:c r="AE70" s="12" t="str"/>
      <x:c r="AF70" s="12" t="str">
        <x:v>acceptable</x:v>
      </x:c>
      <x:c r="AG70" s="12" t="n">
        <x:v>1</x:v>
      </x:c>
      <x:c r="AH70" s="12" t="str">
        <x:v>acceptable</x:v>
      </x:c>
      <x:c r="AI70" s="12" t="str">
        <x:v>acceptable</x:v>
      </x:c>
      <x:c r="AJ70" s="12" t="str">
        <x:v>acceptable</x:v>
      </x:c>
      <x:c r="AK70" s="12" t="str">
        <x:v>not_applicable</x:v>
      </x:c>
      <x:c r="AL70" s="12" t="str">
        <x:v>mild</x:v>
      </x:c>
      <x:c r="AM70" s="14" t="str">
        <x:v>Tight crop places several contour points outside the frame; central facial landmarks remain usable.</x:v>
      </x:c>
    </x:row>
    <x:row r="71" ht="28" customHeight="1">
      <x:c r="A71" s="12" t="str">
        <x:v>disgust_020</x:v>
      </x:c>
      <x:c r="B71" s="12" t="str">
        <x:v>disgust</x:v>
      </x:c>
      <x:c r="C71" s="14" t="str">
        <x:v>disgust/Training_43728047.jpg</x:v>
      </x:c>
      <x:c r="D71" s="12" t="str">
        <x:v>5a585fb4c83beebf43fc8f6895f7f1dc291641790960bca29124fa2bf23a01b5</x:v>
      </x:c>
      <x:c r="E71" s="12" t="str">
        <x:v>5a585fb4c83beebf43fc8f6895f7f1dc291641790960bca29124fa2bf23a01b5</x:v>
      </x:c>
      <x:c r="F71" s="12" t="str">
        <x:v>True</x:v>
      </x:c>
      <x:c r="G71" s="12" t="str">
        <x:v>48</x:v>
      </x:c>
      <x:c r="H71" s="12" t="str">
        <x:v>48</x:v>
      </x:c>
      <x:c r="I71" s="12" t="str">
        <x:v>0.0</x:v>
      </x:c>
      <x:c r="J71" s="12" t="str">
        <x:v>0.0</x:v>
      </x:c>
      <x:c r="K71" s="12" t="str">
        <x:v>47.0</x:v>
      </x:c>
      <x:c r="L71" s="12" t="str">
        <x:v>47.0</x:v>
      </x:c>
      <x:c r="M71" s="12" t="str">
        <x:v>True</x:v>
      </x:c>
      <x:c r="N71" s="12" t="str">
        <x:v>68</x:v>
      </x:c>
      <x:c r="O71" s="12" t="str">
        <x:v>68</x:v>
      </x:c>
      <x:c r="P71" s="16" t="str">
        <x:v>1.0</x:v>
      </x:c>
      <x:c r="Q71" s="12" t="str">
        <x:v>68</x:v>
      </x:c>
      <x:c r="R71" s="16" t="str">
        <x:v>1.0</x:v>
      </x:c>
      <x:c r="S71" s="12" t="str">
        <x:v>0.2</x:v>
      </x:c>
      <x:c r="T71" s="12" t="str">
        <x:v>68</x:v>
      </x:c>
      <x:c r="U71" s="16" t="str">
        <x:v>1.0</x:v>
      </x:c>
      <x:c r="V71" s="18" t="str">
        <x:v>0.6216782331466675</x:v>
      </x:c>
      <x:c r="W71" s="18" t="str">
        <x:v>0.7046581745147705</x:v>
      </x:c>
      <x:c r="X71" s="18" t="str">
        <x:v>0.7887102365493774</x:v>
      </x:c>
      <x:c r="Y71" s="18" t="str">
        <x:v>0.8030022978782654</x:v>
      </x:c>
      <x:c r="Z71" s="18" t="str">
        <x:v>0.8508873224258423</x:v>
      </x:c>
      <x:c r="AA71" s="18" t="str">
        <x:v>0.9069467782974243</x:v>
      </x:c>
      <x:c r="AB71" s="20" t="str">
        <x:v>195.0596000024234</x:v>
      </x:c>
      <x:c r="AC71" s="12" t="str">
        <x:v>overlays\disgust_020.png</x:v>
      </x:c>
      <x:c r="AD71" s="12" t="str"/>
      <x:c r="AE71" s="12" t="str"/>
      <x:c r="AF71" s="12" t="str">
        <x:v>good</x:v>
      </x:c>
      <x:c r="AG71" s="12" t="n">
        <x:v>1</x:v>
      </x:c>
      <x:c r="AH71" s="12" t="str">
        <x:v>good</x:v>
      </x:c>
      <x:c r="AI71" s="12" t="str">
        <x:v>good</x:v>
      </x:c>
      <x:c r="AJ71" s="12" t="str">
        <x:v>good</x:v>
      </x:c>
      <x:c r="AK71" s="12" t="str">
        <x:v>not_applicable</x:v>
      </x:c>
      <x:c r="AL71" s="12" t="str">
        <x:v>none</x:v>
      </x:c>
      <x:c r="AM71" s="14" t="str">
        <x:v>Clear and well-aligned facial landmarks with no major pose, crop, or occlusion issue.</x:v>
      </x:c>
    </x:row>
    <x:row r="72" ht="28" customHeight="1">
      <x:c r="A72" s="12" t="str">
        <x:v>disgust_021</x:v>
      </x:c>
      <x:c r="B72" s="12" t="str">
        <x:v>disgust</x:v>
      </x:c>
      <x:c r="C72" s="14" t="str">
        <x:v>disgust/Training_98010375.jpg</x:v>
      </x:c>
      <x:c r="D72" s="12" t="str">
        <x:v>3407de17011cfe238717baef07e2cd7ea89f3e5cb42ca1a36a419ef346bb6cb3</x:v>
      </x:c>
      <x:c r="E72" s="12" t="str">
        <x:v>3407de17011cfe238717baef07e2cd7ea89f3e5cb42ca1a36a419ef346bb6cb3</x:v>
      </x:c>
      <x:c r="F72" s="12" t="str">
        <x:v>True</x:v>
      </x:c>
      <x:c r="G72" s="12" t="str">
        <x:v>48</x:v>
      </x:c>
      <x:c r="H72" s="12" t="str">
        <x:v>48</x:v>
      </x:c>
      <x:c r="I72" s="12" t="str">
        <x:v>0.0</x:v>
      </x:c>
      <x:c r="J72" s="12" t="str">
        <x:v>0.0</x:v>
      </x:c>
      <x:c r="K72" s="12" t="str">
        <x:v>47.0</x:v>
      </x:c>
      <x:c r="L72" s="12" t="str">
        <x:v>47.0</x:v>
      </x:c>
      <x:c r="M72" s="12" t="str">
        <x:v>True</x:v>
      </x:c>
      <x:c r="N72" s="12" t="str">
        <x:v>68</x:v>
      </x:c>
      <x:c r="O72" s="12" t="str">
        <x:v>68</x:v>
      </x:c>
      <x:c r="P72" s="16" t="str">
        <x:v>1.0</x:v>
      </x:c>
      <x:c r="Q72" s="12" t="str">
        <x:v>67</x:v>
      </x:c>
      <x:c r="R72" s="16" t="str">
        <x:v>0.9852941176470589</x:v>
      </x:c>
      <x:c r="S72" s="12" t="str">
        <x:v>0.2</x:v>
      </x:c>
      <x:c r="T72" s="12" t="str">
        <x:v>68</x:v>
      </x:c>
      <x:c r="U72" s="16" t="str">
        <x:v>1.0</x:v>
      </x:c>
      <x:c r="V72" s="18" t="str">
        <x:v>0.7210082411766052</x:v>
      </x:c>
      <x:c r="W72" s="18" t="str">
        <x:v>0.7862142860889435</x:v>
      </x:c>
      <x:c r="X72" s="18" t="str">
        <x:v>0.8278277516365051</x:v>
      </x:c>
      <x:c r="Y72" s="18" t="str">
        <x:v>0.8334271907806396</x:v>
      </x:c>
      <x:c r="Z72" s="18" t="str">
        <x:v>0.864167732000351</x:v>
      </x:c>
      <x:c r="AA72" s="18" t="str">
        <x:v>0.8787358403205872</x:v>
      </x:c>
      <x:c r="AB72" s="20" t="str">
        <x:v>161.18980000464944</x:v>
      </x:c>
      <x:c r="AC72" s="12" t="str">
        <x:v>overlays\disgust_021.png</x:v>
      </x:c>
      <x:c r="AD72" s="12" t="str"/>
      <x:c r="AE72" s="12" t="str"/>
      <x:c r="AF72" s="12" t="str">
        <x:v>acceptable</x:v>
      </x:c>
      <x:c r="AG72" s="12" t="n">
        <x:v>1</x:v>
      </x:c>
      <x:c r="AH72" s="12" t="str">
        <x:v>acceptable</x:v>
      </x:c>
      <x:c r="AI72" s="12" t="str">
        <x:v>acceptable</x:v>
      </x:c>
      <x:c r="AJ72" s="12" t="str">
        <x:v>acceptable</x:v>
      </x:c>
      <x:c r="AK72" s="12" t="str">
        <x:v>acceptable</x:v>
      </x:c>
      <x:c r="AL72" s="12" t="str">
        <x:v>mild</x:v>
      </x:c>
      <x:c r="AM72" s="14" t="str">
        <x:v>Moderate pose, crop, blur, or facial texture causes minor landmark uncertainty; the result remains usable.</x:v>
      </x:c>
    </x:row>
    <x:row r="73" ht="28" customHeight="1">
      <x:c r="A73" s="12" t="str">
        <x:v>disgust_022</x:v>
      </x:c>
      <x:c r="B73" s="12" t="str">
        <x:v>disgust</x:v>
      </x:c>
      <x:c r="C73" s="14" t="str">
        <x:v>disgust/Training_78245126.jpg</x:v>
      </x:c>
      <x:c r="D73" s="12" t="str">
        <x:v>4e2363f3892ea797b93a3a63089f82287e25fbd9a744fd07cf29a255bbf46c1f</x:v>
      </x:c>
      <x:c r="E73" s="12" t="str">
        <x:v>4e2363f3892ea797b93a3a63089f82287e25fbd9a744fd07cf29a255bbf46c1f</x:v>
      </x:c>
      <x:c r="F73" s="12" t="str">
        <x:v>True</x:v>
      </x:c>
      <x:c r="G73" s="12" t="str">
        <x:v>48</x:v>
      </x:c>
      <x:c r="H73" s="12" t="str">
        <x:v>48</x:v>
      </x:c>
      <x:c r="I73" s="12" t="str">
        <x:v>0.0</x:v>
      </x:c>
      <x:c r="J73" s="12" t="str">
        <x:v>0.0</x:v>
      </x:c>
      <x:c r="K73" s="12" t="str">
        <x:v>47.0</x:v>
      </x:c>
      <x:c r="L73" s="12" t="str">
        <x:v>47.0</x:v>
      </x:c>
      <x:c r="M73" s="12" t="str">
        <x:v>True</x:v>
      </x:c>
      <x:c r="N73" s="12" t="str">
        <x:v>68</x:v>
      </x:c>
      <x:c r="O73" s="12" t="str">
        <x:v>68</x:v>
      </x:c>
      <x:c r="P73" s="16" t="str">
        <x:v>1.0</x:v>
      </x:c>
      <x:c r="Q73" s="12" t="str">
        <x:v>63</x:v>
      </x:c>
      <x:c r="R73" s="16" t="str">
        <x:v>0.9264705882352942</x:v>
      </x:c>
      <x:c r="S73" s="12" t="str">
        <x:v>0.2</x:v>
      </x:c>
      <x:c r="T73" s="12" t="str">
        <x:v>68</x:v>
      </x:c>
      <x:c r="U73" s="16" t="str">
        <x:v>1.0</x:v>
      </x:c>
      <x:c r="V73" s="18" t="str">
        <x:v>0.7116333246231079</x:v>
      </x:c>
      <x:c r="W73" s="18" t="str">
        <x:v>0.7345132946968078</x:v>
      </x:c>
      <x:c r="X73" s="18" t="str">
        <x:v>0.8179935812950134</x:v>
      </x:c>
      <x:c r="Y73" s="18" t="str">
        <x:v>0.8336267471313477</x:v>
      </x:c>
      <x:c r="Z73" s="18" t="str">
        <x:v>0.8657381236553192</x:v>
      </x:c>
      <x:c r="AA73" s="18" t="str">
        <x:v>0.9104321599006653</x:v>
      </x:c>
      <x:c r="AB73" s="20" t="str">
        <x:v>219.74449999834178</x:v>
      </x:c>
      <x:c r="AC73" s="12" t="str">
        <x:v>overlays\disgust_022.png</x:v>
      </x:c>
      <x:c r="AD73" s="12" t="str"/>
      <x:c r="AE73" s="12" t="str"/>
      <x:c r="AF73" s="12" t="str">
        <x:v>acceptable</x:v>
      </x:c>
      <x:c r="AG73" s="12" t="n">
        <x:v>1</x:v>
      </x:c>
      <x:c r="AH73" s="12" t="str">
        <x:v>acceptable</x:v>
      </x:c>
      <x:c r="AI73" s="12" t="str">
        <x:v>acceptable</x:v>
      </x:c>
      <x:c r="AJ73" s="12" t="str">
        <x:v>acceptable</x:v>
      </x:c>
      <x:c r="AK73" s="12" t="str">
        <x:v>not_applicable</x:v>
      </x:c>
      <x:c r="AL73" s="12" t="str">
        <x:v>mild</x:v>
      </x:c>
      <x:c r="AM73" s="14" t="str">
        <x:v>Moderate pose, crop, blur, or facial texture causes minor landmark uncertainty; the result remains usable.</x:v>
      </x:c>
    </x:row>
    <x:row r="74" ht="28" customHeight="1">
      <x:c r="A74" s="12" t="str">
        <x:v>disgust_023</x:v>
      </x:c>
      <x:c r="B74" s="12" t="str">
        <x:v>disgust</x:v>
      </x:c>
      <x:c r="C74" s="14" t="str">
        <x:v>disgust/Training_77025552.jpg</x:v>
      </x:c>
      <x:c r="D74" s="12" t="str">
        <x:v>23d11cb155de2e338b366b10185a5a32d29fe520b74ba96d30d733727ba622cf</x:v>
      </x:c>
      <x:c r="E74" s="12" t="str">
        <x:v>23d11cb155de2e338b366b10185a5a32d29fe520b74ba96d30d733727ba622cf</x:v>
      </x:c>
      <x:c r="F74" s="12" t="str">
        <x:v>True</x:v>
      </x:c>
      <x:c r="G74" s="12" t="str">
        <x:v>48</x:v>
      </x:c>
      <x:c r="H74" s="12" t="str">
        <x:v>48</x:v>
      </x:c>
      <x:c r="I74" s="12" t="str">
        <x:v>0.0</x:v>
      </x:c>
      <x:c r="J74" s="12" t="str">
        <x:v>0.0</x:v>
      </x:c>
      <x:c r="K74" s="12" t="str">
        <x:v>47.0</x:v>
      </x:c>
      <x:c r="L74" s="12" t="str">
        <x:v>47.0</x:v>
      </x:c>
      <x:c r="M74" s="12" t="str">
        <x:v>True</x:v>
      </x:c>
      <x:c r="N74" s="12" t="str">
        <x:v>68</x:v>
      </x:c>
      <x:c r="O74" s="12" t="str">
        <x:v>68</x:v>
      </x:c>
      <x:c r="P74" s="16" t="str">
        <x:v>1.0</x:v>
      </x:c>
      <x:c r="Q74" s="12" t="str">
        <x:v>68</x:v>
      </x:c>
      <x:c r="R74" s="16" t="str">
        <x:v>1.0</x:v>
      </x:c>
      <x:c r="S74" s="12" t="str">
        <x:v>0.2</x:v>
      </x:c>
      <x:c r="T74" s="12" t="str">
        <x:v>68</x:v>
      </x:c>
      <x:c r="U74" s="16" t="str">
        <x:v>1.0</x:v>
      </x:c>
      <x:c r="V74" s="18" t="str">
        <x:v>0.3183421492576599</x:v>
      </x:c>
      <x:c r="W74" s="18" t="str">
        <x:v>0.5503116965293884</x:v>
      </x:c>
      <x:c r="X74" s="18" t="str">
        <x:v>0.7561593055725098</x:v>
      </x:c>
      <x:c r="Y74" s="18" t="str">
        <x:v>0.7957102656364441</x:v>
      </x:c>
      <x:c r="Z74" s="18" t="str">
        <x:v>0.8637961745262146</x:v>
      </x:c>
      <x:c r="AA74" s="18" t="str">
        <x:v>0.9030902981758118</x:v>
      </x:c>
      <x:c r="AB74" s="20" t="str">
        <x:v>151.8498000004911</x:v>
      </x:c>
      <x:c r="AC74" s="12" t="str">
        <x:v>overlays\disgust_023.png</x:v>
      </x:c>
      <x:c r="AD74" s="12" t="str"/>
      <x:c r="AE74" s="12" t="str"/>
      <x:c r="AF74" s="12" t="str">
        <x:v>acceptable</x:v>
      </x:c>
      <x:c r="AG74" s="12" t="n">
        <x:v>1</x:v>
      </x:c>
      <x:c r="AH74" s="12" t="str">
        <x:v>acceptable</x:v>
      </x:c>
      <x:c r="AI74" s="12" t="str">
        <x:v>acceptable</x:v>
      </x:c>
      <x:c r="AJ74" s="12" t="str">
        <x:v>acceptable</x:v>
      </x:c>
      <x:c r="AK74" s="12" t="str">
        <x:v>not_applicable</x:v>
      </x:c>
      <x:c r="AL74" s="12" t="str">
        <x:v>mild</x:v>
      </x:c>
      <x:c r="AM74" s="14" t="str">
        <x:v>Large pose or profile; visible landmarks remain useful, while hidden-side and contour points are inferred.</x:v>
      </x:c>
    </x:row>
    <x:row r="75" ht="28" customHeight="1">
      <x:c r="A75" s="12" t="str">
        <x:v>disgust_024</x:v>
      </x:c>
      <x:c r="B75" s="12" t="str">
        <x:v>disgust</x:v>
      </x:c>
      <x:c r="C75" s="14" t="str">
        <x:v>disgust/Training_5242503.jpg</x:v>
      </x:c>
      <x:c r="D75" s="12" t="str">
        <x:v>3b3dbcde598731600d379739e7f6738763e2af89e23e09248120eeabfb629747</x:v>
      </x:c>
      <x:c r="E75" s="12" t="str">
        <x:v>3b3dbcde598731600d379739e7f6738763e2af89e23e09248120eeabfb629747</x:v>
      </x:c>
      <x:c r="F75" s="12" t="str">
        <x:v>True</x:v>
      </x:c>
      <x:c r="G75" s="12" t="str">
        <x:v>48</x:v>
      </x:c>
      <x:c r="H75" s="12" t="str">
        <x:v>48</x:v>
      </x:c>
      <x:c r="I75" s="12" t="str">
        <x:v>0.0</x:v>
      </x:c>
      <x:c r="J75" s="12" t="str">
        <x:v>0.0</x:v>
      </x:c>
      <x:c r="K75" s="12" t="str">
        <x:v>47.0</x:v>
      </x:c>
      <x:c r="L75" s="12" t="str">
        <x:v>47.0</x:v>
      </x:c>
      <x:c r="M75" s="12" t="str">
        <x:v>True</x:v>
      </x:c>
      <x:c r="N75" s="12" t="str">
        <x:v>68</x:v>
      </x:c>
      <x:c r="O75" s="12" t="str">
        <x:v>68</x:v>
      </x:c>
      <x:c r="P75" s="16" t="str">
        <x:v>1.0</x:v>
      </x:c>
      <x:c r="Q75" s="12" t="str">
        <x:v>66</x:v>
      </x:c>
      <x:c r="R75" s="16" t="str">
        <x:v>0.9705882352941176</x:v>
      </x:c>
      <x:c r="S75" s="12" t="str">
        <x:v>0.2</x:v>
      </x:c>
      <x:c r="T75" s="12" t="str">
        <x:v>68</x:v>
      </x:c>
      <x:c r="U75" s="16" t="str">
        <x:v>1.0</x:v>
      </x:c>
      <x:c r="V75" s="18" t="str">
        <x:v>0.6993729472160339</x:v>
      </x:c>
      <x:c r="W75" s="18" t="str">
        <x:v>0.7652404963970184</x:v>
      </x:c>
      <x:c r="X75" s="18" t="str">
        <x:v>0.824592649936676</x:v>
      </x:c>
      <x:c r="Y75" s="18" t="str">
        <x:v>0.8341474533081055</x:v>
      </x:c>
      <x:c r="Z75" s="18" t="str">
        <x:v>0.8688747167587281</x:v>
      </x:c>
      <x:c r="AA75" s="18" t="str">
        <x:v>0.9065877199172974</x:v>
      </x:c>
      <x:c r="AB75" s="20" t="str">
        <x:v>156.7840999996406</x:v>
      </x:c>
      <x:c r="AC75" s="12" t="str">
        <x:v>overlays\disgust_024.png</x:v>
      </x:c>
      <x:c r="AD75" s="12" t="str"/>
      <x:c r="AE75" s="12" t="str"/>
      <x:c r="AF75" s="12" t="str">
        <x:v>acceptable</x:v>
      </x:c>
      <x:c r="AG75" s="12" t="n">
        <x:v>1</x:v>
      </x:c>
      <x:c r="AH75" s="12" t="str">
        <x:v>acceptable</x:v>
      </x:c>
      <x:c r="AI75" s="12" t="str">
        <x:v>acceptable</x:v>
      </x:c>
      <x:c r="AJ75" s="12" t="str">
        <x:v>acceptable</x:v>
      </x:c>
      <x:c r="AK75" s="12" t="str">
        <x:v>not_applicable</x:v>
      </x:c>
      <x:c r="AL75" s="12" t="str">
        <x:v>mild</x:v>
      </x:c>
      <x:c r="AM75" s="14" t="str">
        <x:v>Moderate pose, crop, blur, or facial texture causes minor landmark uncertainty; the result remains usable.</x:v>
      </x:c>
    </x:row>
    <x:row r="76" ht="28" customHeight="1">
      <x:c r="A76" s="12" t="str">
        <x:v>disgust_025</x:v>
      </x:c>
      <x:c r="B76" s="12" t="str">
        <x:v>disgust</x:v>
      </x:c>
      <x:c r="C76" s="14" t="str">
        <x:v>disgust/Training_73889032.jpg</x:v>
      </x:c>
      <x:c r="D76" s="12" t="str">
        <x:v>00567c7d6e6a818b519975b54a0bee17eab150fda91b951220d6f92f836ee47d</x:v>
      </x:c>
      <x:c r="E76" s="12" t="str">
        <x:v>00567c7d6e6a818b519975b54a0bee17eab150fda91b951220d6f92f836ee47d</x:v>
      </x:c>
      <x:c r="F76" s="12" t="str">
        <x:v>True</x:v>
      </x:c>
      <x:c r="G76" s="12" t="str">
        <x:v>48</x:v>
      </x:c>
      <x:c r="H76" s="12" t="str">
        <x:v>48</x:v>
      </x:c>
      <x:c r="I76" s="12" t="str">
        <x:v>0.0</x:v>
      </x:c>
      <x:c r="J76" s="12" t="str">
        <x:v>0.0</x:v>
      </x:c>
      <x:c r="K76" s="12" t="str">
        <x:v>47.0</x:v>
      </x:c>
      <x:c r="L76" s="12" t="str">
        <x:v>47.0</x:v>
      </x:c>
      <x:c r="M76" s="12" t="str">
        <x:v>True</x:v>
      </x:c>
      <x:c r="N76" s="12" t="str">
        <x:v>68</x:v>
      </x:c>
      <x:c r="O76" s="12" t="str">
        <x:v>68</x:v>
      </x:c>
      <x:c r="P76" s="16" t="str">
        <x:v>1.0</x:v>
      </x:c>
      <x:c r="Q76" s="12" t="str">
        <x:v>68</x:v>
      </x:c>
      <x:c r="R76" s="16" t="str">
        <x:v>1.0</x:v>
      </x:c>
      <x:c r="S76" s="12" t="str">
        <x:v>0.2</x:v>
      </x:c>
      <x:c r="T76" s="12" t="str">
        <x:v>68</x:v>
      </x:c>
      <x:c r="U76" s="16" t="str">
        <x:v>1.0</x:v>
      </x:c>
      <x:c r="V76" s="18" t="str">
        <x:v>0.7181409597396851</x:v>
      </x:c>
      <x:c r="W76" s="18" t="str">
        <x:v>0.7570531070232391</x:v>
      </x:c>
      <x:c r="X76" s="18" t="str">
        <x:v>0.820123553276062</x:v>
      </x:c>
      <x:c r="Y76" s="18" t="str">
        <x:v>0.8243561387062073</x:v>
      </x:c>
      <x:c r="Z76" s="18" t="str">
        <x:v>0.8624344944953919</x:v>
      </x:c>
      <x:c r="AA76" s="18" t="str">
        <x:v>0.8992776870727539</x:v>
      </x:c>
      <x:c r="AB76" s="20" t="str">
        <x:v>158.9663999984623</x:v>
      </x:c>
      <x:c r="AC76" s="12" t="str">
        <x:v>overlays\disgust_025.png</x:v>
      </x:c>
      <x:c r="AD76" s="12" t="str"/>
      <x:c r="AE76" s="12" t="str"/>
      <x:c r="AF76" s="12" t="str">
        <x:v>good</x:v>
      </x:c>
      <x:c r="AG76" s="12" t="n">
        <x:v>1</x:v>
      </x:c>
      <x:c r="AH76" s="12" t="str">
        <x:v>good</x:v>
      </x:c>
      <x:c r="AI76" s="12" t="str">
        <x:v>good</x:v>
      </x:c>
      <x:c r="AJ76" s="12" t="str">
        <x:v>good</x:v>
      </x:c>
      <x:c r="AK76" s="12" t="str">
        <x:v>good</x:v>
      </x:c>
      <x:c r="AL76" s="12" t="str">
        <x:v>none</x:v>
      </x:c>
      <x:c r="AM76" s="14" t="str">
        <x:v>Clear and well-aligned facial landmarks with no major pose, crop, or occlusion issue.</x:v>
      </x:c>
    </x:row>
    <x:row r="77" ht="28" customHeight="1">
      <x:c r="A77" s="12" t="str">
        <x:v>disgust_026</x:v>
      </x:c>
      <x:c r="B77" s="12" t="str">
        <x:v>disgust</x:v>
      </x:c>
      <x:c r="C77" s="14" t="str">
        <x:v>disgust/Training_31805016.jpg</x:v>
      </x:c>
      <x:c r="D77" s="12" t="str">
        <x:v>4e34a81bc8c3fed9b7f895df6535bb4675dbd7412ca0839164d1d0a23faf4174</x:v>
      </x:c>
      <x:c r="E77" s="12" t="str">
        <x:v>4e34a81bc8c3fed9b7f895df6535bb4675dbd7412ca0839164d1d0a23faf4174</x:v>
      </x:c>
      <x:c r="F77" s="12" t="str">
        <x:v>True</x:v>
      </x:c>
      <x:c r="G77" s="12" t="str">
        <x:v>48</x:v>
      </x:c>
      <x:c r="H77" s="12" t="str">
        <x:v>48</x:v>
      </x:c>
      <x:c r="I77" s="12" t="str">
        <x:v>0.0</x:v>
      </x:c>
      <x:c r="J77" s="12" t="str">
        <x:v>0.0</x:v>
      </x:c>
      <x:c r="K77" s="12" t="str">
        <x:v>47.0</x:v>
      </x:c>
      <x:c r="L77" s="12" t="str">
        <x:v>47.0</x:v>
      </x:c>
      <x:c r="M77" s="12" t="str">
        <x:v>True</x:v>
      </x:c>
      <x:c r="N77" s="12" t="str">
        <x:v>68</x:v>
      </x:c>
      <x:c r="O77" s="12" t="str">
        <x:v>68</x:v>
      </x:c>
      <x:c r="P77" s="16" t="str">
        <x:v>1.0</x:v>
      </x:c>
      <x:c r="Q77" s="12" t="str">
        <x:v>68</x:v>
      </x:c>
      <x:c r="R77" s="16" t="str">
        <x:v>1.0</x:v>
      </x:c>
      <x:c r="S77" s="12" t="str">
        <x:v>0.2</x:v>
      </x:c>
      <x:c r="T77" s="12" t="str">
        <x:v>68</x:v>
      </x:c>
      <x:c r="U77" s="16" t="str">
        <x:v>1.0</x:v>
      </x:c>
      <x:c r="V77" s="18" t="str">
        <x:v>0.5856057405471802</x:v>
      </x:c>
      <x:c r="W77" s="18" t="str">
        <x:v>0.7430223524570465</x:v>
      </x:c>
      <x:c r="X77" s="18" t="str">
        <x:v>0.8189581632614136</x:v>
      </x:c>
      <x:c r="Y77" s="18" t="str">
        <x:v>0.8332527279853821</x:v>
      </x:c>
      <x:c r="Z77" s="18" t="str">
        <x:v>0.8819743573665619</x:v>
      </x:c>
      <x:c r="AA77" s="18" t="str">
        <x:v>0.9079922437667847</x:v>
      </x:c>
      <x:c r="AB77" s="20" t="str">
        <x:v>154.51190000021597</x:v>
      </x:c>
      <x:c r="AC77" s="12" t="str">
        <x:v>overlays\disgust_026.png</x:v>
      </x:c>
      <x:c r="AD77" s="12" t="str"/>
      <x:c r="AE77" s="12" t="str"/>
      <x:c r="AF77" s="12" t="str">
        <x:v>good</x:v>
      </x:c>
      <x:c r="AG77" s="12" t="n">
        <x:v>1</x:v>
      </x:c>
      <x:c r="AH77" s="12" t="str">
        <x:v>good</x:v>
      </x:c>
      <x:c r="AI77" s="12" t="str">
        <x:v>good</x:v>
      </x:c>
      <x:c r="AJ77" s="12" t="str">
        <x:v>good</x:v>
      </x:c>
      <x:c r="AK77" s="12" t="str">
        <x:v>good</x:v>
      </x:c>
      <x:c r="AL77" s="12" t="str">
        <x:v>none</x:v>
      </x:c>
      <x:c r="AM77" s="14" t="str">
        <x:v>Clear and well-aligned facial landmarks with no major pose, crop, or occlusion issue.</x:v>
      </x:c>
    </x:row>
    <x:row r="78" ht="28" customHeight="1">
      <x:c r="A78" s="12" t="str">
        <x:v>disgust_027</x:v>
      </x:c>
      <x:c r="B78" s="12" t="str">
        <x:v>disgust</x:v>
      </x:c>
      <x:c r="C78" s="14" t="str">
        <x:v>disgust/Training_84874359.jpg</x:v>
      </x:c>
      <x:c r="D78" s="12" t="str">
        <x:v>4e34a81bc8c3fed9b7f895df6535bb4675dbd7412ca0839164d1d0a23faf4174</x:v>
      </x:c>
      <x:c r="E78" s="12" t="str">
        <x:v>4e34a81bc8c3fed9b7f895df6535bb4675dbd7412ca0839164d1d0a23faf4174</x:v>
      </x:c>
      <x:c r="F78" s="12" t="str">
        <x:v>True</x:v>
      </x:c>
      <x:c r="G78" s="12" t="str">
        <x:v>48</x:v>
      </x:c>
      <x:c r="H78" s="12" t="str">
        <x:v>48</x:v>
      </x:c>
      <x:c r="I78" s="12" t="str">
        <x:v>0.0</x:v>
      </x:c>
      <x:c r="J78" s="12" t="str">
        <x:v>0.0</x:v>
      </x:c>
      <x:c r="K78" s="12" t="str">
        <x:v>47.0</x:v>
      </x:c>
      <x:c r="L78" s="12" t="str">
        <x:v>47.0</x:v>
      </x:c>
      <x:c r="M78" s="12" t="str">
        <x:v>True</x:v>
      </x:c>
      <x:c r="N78" s="12" t="str">
        <x:v>68</x:v>
      </x:c>
      <x:c r="O78" s="12" t="str">
        <x:v>68</x:v>
      </x:c>
      <x:c r="P78" s="16" t="str">
        <x:v>1.0</x:v>
      </x:c>
      <x:c r="Q78" s="12" t="str">
        <x:v>68</x:v>
      </x:c>
      <x:c r="R78" s="16" t="str">
        <x:v>1.0</x:v>
      </x:c>
      <x:c r="S78" s="12" t="str">
        <x:v>0.2</x:v>
      </x:c>
      <x:c r="T78" s="12" t="str">
        <x:v>68</x:v>
      </x:c>
      <x:c r="U78" s="16" t="str">
        <x:v>1.0</x:v>
      </x:c>
      <x:c r="V78" s="18" t="str">
        <x:v>0.5856057405471802</x:v>
      </x:c>
      <x:c r="W78" s="18" t="str">
        <x:v>0.7430223524570465</x:v>
      </x:c>
      <x:c r="X78" s="18" t="str">
        <x:v>0.8189581632614136</x:v>
      </x:c>
      <x:c r="Y78" s="18" t="str">
        <x:v>0.8332527279853821</x:v>
      </x:c>
      <x:c r="Z78" s="18" t="str">
        <x:v>0.8819743573665619</x:v>
      </x:c>
      <x:c r="AA78" s="18" t="str">
        <x:v>0.9079922437667847</x:v>
      </x:c>
      <x:c r="AB78" s="20" t="str">
        <x:v>153.5061000031419</x:v>
      </x:c>
      <x:c r="AC78" s="12" t="str">
        <x:v>overlays\disgust_027.png</x:v>
      </x:c>
      <x:c r="AD78" s="12" t="str"/>
      <x:c r="AE78" s="12" t="str"/>
      <x:c r="AF78" s="12" t="str">
        <x:v>good</x:v>
      </x:c>
      <x:c r="AG78" s="12" t="n">
        <x:v>1</x:v>
      </x:c>
      <x:c r="AH78" s="12" t="str">
        <x:v>good</x:v>
      </x:c>
      <x:c r="AI78" s="12" t="str">
        <x:v>good</x:v>
      </x:c>
      <x:c r="AJ78" s="12" t="str">
        <x:v>good</x:v>
      </x:c>
      <x:c r="AK78" s="12" t="str">
        <x:v>good</x:v>
      </x:c>
      <x:c r="AL78" s="12" t="str">
        <x:v>none</x:v>
      </x:c>
      <x:c r="AM78" s="14" t="str">
        <x:v>Clear and well-aligned facial landmarks with no major pose, crop, or occlusion issue.</x:v>
      </x:c>
    </x:row>
    <x:row r="79" ht="28" customHeight="1">
      <x:c r="A79" s="12" t="str">
        <x:v>disgust_028</x:v>
      </x:c>
      <x:c r="B79" s="12" t="str">
        <x:v>disgust</x:v>
      </x:c>
      <x:c r="C79" s="14" t="str">
        <x:v>disgust/Training_1654496.jpg</x:v>
      </x:c>
      <x:c r="D79" s="12" t="str">
        <x:v>d445a50f0bc4064d3e00ac901c83604c3c3c4c90f1d884df196403fc892610ef</x:v>
      </x:c>
      <x:c r="E79" s="12" t="str">
        <x:v>d445a50f0bc4064d3e00ac901c83604c3c3c4c90f1d884df196403fc892610ef</x:v>
      </x:c>
      <x:c r="F79" s="12" t="str">
        <x:v>True</x:v>
      </x:c>
      <x:c r="G79" s="12" t="str">
        <x:v>48</x:v>
      </x:c>
      <x:c r="H79" s="12" t="str">
        <x:v>48</x:v>
      </x:c>
      <x:c r="I79" s="12" t="str">
        <x:v>0.0</x:v>
      </x:c>
      <x:c r="J79" s="12" t="str">
        <x:v>0.0</x:v>
      </x:c>
      <x:c r="K79" s="12" t="str">
        <x:v>47.0</x:v>
      </x:c>
      <x:c r="L79" s="12" t="str">
        <x:v>47.0</x:v>
      </x:c>
      <x:c r="M79" s="12" t="str">
        <x:v>True</x:v>
      </x:c>
      <x:c r="N79" s="12" t="str">
        <x:v>68</x:v>
      </x:c>
      <x:c r="O79" s="12" t="str">
        <x:v>68</x:v>
      </x:c>
      <x:c r="P79" s="16" t="str">
        <x:v>1.0</x:v>
      </x:c>
      <x:c r="Q79" s="12" t="str">
        <x:v>64</x:v>
      </x:c>
      <x:c r="R79" s="16" t="str">
        <x:v>0.9411764705882353</x:v>
      </x:c>
      <x:c r="S79" s="12" t="str">
        <x:v>0.2</x:v>
      </x:c>
      <x:c r="T79" s="12" t="str">
        <x:v>68</x:v>
      </x:c>
      <x:c r="U79" s="16" t="str">
        <x:v>1.0</x:v>
      </x:c>
      <x:c r="V79" s="18" t="str">
        <x:v>0.6031859517097473</x:v>
      </x:c>
      <x:c r="W79" s="18" t="str">
        <x:v>0.7188936531543731</x:v>
      </x:c>
      <x:c r="X79" s="18" t="str">
        <x:v>0.7910892367362976</x:v>
      </x:c>
      <x:c r="Y79" s="18" t="str">
        <x:v>0.8002394437789917</x:v>
      </x:c>
      <x:c r="Z79" s="18" t="str">
        <x:v>0.8415742933750153</x:v>
      </x:c>
      <x:c r="AA79" s="18" t="str">
        <x:v>0.8933423161506653</x:v>
      </x:c>
      <x:c r="AB79" s="20" t="str">
        <x:v>171.30529999849387</x:v>
      </x:c>
      <x:c r="AC79" s="12" t="str">
        <x:v>overlays\disgust_028.png</x:v>
      </x:c>
      <x:c r="AD79" s="12" t="str"/>
      <x:c r="AE79" s="12" t="str"/>
      <x:c r="AF79" s="12" t="str">
        <x:v>acceptable</x:v>
      </x:c>
      <x:c r="AG79" s="12" t="n">
        <x:v>1</x:v>
      </x:c>
      <x:c r="AH79" s="12" t="str">
        <x:v>acceptable</x:v>
      </x:c>
      <x:c r="AI79" s="12" t="str">
        <x:v>acceptable</x:v>
      </x:c>
      <x:c r="AJ79" s="12" t="str">
        <x:v>acceptable</x:v>
      </x:c>
      <x:c r="AK79" s="12" t="str">
        <x:v>not_applicable</x:v>
      </x:c>
      <x:c r="AL79" s="12" t="str">
        <x:v>mild</x:v>
      </x:c>
      <x:c r="AM79" s="14" t="str">
        <x:v>Moderate pose, crop, blur, or facial texture causes minor landmark uncertainty; the result remains usable.</x:v>
      </x:c>
    </x:row>
    <x:row r="80" ht="28" customHeight="1">
      <x:c r="A80" s="12" t="str">
        <x:v>disgust_029</x:v>
      </x:c>
      <x:c r="B80" s="12" t="str">
        <x:v>disgust</x:v>
      </x:c>
      <x:c r="C80" s="14" t="str">
        <x:v>disgust/Training_14064382.jpg</x:v>
      </x:c>
      <x:c r="D80" s="12" t="str">
        <x:v>d3dba995b87a2d748c7abe5b449efe57284140951cea7761dfee25840b898c11</x:v>
      </x:c>
      <x:c r="E80" s="12" t="str">
        <x:v>d3dba995b87a2d748c7abe5b449efe57284140951cea7761dfee25840b898c11</x:v>
      </x:c>
      <x:c r="F80" s="12" t="str">
        <x:v>True</x:v>
      </x:c>
      <x:c r="G80" s="12" t="str">
        <x:v>48</x:v>
      </x:c>
      <x:c r="H80" s="12" t="str">
        <x:v>48</x:v>
      </x:c>
      <x:c r="I80" s="12" t="str">
        <x:v>0.0</x:v>
      </x:c>
      <x:c r="J80" s="12" t="str">
        <x:v>0.0</x:v>
      </x:c>
      <x:c r="K80" s="12" t="str">
        <x:v>47.0</x:v>
      </x:c>
      <x:c r="L80" s="12" t="str">
        <x:v>47.0</x:v>
      </x:c>
      <x:c r="M80" s="12" t="str">
        <x:v>True</x:v>
      </x:c>
      <x:c r="N80" s="12" t="str">
        <x:v>68</x:v>
      </x:c>
      <x:c r="O80" s="12" t="str">
        <x:v>68</x:v>
      </x:c>
      <x:c r="P80" s="16" t="str">
        <x:v>1.0</x:v>
      </x:c>
      <x:c r="Q80" s="12" t="str">
        <x:v>67</x:v>
      </x:c>
      <x:c r="R80" s="16" t="str">
        <x:v>0.9852941176470589</x:v>
      </x:c>
      <x:c r="S80" s="12" t="str">
        <x:v>0.2</x:v>
      </x:c>
      <x:c r="T80" s="12" t="str">
        <x:v>68</x:v>
      </x:c>
      <x:c r="U80" s="16" t="str">
        <x:v>1.0</x:v>
      </x:c>
      <x:c r="V80" s="18" t="str">
        <x:v>0.6222831010818481</x:v>
      </x:c>
      <x:c r="W80" s="18" t="str">
        <x:v>0.6558909356594086</x:v>
      </x:c>
      <x:c r="X80" s="18" t="str">
        <x:v>0.7675517797470093</x:v>
      </x:c>
      <x:c r="Y80" s="18" t="str">
        <x:v>0.7796812057495117</x:v>
      </x:c>
      <x:c r="Z80" s="18" t="str">
        <x:v>0.8506169855594635</x:v>
      </x:c>
      <x:c r="AA80" s="18" t="str">
        <x:v>0.8964554071426392</x:v>
      </x:c>
      <x:c r="AB80" s="20" t="str">
        <x:v>160.62760000204435</x:v>
      </x:c>
      <x:c r="AC80" s="12" t="str">
        <x:v>overlays\disgust_029.png</x:v>
      </x:c>
      <x:c r="AD80" s="12" t="str"/>
      <x:c r="AE80" s="12" t="str"/>
      <x:c r="AF80" s="12" t="str">
        <x:v>acceptable</x:v>
      </x:c>
      <x:c r="AG80" s="12" t="n">
        <x:v>1</x:v>
      </x:c>
      <x:c r="AH80" s="12" t="str">
        <x:v>acceptable</x:v>
      </x:c>
      <x:c r="AI80" s="12" t="str">
        <x:v>acceptable</x:v>
      </x:c>
      <x:c r="AJ80" s="12" t="str">
        <x:v>acceptable</x:v>
      </x:c>
      <x:c r="AK80" s="12" t="str">
        <x:v>not_applicable</x:v>
      </x:c>
      <x:c r="AL80" s="12" t="str">
        <x:v>mild</x:v>
      </x:c>
      <x:c r="AM80" s="14" t="str">
        <x:v>Moderate pose, crop, blur, or facial texture causes minor landmark uncertainty; the result remains usable.</x:v>
      </x:c>
    </x:row>
    <x:row r="81" ht="28" customHeight="1">
      <x:c r="A81" s="12" t="str">
        <x:v>disgust_030</x:v>
      </x:c>
      <x:c r="B81" s="12" t="str">
        <x:v>disgust</x:v>
      </x:c>
      <x:c r="C81" s="14" t="str">
        <x:v>disgust/Training_80671795.jpg</x:v>
      </x:c>
      <x:c r="D81" s="12" t="str">
        <x:v>55dbff9769e3b520c45855d07cd6c1284d9a5a68cc24b19f93329fcfffb150d7</x:v>
      </x:c>
      <x:c r="E81" s="12" t="str">
        <x:v>55dbff9769e3b520c45855d07cd6c1284d9a5a68cc24b19f93329fcfffb150d7</x:v>
      </x:c>
      <x:c r="F81" s="12" t="str">
        <x:v>True</x:v>
      </x:c>
      <x:c r="G81" s="12" t="str">
        <x:v>48</x:v>
      </x:c>
      <x:c r="H81" s="12" t="str">
        <x:v>48</x:v>
      </x:c>
      <x:c r="I81" s="12" t="str">
        <x:v>0.0</x:v>
      </x:c>
      <x:c r="J81" s="12" t="str">
        <x:v>0.0</x:v>
      </x:c>
      <x:c r="K81" s="12" t="str">
        <x:v>47.0</x:v>
      </x:c>
      <x:c r="L81" s="12" t="str">
        <x:v>47.0</x:v>
      </x:c>
      <x:c r="M81" s="12" t="str">
        <x:v>True</x:v>
      </x:c>
      <x:c r="N81" s="12" t="str">
        <x:v>68</x:v>
      </x:c>
      <x:c r="O81" s="12" t="str">
        <x:v>68</x:v>
      </x:c>
      <x:c r="P81" s="16" t="str">
        <x:v>1.0</x:v>
      </x:c>
      <x:c r="Q81" s="12" t="str">
        <x:v>63</x:v>
      </x:c>
      <x:c r="R81" s="16" t="str">
        <x:v>0.9264705882352942</x:v>
      </x:c>
      <x:c r="S81" s="12" t="str">
        <x:v>0.2</x:v>
      </x:c>
      <x:c r="T81" s="12" t="str">
        <x:v>68</x:v>
      </x:c>
      <x:c r="U81" s="16" t="str">
        <x:v>1.0</x:v>
      </x:c>
      <x:c r="V81" s="18" t="str">
        <x:v>0.5269227623939514</x:v>
      </x:c>
      <x:c r="W81" s="18" t="str">
        <x:v>0.7103042304515839</x:v>
      </x:c>
      <x:c r="X81" s="18" t="str">
        <x:v>0.8035545945167542</x:v>
      </x:c>
      <x:c r="Y81" s="18" t="str">
        <x:v>0.8302983641624451</x:v>
      </x:c>
      <x:c r="Z81" s="18" t="str">
        <x:v>0.8641995847225189</x:v>
      </x:c>
      <x:c r="AA81" s="18" t="str">
        <x:v>0.8881189227104187</x:v>
      </x:c>
      <x:c r="AB81" s="20" t="str">
        <x:v>174.20310000306927</x:v>
      </x:c>
      <x:c r="AC81" s="12" t="str">
        <x:v>overlays\disgust_030.png</x:v>
      </x:c>
      <x:c r="AD81" s="12" t="str"/>
      <x:c r="AE81" s="12" t="str"/>
      <x:c r="AF81" s="12" t="str">
        <x:v>acceptable</x:v>
      </x:c>
      <x:c r="AG81" s="12" t="n">
        <x:v>1</x:v>
      </x:c>
      <x:c r="AH81" s="12" t="str">
        <x:v>acceptable</x:v>
      </x:c>
      <x:c r="AI81" s="12" t="str">
        <x:v>acceptable</x:v>
      </x:c>
      <x:c r="AJ81" s="12" t="str">
        <x:v>acceptable</x:v>
      </x:c>
      <x:c r="AK81" s="12" t="str">
        <x:v>not_applicable</x:v>
      </x:c>
      <x:c r="AL81" s="12" t="str">
        <x:v>mild</x:v>
      </x:c>
      <x:c r="AM81" s="14" t="str">
        <x:v>Moderate pose, crop, blur, or facial texture causes minor landmark uncertainty; the result remains usable.</x:v>
      </x:c>
    </x:row>
    <x:row r="82" ht="28" customHeight="1">
      <x:c r="A82" s="12" t="str">
        <x:v>disgust_031</x:v>
      </x:c>
      <x:c r="B82" s="12" t="str">
        <x:v>disgust</x:v>
      </x:c>
      <x:c r="C82" s="14" t="str">
        <x:v>disgust/Training_35846483.jpg</x:v>
      </x:c>
      <x:c r="D82" s="12" t="str">
        <x:v>23fbd9fbec608040ee17f06e2edc8a927957429cb70dbf8d55e50117c299c63c</x:v>
      </x:c>
      <x:c r="E82" s="12" t="str">
        <x:v>23fbd9fbec608040ee17f06e2edc8a927957429cb70dbf8d55e50117c299c63c</x:v>
      </x:c>
      <x:c r="F82" s="12" t="str">
        <x:v>True</x:v>
      </x:c>
      <x:c r="G82" s="12" t="str">
        <x:v>48</x:v>
      </x:c>
      <x:c r="H82" s="12" t="str">
        <x:v>48</x:v>
      </x:c>
      <x:c r="I82" s="12" t="str">
        <x:v>0.0</x:v>
      </x:c>
      <x:c r="J82" s="12" t="str">
        <x:v>0.0</x:v>
      </x:c>
      <x:c r="K82" s="12" t="str">
        <x:v>47.0</x:v>
      </x:c>
      <x:c r="L82" s="12" t="str">
        <x:v>47.0</x:v>
      </x:c>
      <x:c r="M82" s="12" t="str">
        <x:v>True</x:v>
      </x:c>
      <x:c r="N82" s="12" t="str">
        <x:v>68</x:v>
      </x:c>
      <x:c r="O82" s="12" t="str">
        <x:v>68</x:v>
      </x:c>
      <x:c r="P82" s="16" t="str">
        <x:v>1.0</x:v>
      </x:c>
      <x:c r="Q82" s="12" t="str">
        <x:v>67</x:v>
      </x:c>
      <x:c r="R82" s="16" t="str">
        <x:v>0.9852941176470589</x:v>
      </x:c>
      <x:c r="S82" s="12" t="str">
        <x:v>0.2</x:v>
      </x:c>
      <x:c r="T82" s="12" t="str">
        <x:v>68</x:v>
      </x:c>
      <x:c r="U82" s="16" t="str">
        <x:v>1.0</x:v>
      </x:c>
      <x:c r="V82" s="18" t="str">
        <x:v>0.6214807033538818</x:v>
      </x:c>
      <x:c r="W82" s="18" t="str">
        <x:v>0.6802095413208008</x:v>
      </x:c>
      <x:c r="X82" s="18" t="str">
        <x:v>0.7821771502494812</x:v>
      </x:c>
      <x:c r="Y82" s="18" t="str">
        <x:v>0.7996242046356201</x:v>
      </x:c>
      <x:c r="Z82" s="18" t="str">
        <x:v>0.8493069589138031</x:v>
      </x:c>
      <x:c r="AA82" s="18" t="str">
        <x:v>0.8637593388557434</x:v>
      </x:c>
      <x:c r="AB82" s="20" t="str">
        <x:v>156.2049999993178</x:v>
      </x:c>
      <x:c r="AC82" s="12" t="str">
        <x:v>overlays\disgust_031.png</x:v>
      </x:c>
      <x:c r="AD82" s="12" t="str"/>
      <x:c r="AE82" s="12" t="str"/>
      <x:c r="AF82" s="12" t="str">
        <x:v>good</x:v>
      </x:c>
      <x:c r="AG82" s="12" t="n">
        <x:v>1</x:v>
      </x:c>
      <x:c r="AH82" s="12" t="str">
        <x:v>good</x:v>
      </x:c>
      <x:c r="AI82" s="12" t="str">
        <x:v>good</x:v>
      </x:c>
      <x:c r="AJ82" s="12" t="str">
        <x:v>good</x:v>
      </x:c>
      <x:c r="AK82" s="12" t="str">
        <x:v>not_applicable</x:v>
      </x:c>
      <x:c r="AL82" s="12" t="str">
        <x:v>none</x:v>
      </x:c>
      <x:c r="AM82" s="14" t="str">
        <x:v>Clear and well-aligned facial landmarks with no major pose, crop, or occlusion issue.</x:v>
      </x:c>
    </x:row>
    <x:row r="83" ht="28" customHeight="1">
      <x:c r="A83" s="12" t="str">
        <x:v>disgust_032</x:v>
      </x:c>
      <x:c r="B83" s="12" t="str">
        <x:v>disgust</x:v>
      </x:c>
      <x:c r="C83" s="14" t="str">
        <x:v>disgust/Training_92867053.jpg</x:v>
      </x:c>
      <x:c r="D83" s="12" t="str">
        <x:v>19de3bd7e9311fb695fc5b60ac70234113cad95a98faa755b7b36826b8572702</x:v>
      </x:c>
      <x:c r="E83" s="12" t="str">
        <x:v>19de3bd7e9311fb695fc5b60ac70234113cad95a98faa755b7b36826b8572702</x:v>
      </x:c>
      <x:c r="F83" s="12" t="str">
        <x:v>True</x:v>
      </x:c>
      <x:c r="G83" s="12" t="str">
        <x:v>48</x:v>
      </x:c>
      <x:c r="H83" s="12" t="str">
        <x:v>48</x:v>
      </x:c>
      <x:c r="I83" s="12" t="str">
        <x:v>0.0</x:v>
      </x:c>
      <x:c r="J83" s="12" t="str">
        <x:v>0.0</x:v>
      </x:c>
      <x:c r="K83" s="12" t="str">
        <x:v>47.0</x:v>
      </x:c>
      <x:c r="L83" s="12" t="str">
        <x:v>47.0</x:v>
      </x:c>
      <x:c r="M83" s="12" t="str">
        <x:v>True</x:v>
      </x:c>
      <x:c r="N83" s="12" t="str">
        <x:v>68</x:v>
      </x:c>
      <x:c r="O83" s="12" t="str">
        <x:v>68</x:v>
      </x:c>
      <x:c r="P83" s="16" t="str">
        <x:v>1.0</x:v>
      </x:c>
      <x:c r="Q83" s="12" t="str">
        <x:v>68</x:v>
      </x:c>
      <x:c r="R83" s="16" t="str">
        <x:v>1.0</x:v>
      </x:c>
      <x:c r="S83" s="12" t="str">
        <x:v>0.2</x:v>
      </x:c>
      <x:c r="T83" s="12" t="str">
        <x:v>68</x:v>
      </x:c>
      <x:c r="U83" s="16" t="str">
        <x:v>1.0</x:v>
      </x:c>
      <x:c r="V83" s="18" t="str">
        <x:v>0.40922433137893677</x:v>
      </x:c>
      <x:c r="W83" s="18" t="str">
        <x:v>0.6451974630355835</x:v>
      </x:c>
      <x:c r="X83" s="18" t="str">
        <x:v>0.7601856589317322</x:v>
      </x:c>
      <x:c r="Y83" s="18" t="str">
        <x:v>0.7976144552230835</x:v>
      </x:c>
      <x:c r="Z83" s="18" t="str">
        <x:v>0.8471584916114807</x:v>
      </x:c>
      <x:c r="AA83" s="18" t="str">
        <x:v>0.884765088558197</x:v>
      </x:c>
      <x:c r="AB83" s="20" t="str">
        <x:v>159.40209999826038</x:v>
      </x:c>
      <x:c r="AC83" s="12" t="str">
        <x:v>overlays\disgust_032.png</x:v>
      </x:c>
      <x:c r="AD83" s="12" t="str"/>
      <x:c r="AE83" s="12" t="str"/>
      <x:c r="AF83" s="12" t="str">
        <x:v>good</x:v>
      </x:c>
      <x:c r="AG83" s="12" t="n">
        <x:v>1</x:v>
      </x:c>
      <x:c r="AH83" s="12" t="str">
        <x:v>good</x:v>
      </x:c>
      <x:c r="AI83" s="12" t="str">
        <x:v>good</x:v>
      </x:c>
      <x:c r="AJ83" s="12" t="str">
        <x:v>good</x:v>
      </x:c>
      <x:c r="AK83" s="12" t="str">
        <x:v>good</x:v>
      </x:c>
      <x:c r="AL83" s="12" t="str">
        <x:v>none</x:v>
      </x:c>
      <x:c r="AM83" s="14" t="str">
        <x:v>Clear and well-aligned facial landmarks with no major pose, crop, or occlusion issue.</x:v>
      </x:c>
    </x:row>
    <x:row r="84" ht="28" customHeight="1">
      <x:c r="A84" s="12" t="str">
        <x:v>disgust_033</x:v>
      </x:c>
      <x:c r="B84" s="12" t="str">
        <x:v>disgust</x:v>
      </x:c>
      <x:c r="C84" s="14" t="str">
        <x:v>disgust/Training_43083070.jpg</x:v>
      </x:c>
      <x:c r="D84" s="12" t="str">
        <x:v>23c53b036456a877de2d788cdfaa06509ed9d36d0459cf9b9d4c557da17837a4</x:v>
      </x:c>
      <x:c r="E84" s="12" t="str">
        <x:v>23c53b036456a877de2d788cdfaa06509ed9d36d0459cf9b9d4c557da17837a4</x:v>
      </x:c>
      <x:c r="F84" s="12" t="str">
        <x:v>True</x:v>
      </x:c>
      <x:c r="G84" s="12" t="str">
        <x:v>48</x:v>
      </x:c>
      <x:c r="H84" s="12" t="str">
        <x:v>48</x:v>
      </x:c>
      <x:c r="I84" s="12" t="str">
        <x:v>0.0</x:v>
      </x:c>
      <x:c r="J84" s="12" t="str">
        <x:v>0.0</x:v>
      </x:c>
      <x:c r="K84" s="12" t="str">
        <x:v>47.0</x:v>
      </x:c>
      <x:c r="L84" s="12" t="str">
        <x:v>47.0</x:v>
      </x:c>
      <x:c r="M84" s="12" t="str">
        <x:v>True</x:v>
      </x:c>
      <x:c r="N84" s="12" t="str">
        <x:v>68</x:v>
      </x:c>
      <x:c r="O84" s="12" t="str">
        <x:v>68</x:v>
      </x:c>
      <x:c r="P84" s="16" t="str">
        <x:v>1.0</x:v>
      </x:c>
      <x:c r="Q84" s="12" t="str">
        <x:v>66</x:v>
      </x:c>
      <x:c r="R84" s="16" t="str">
        <x:v>0.9705882352941176</x:v>
      </x:c>
      <x:c r="S84" s="12" t="str">
        <x:v>0.2</x:v>
      </x:c>
      <x:c r="T84" s="12" t="str">
        <x:v>68</x:v>
      </x:c>
      <x:c r="U84" s="16" t="str">
        <x:v>1.0</x:v>
      </x:c>
      <x:c r="V84" s="18" t="str">
        <x:v>0.3069919943809509</x:v>
      </x:c>
      <x:c r="W84" s="18" t="str">
        <x:v>0.5088269472122192</x:v>
      </x:c>
      <x:c r="X84" s="18" t="str">
        <x:v>0.732150137424469</x:v>
      </x:c>
      <x:c r="Y84" s="18" t="str">
        <x:v>0.7913130521774292</x:v>
      </x:c>
      <x:c r="Z84" s="18" t="str">
        <x:v>0.8326956450939179</x:v>
      </x:c>
      <x:c r="AA84" s="18" t="str">
        <x:v>0.8585563898086548</x:v>
      </x:c>
      <x:c r="AB84" s="20" t="str">
        <x:v>159.4794000047841</x:v>
      </x:c>
      <x:c r="AC84" s="12" t="str">
        <x:v>overlays\disgust_033.png</x:v>
      </x:c>
      <x:c r="AD84" s="12" t="str"/>
      <x:c r="AE84" s="12" t="str"/>
      <x:c r="AF84" s="12" t="str">
        <x:v>good</x:v>
      </x:c>
      <x:c r="AG84" s="12" t="n">
        <x:v>1</x:v>
      </x:c>
      <x:c r="AH84" s="12" t="str">
        <x:v>good</x:v>
      </x:c>
      <x:c r="AI84" s="12" t="str">
        <x:v>good</x:v>
      </x:c>
      <x:c r="AJ84" s="12" t="str">
        <x:v>good</x:v>
      </x:c>
      <x:c r="AK84" s="12" t="str">
        <x:v>not_applicable</x:v>
      </x:c>
      <x:c r="AL84" s="12" t="str">
        <x:v>none</x:v>
      </x:c>
      <x:c r="AM84" s="14" t="str">
        <x:v>Clear and well-aligned facial landmarks with no major pose, crop, or occlusion issue.</x:v>
      </x:c>
    </x:row>
    <x:row r="85" ht="28" customHeight="1">
      <x:c r="A85" s="12" t="str">
        <x:v>disgust_034</x:v>
      </x:c>
      <x:c r="B85" s="12" t="str">
        <x:v>disgust</x:v>
      </x:c>
      <x:c r="C85" s="14" t="str">
        <x:v>disgust/Training_36831728.jpg</x:v>
      </x:c>
      <x:c r="D85" s="12" t="str">
        <x:v>7e108c5b7df945d89796e2dbafd4fff6767f666d62842248dbd9064fe2641fd6</x:v>
      </x:c>
      <x:c r="E85" s="12" t="str">
        <x:v>7e108c5b7df945d89796e2dbafd4fff6767f666d62842248dbd9064fe2641fd6</x:v>
      </x:c>
      <x:c r="F85" s="12" t="str">
        <x:v>True</x:v>
      </x:c>
      <x:c r="G85" s="12" t="str">
        <x:v>48</x:v>
      </x:c>
      <x:c r="H85" s="12" t="str">
        <x:v>48</x:v>
      </x:c>
      <x:c r="I85" s="12" t="str">
        <x:v>0.0</x:v>
      </x:c>
      <x:c r="J85" s="12" t="str">
        <x:v>0.0</x:v>
      </x:c>
      <x:c r="K85" s="12" t="str">
        <x:v>47.0</x:v>
      </x:c>
      <x:c r="L85" s="12" t="str">
        <x:v>47.0</x:v>
      </x:c>
      <x:c r="M85" s="12" t="str">
        <x:v>True</x:v>
      </x:c>
      <x:c r="N85" s="12" t="str">
        <x:v>68</x:v>
      </x:c>
      <x:c r="O85" s="12" t="str">
        <x:v>68</x:v>
      </x:c>
      <x:c r="P85" s="16" t="str">
        <x:v>1.0</x:v>
      </x:c>
      <x:c r="Q85" s="12" t="str">
        <x:v>68</x:v>
      </x:c>
      <x:c r="R85" s="16" t="str">
        <x:v>1.0</x:v>
      </x:c>
      <x:c r="S85" s="12" t="str">
        <x:v>0.2</x:v>
      </x:c>
      <x:c r="T85" s="12" t="str">
        <x:v>68</x:v>
      </x:c>
      <x:c r="U85" s="16" t="str">
        <x:v>1.0</x:v>
      </x:c>
      <x:c r="V85" s="18" t="str">
        <x:v>0.7108311653137207</x:v>
      </x:c>
      <x:c r="W85" s="18" t="str">
        <x:v>0.7595163762569428</x:v>
      </x:c>
      <x:c r="X85" s="18" t="str">
        <x:v>0.8224757313728333</x:v>
      </x:c>
      <x:c r="Y85" s="18" t="str">
        <x:v>0.8264626264572144</x:v>
      </x:c>
      <x:c r="Z85" s="18" t="str">
        <x:v>0.8756364405155181</x:v>
      </x:c>
      <x:c r="AA85" s="18" t="str">
        <x:v>0.8927339315414429</x:v>
      </x:c>
      <x:c r="AB85" s="20" t="str">
        <x:v>229.74840000097174</x:v>
      </x:c>
      <x:c r="AC85" s="12" t="str">
        <x:v>overlays\disgust_034.png</x:v>
      </x:c>
      <x:c r="AD85" s="12" t="str"/>
      <x:c r="AE85" s="12" t="str"/>
      <x:c r="AF85" s="12" t="str">
        <x:v>good</x:v>
      </x:c>
      <x:c r="AG85" s="12" t="n">
        <x:v>1</x:v>
      </x:c>
      <x:c r="AH85" s="12" t="str">
        <x:v>good</x:v>
      </x:c>
      <x:c r="AI85" s="12" t="str">
        <x:v>good</x:v>
      </x:c>
      <x:c r="AJ85" s="12" t="str">
        <x:v>good</x:v>
      </x:c>
      <x:c r="AK85" s="12" t="str">
        <x:v>not_applicable</x:v>
      </x:c>
      <x:c r="AL85" s="12" t="str">
        <x:v>none</x:v>
      </x:c>
      <x:c r="AM85" s="14" t="str">
        <x:v>Clear and well-aligned facial landmarks with no major pose, crop, or occlusion issue.</x:v>
      </x:c>
    </x:row>
    <x:row r="86" ht="28" customHeight="1">
      <x:c r="A86" s="12" t="str">
        <x:v>disgust_035</x:v>
      </x:c>
      <x:c r="B86" s="12" t="str">
        <x:v>disgust</x:v>
      </x:c>
      <x:c r="C86" s="14" t="str">
        <x:v>disgust/Training_20767880.jpg</x:v>
      </x:c>
      <x:c r="D86" s="12" t="str">
        <x:v>a1232f4b247d2556e03d7443178e3ca2dcb282cd16170d1b00f0a8639ee536a6</x:v>
      </x:c>
      <x:c r="E86" s="12" t="str">
        <x:v>a1232f4b247d2556e03d7443178e3ca2dcb282cd16170d1b00f0a8639ee536a6</x:v>
      </x:c>
      <x:c r="F86" s="12" t="str">
        <x:v>True</x:v>
      </x:c>
      <x:c r="G86" s="12" t="str">
        <x:v>48</x:v>
      </x:c>
      <x:c r="H86" s="12" t="str">
        <x:v>48</x:v>
      </x:c>
      <x:c r="I86" s="12" t="str">
        <x:v>0.0</x:v>
      </x:c>
      <x:c r="J86" s="12" t="str">
        <x:v>0.0</x:v>
      </x:c>
      <x:c r="K86" s="12" t="str">
        <x:v>47.0</x:v>
      </x:c>
      <x:c r="L86" s="12" t="str">
        <x:v>47.0</x:v>
      </x:c>
      <x:c r="M86" s="12" t="str">
        <x:v>True</x:v>
      </x:c>
      <x:c r="N86" s="12" t="str">
        <x:v>68</x:v>
      </x:c>
      <x:c r="O86" s="12" t="str">
        <x:v>68</x:v>
      </x:c>
      <x:c r="P86" s="16" t="str">
        <x:v>1.0</x:v>
      </x:c>
      <x:c r="Q86" s="12" t="str">
        <x:v>68</x:v>
      </x:c>
      <x:c r="R86" s="16" t="str">
        <x:v>1.0</x:v>
      </x:c>
      <x:c r="S86" s="12" t="str">
        <x:v>0.2</x:v>
      </x:c>
      <x:c r="T86" s="12" t="str">
        <x:v>68</x:v>
      </x:c>
      <x:c r="U86" s="16" t="str">
        <x:v>1.0</x:v>
      </x:c>
      <x:c r="V86" s="18" t="str">
        <x:v>0.553027331829071</x:v>
      </x:c>
      <x:c r="W86" s="18" t="str">
        <x:v>0.6771722316741944</x:v>
      </x:c>
      <x:c r="X86" s="18" t="str">
        <x:v>0.7708542346954346</x:v>
      </x:c>
      <x:c r="Y86" s="18" t="str">
        <x:v>0.7767101526260376</x:v>
      </x:c>
      <x:c r="Z86" s="18" t="str">
        <x:v>0.8359727740287781</x:v>
      </x:c>
      <x:c r="AA86" s="18" t="str">
        <x:v>0.872238278388977</x:v>
      </x:c>
      <x:c r="AB86" s="20" t="str">
        <x:v>159.40189999673748</x:v>
      </x:c>
      <x:c r="AC86" s="12" t="str">
        <x:v>overlays\disgust_035.png</x:v>
      </x:c>
      <x:c r="AD86" s="12" t="str"/>
      <x:c r="AE86" s="12" t="str"/>
      <x:c r="AF86" s="12" t="str">
        <x:v>good</x:v>
      </x:c>
      <x:c r="AG86" s="12" t="n">
        <x:v>1</x:v>
      </x:c>
      <x:c r="AH86" s="12" t="str">
        <x:v>good</x:v>
      </x:c>
      <x:c r="AI86" s="12" t="str">
        <x:v>good</x:v>
      </x:c>
      <x:c r="AJ86" s="12" t="str">
        <x:v>good</x:v>
      </x:c>
      <x:c r="AK86" s="12" t="str">
        <x:v>good</x:v>
      </x:c>
      <x:c r="AL86" s="12" t="str">
        <x:v>none</x:v>
      </x:c>
      <x:c r="AM86" s="14" t="str">
        <x:v>Clear and well-aligned facial landmarks with no major pose, crop, or occlusion issue.</x:v>
      </x:c>
    </x:row>
    <x:row r="87" ht="28" customHeight="1">
      <x:c r="A87" s="12" t="str">
        <x:v>disgust_036</x:v>
      </x:c>
      <x:c r="B87" s="12" t="str">
        <x:v>disgust</x:v>
      </x:c>
      <x:c r="C87" s="14" t="str">
        <x:v>disgust/Training_41474720.jpg</x:v>
      </x:c>
      <x:c r="D87" s="12" t="str">
        <x:v>36aabb1c3136a653fd5e4acec8ad93b113b0a5af06b32a6a3c26a9d39eeb2c21</x:v>
      </x:c>
      <x:c r="E87" s="12" t="str">
        <x:v>36aabb1c3136a653fd5e4acec8ad93b113b0a5af06b32a6a3c26a9d39eeb2c21</x:v>
      </x:c>
      <x:c r="F87" s="12" t="str">
        <x:v>True</x:v>
      </x:c>
      <x:c r="G87" s="12" t="str">
        <x:v>48</x:v>
      </x:c>
      <x:c r="H87" s="12" t="str">
        <x:v>48</x:v>
      </x:c>
      <x:c r="I87" s="12" t="str">
        <x:v>0.0</x:v>
      </x:c>
      <x:c r="J87" s="12" t="str">
        <x:v>0.0</x:v>
      </x:c>
      <x:c r="K87" s="12" t="str">
        <x:v>47.0</x:v>
      </x:c>
      <x:c r="L87" s="12" t="str">
        <x:v>47.0</x:v>
      </x:c>
      <x:c r="M87" s="12" t="str">
        <x:v>True</x:v>
      </x:c>
      <x:c r="N87" s="12" t="str">
        <x:v>68</x:v>
      </x:c>
      <x:c r="O87" s="12" t="str">
        <x:v>68</x:v>
      </x:c>
      <x:c r="P87" s="16" t="str">
        <x:v>1.0</x:v>
      </x:c>
      <x:c r="Q87" s="12" t="str">
        <x:v>68</x:v>
      </x:c>
      <x:c r="R87" s="16" t="str">
        <x:v>1.0</x:v>
      </x:c>
      <x:c r="S87" s="12" t="str">
        <x:v>0.2</x:v>
      </x:c>
      <x:c r="T87" s="12" t="str">
        <x:v>68</x:v>
      </x:c>
      <x:c r="U87" s="16" t="str">
        <x:v>1.0</x:v>
      </x:c>
      <x:c r="V87" s="18" t="str">
        <x:v>0.5740933418273926</x:v>
      </x:c>
      <x:c r="W87" s="18" t="str">
        <x:v>0.6762266635894776</x:v>
      </x:c>
      <x:c r="X87" s="18" t="str">
        <x:v>0.7762978076934814</x:v>
      </x:c>
      <x:c r="Y87" s="18" t="str">
        <x:v>0.7902147769927979</x:v>
      </x:c>
      <x:c r="Z87" s="18" t="str">
        <x:v>0.8490311086177826</x:v>
      </x:c>
      <x:c r="AA87" s="18" t="str">
        <x:v>0.8954309225082397</x:v>
      </x:c>
      <x:c r="AB87" s="20" t="str">
        <x:v>176.26649999874644</x:v>
      </x:c>
      <x:c r="AC87" s="12" t="str">
        <x:v>overlays\disgust_036.png</x:v>
      </x:c>
      <x:c r="AD87" s="12" t="str"/>
      <x:c r="AE87" s="12" t="str"/>
      <x:c r="AF87" s="12" t="str">
        <x:v>acceptable</x:v>
      </x:c>
      <x:c r="AG87" s="12" t="n">
        <x:v>1</x:v>
      </x:c>
      <x:c r="AH87" s="12" t="str">
        <x:v>acceptable</x:v>
      </x:c>
      <x:c r="AI87" s="12" t="str">
        <x:v>acceptable</x:v>
      </x:c>
      <x:c r="AJ87" s="12" t="str">
        <x:v>acceptable</x:v>
      </x:c>
      <x:c r="AK87" s="12" t="str">
        <x:v>acceptable</x:v>
      </x:c>
      <x:c r="AL87" s="12" t="str">
        <x:v>mild</x:v>
      </x:c>
      <x:c r="AM87" s="14" t="str">
        <x:v>Moderate pose, crop, blur, or facial texture causes minor landmark uncertainty; the result remains usable.</x:v>
      </x:c>
    </x:row>
    <x:row r="88" ht="28" customHeight="1">
      <x:c r="A88" s="12" t="str">
        <x:v>disgust_037</x:v>
      </x:c>
      <x:c r="B88" s="12" t="str">
        <x:v>disgust</x:v>
      </x:c>
      <x:c r="C88" s="14" t="str">
        <x:v>disgust/Training_60674497.jpg</x:v>
      </x:c>
      <x:c r="D88" s="12" t="str">
        <x:v>3470e6fd431dcb9c76a3e066f4ac897832224cf01ff945cfca8652b30ccec233</x:v>
      </x:c>
      <x:c r="E88" s="12" t="str">
        <x:v>3470e6fd431dcb9c76a3e066f4ac897832224cf01ff945cfca8652b30ccec233</x:v>
      </x:c>
      <x:c r="F88" s="12" t="str">
        <x:v>True</x:v>
      </x:c>
      <x:c r="G88" s="12" t="str">
        <x:v>48</x:v>
      </x:c>
      <x:c r="H88" s="12" t="str">
        <x:v>48</x:v>
      </x:c>
      <x:c r="I88" s="12" t="str">
        <x:v>0.0</x:v>
      </x:c>
      <x:c r="J88" s="12" t="str">
        <x:v>0.0</x:v>
      </x:c>
      <x:c r="K88" s="12" t="str">
        <x:v>47.0</x:v>
      </x:c>
      <x:c r="L88" s="12" t="str">
        <x:v>47.0</x:v>
      </x:c>
      <x:c r="M88" s="12" t="str">
        <x:v>True</x:v>
      </x:c>
      <x:c r="N88" s="12" t="str">
        <x:v>68</x:v>
      </x:c>
      <x:c r="O88" s="12" t="str">
        <x:v>68</x:v>
      </x:c>
      <x:c r="P88" s="16" t="str">
        <x:v>1.0</x:v>
      </x:c>
      <x:c r="Q88" s="12" t="str">
        <x:v>68</x:v>
      </x:c>
      <x:c r="R88" s="16" t="str">
        <x:v>1.0</x:v>
      </x:c>
      <x:c r="S88" s="12" t="str">
        <x:v>0.2</x:v>
      </x:c>
      <x:c r="T88" s="12" t="str">
        <x:v>68</x:v>
      </x:c>
      <x:c r="U88" s="16" t="str">
        <x:v>1.0</x:v>
      </x:c>
      <x:c r="V88" s="18" t="str">
        <x:v>0.4879055917263031</x:v>
      </x:c>
      <x:c r="W88" s="18" t="str">
        <x:v>0.683063143491745</x:v>
      </x:c>
      <x:c r="X88" s="18" t="str">
        <x:v>0.7988636493682861</x:v>
      </x:c>
      <x:c r="Y88" s="18" t="str">
        <x:v>0.8222596645355225</x:v>
      </x:c>
      <x:c r="Z88" s="18" t="str">
        <x:v>0.8790698051452637</x:v>
      </x:c>
      <x:c r="AA88" s="18" t="str">
        <x:v>0.9103078246116638</x:v>
      </x:c>
      <x:c r="AB88" s="20" t="str">
        <x:v>156.13580000353977</x:v>
      </x:c>
      <x:c r="AC88" s="12" t="str">
        <x:v>overlays\disgust_037.png</x:v>
      </x:c>
      <x:c r="AD88" s="12" t="str"/>
      <x:c r="AE88" s="12" t="str"/>
      <x:c r="AF88" s="12" t="str">
        <x:v>good</x:v>
      </x:c>
      <x:c r="AG88" s="12" t="n">
        <x:v>1</x:v>
      </x:c>
      <x:c r="AH88" s="12" t="str">
        <x:v>good</x:v>
      </x:c>
      <x:c r="AI88" s="12" t="str">
        <x:v>good</x:v>
      </x:c>
      <x:c r="AJ88" s="12" t="str">
        <x:v>good</x:v>
      </x:c>
      <x:c r="AK88" s="12" t="str">
        <x:v>not_applicable</x:v>
      </x:c>
      <x:c r="AL88" s="12" t="str">
        <x:v>none</x:v>
      </x:c>
      <x:c r="AM88" s="14" t="str">
        <x:v>Clear and well-aligned facial landmarks with no major pose, crop, or occlusion issue.</x:v>
      </x:c>
    </x:row>
    <x:row r="89" ht="28" customHeight="1">
      <x:c r="A89" s="12" t="str">
        <x:v>disgust_038</x:v>
      </x:c>
      <x:c r="B89" s="12" t="str">
        <x:v>disgust</x:v>
      </x:c>
      <x:c r="C89" s="14" t="str">
        <x:v>disgust/Training_79051820.jpg</x:v>
      </x:c>
      <x:c r="D89" s="12" t="str">
        <x:v>431c794e1507966f8b6b3dbb8b261978f074b43ba869492992967bb01f0113c1</x:v>
      </x:c>
      <x:c r="E89" s="12" t="str">
        <x:v>431c794e1507966f8b6b3dbb8b261978f074b43ba869492992967bb01f0113c1</x:v>
      </x:c>
      <x:c r="F89" s="12" t="str">
        <x:v>True</x:v>
      </x:c>
      <x:c r="G89" s="12" t="str">
        <x:v>48</x:v>
      </x:c>
      <x:c r="H89" s="12" t="str">
        <x:v>48</x:v>
      </x:c>
      <x:c r="I89" s="12" t="str">
        <x:v>0.0</x:v>
      </x:c>
      <x:c r="J89" s="12" t="str">
        <x:v>0.0</x:v>
      </x:c>
      <x:c r="K89" s="12" t="str">
        <x:v>47.0</x:v>
      </x:c>
      <x:c r="L89" s="12" t="str">
        <x:v>47.0</x:v>
      </x:c>
      <x:c r="M89" s="12" t="str">
        <x:v>True</x:v>
      </x:c>
      <x:c r="N89" s="12" t="str">
        <x:v>68</x:v>
      </x:c>
      <x:c r="O89" s="12" t="str">
        <x:v>68</x:v>
      </x:c>
      <x:c r="P89" s="16" t="str">
        <x:v>1.0</x:v>
      </x:c>
      <x:c r="Q89" s="12" t="str">
        <x:v>62</x:v>
      </x:c>
      <x:c r="R89" s="16" t="str">
        <x:v>0.9117647058823529</x:v>
      </x:c>
      <x:c r="S89" s="12" t="str">
        <x:v>0.2</x:v>
      </x:c>
      <x:c r="T89" s="12" t="str">
        <x:v>68</x:v>
      </x:c>
      <x:c r="U89" s="16" t="str">
        <x:v>1.0</x:v>
      </x:c>
      <x:c r="V89" s="18" t="str">
        <x:v>0.6981663703918457</x:v>
      </x:c>
      <x:c r="W89" s="18" t="str">
        <x:v>0.7224397659301758</x:v>
      </x:c>
      <x:c r="X89" s="18" t="str">
        <x:v>0.8135275840759277</x:v>
      </x:c>
      <x:c r="Y89" s="18" t="str">
        <x:v>0.8311992883682251</x:v>
      </x:c>
      <x:c r="Z89" s="18" t="str">
        <x:v>0.8619462370872497</x:v>
      </x:c>
      <x:c r="AA89" s="18" t="str">
        <x:v>0.8853636384010315</x:v>
      </x:c>
      <x:c r="AB89" s="20" t="str">
        <x:v>163.29409999889322</x:v>
      </x:c>
      <x:c r="AC89" s="12" t="str">
        <x:v>overlays\disgust_038.png</x:v>
      </x:c>
      <x:c r="AD89" s="12" t="str"/>
      <x:c r="AE89" s="12" t="str"/>
      <x:c r="AF89" s="12" t="str">
        <x:v>acceptable</x:v>
      </x:c>
      <x:c r="AG89" s="12" t="n">
        <x:v>1</x:v>
      </x:c>
      <x:c r="AH89" s="12" t="str">
        <x:v>acceptable</x:v>
      </x:c>
      <x:c r="AI89" s="12" t="str">
        <x:v>acceptable</x:v>
      </x:c>
      <x:c r="AJ89" s="12" t="str">
        <x:v>acceptable</x:v>
      </x:c>
      <x:c r="AK89" s="12" t="str">
        <x:v>not_applicable</x:v>
      </x:c>
      <x:c r="AL89" s="12" t="str">
        <x:v>mild</x:v>
      </x:c>
      <x:c r="AM89" s="14" t="str">
        <x:v>Moderate pose, crop, blur, or facial texture causes minor landmark uncertainty; the result remains usable.</x:v>
      </x:c>
    </x:row>
    <x:row r="90" ht="28" customHeight="1">
      <x:c r="A90" s="12" t="str">
        <x:v>disgust_039</x:v>
      </x:c>
      <x:c r="B90" s="12" t="str">
        <x:v>disgust</x:v>
      </x:c>
      <x:c r="C90" s="14" t="str">
        <x:v>disgust/Training_98416381.jpg</x:v>
      </x:c>
      <x:c r="D90" s="12" t="str">
        <x:v>35cb7bb930e8c84342135c3fb3288bd9f3468069e3468f4f8614d4bbc7c8eb61</x:v>
      </x:c>
      <x:c r="E90" s="12" t="str">
        <x:v>35cb7bb930e8c84342135c3fb3288bd9f3468069e3468f4f8614d4bbc7c8eb61</x:v>
      </x:c>
      <x:c r="F90" s="12" t="str">
        <x:v>True</x:v>
      </x:c>
      <x:c r="G90" s="12" t="str">
        <x:v>48</x:v>
      </x:c>
      <x:c r="H90" s="12" t="str">
        <x:v>48</x:v>
      </x:c>
      <x:c r="I90" s="12" t="str">
        <x:v>0.0</x:v>
      </x:c>
      <x:c r="J90" s="12" t="str">
        <x:v>0.0</x:v>
      </x:c>
      <x:c r="K90" s="12" t="str">
        <x:v>47.0</x:v>
      </x:c>
      <x:c r="L90" s="12" t="str">
        <x:v>47.0</x:v>
      </x:c>
      <x:c r="M90" s="12" t="str">
        <x:v>True</x:v>
      </x:c>
      <x:c r="N90" s="12" t="str">
        <x:v>68</x:v>
      </x:c>
      <x:c r="O90" s="12" t="str">
        <x:v>68</x:v>
      </x:c>
      <x:c r="P90" s="16" t="str">
        <x:v>1.0</x:v>
      </x:c>
      <x:c r="Q90" s="12" t="str">
        <x:v>58</x:v>
      </x:c>
      <x:c r="R90" s="16" t="str">
        <x:v>0.8529411764705882</x:v>
      </x:c>
      <x:c r="S90" s="12" t="str">
        <x:v>0.2</x:v>
      </x:c>
      <x:c r="T90" s="12" t="str">
        <x:v>68</x:v>
      </x:c>
      <x:c r="U90" s="16" t="str">
        <x:v>1.0</x:v>
      </x:c>
      <x:c r="V90" s="18" t="str">
        <x:v>0.6839885115623474</x:v>
      </x:c>
      <x:c r="W90" s="18" t="str">
        <x:v>0.734774649143219</x:v>
      </x:c>
      <x:c r="X90" s="18" t="str">
        <x:v>0.8153979182243347</x:v>
      </x:c>
      <x:c r="Y90" s="18" t="str">
        <x:v>0.829828143119812</x:v>
      </x:c>
      <x:c r="Z90" s="18" t="str">
        <x:v>0.8605423927307129</x:v>
      </x:c>
      <x:c r="AA90" s="18" t="str">
        <x:v>0.8846995234489441</x:v>
      </x:c>
      <x:c r="AB90" s="20" t="str">
        <x:v>169.40299999987474</x:v>
      </x:c>
      <x:c r="AC90" s="12" t="str">
        <x:v>overlays\disgust_039.png</x:v>
      </x:c>
      <x:c r="AD90" s="12" t="str"/>
      <x:c r="AE90" s="12" t="str"/>
      <x:c r="AF90" s="12" t="str">
        <x:v>acceptable</x:v>
      </x:c>
      <x:c r="AG90" s="12" t="n">
        <x:v>1</x:v>
      </x:c>
      <x:c r="AH90" s="12" t="str">
        <x:v>acceptable</x:v>
      </x:c>
      <x:c r="AI90" s="12" t="str">
        <x:v>acceptable</x:v>
      </x:c>
      <x:c r="AJ90" s="12" t="str">
        <x:v>acceptable</x:v>
      </x:c>
      <x:c r="AK90" s="12" t="str">
        <x:v>acceptable</x:v>
      </x:c>
      <x:c r="AL90" s="12" t="str">
        <x:v>mild</x:v>
      </x:c>
      <x:c r="AM90" s="14" t="str">
        <x:v>Tight crop places several contour points outside the frame; central facial landmarks remain usable.</x:v>
      </x:c>
    </x:row>
    <x:row r="91" ht="28" customHeight="1">
      <x:c r="A91" s="12" t="str">
        <x:v>disgust_040</x:v>
      </x:c>
      <x:c r="B91" s="12" t="str">
        <x:v>disgust</x:v>
      </x:c>
      <x:c r="C91" s="14" t="str">
        <x:v>disgust/Training_52480931.jpg</x:v>
      </x:c>
      <x:c r="D91" s="12" t="str">
        <x:v>678428f7e58c4b0fe36ec1aeea146ef35a9d118cab24ed60f9f2b6e88bfb5b6a</x:v>
      </x:c>
      <x:c r="E91" s="12" t="str">
        <x:v>678428f7e58c4b0fe36ec1aeea146ef35a9d118cab24ed60f9f2b6e88bfb5b6a</x:v>
      </x:c>
      <x:c r="F91" s="12" t="str">
        <x:v>True</x:v>
      </x:c>
      <x:c r="G91" s="12" t="str">
        <x:v>48</x:v>
      </x:c>
      <x:c r="H91" s="12" t="str">
        <x:v>48</x:v>
      </x:c>
      <x:c r="I91" s="12" t="str">
        <x:v>0.0</x:v>
      </x:c>
      <x:c r="J91" s="12" t="str">
        <x:v>0.0</x:v>
      </x:c>
      <x:c r="K91" s="12" t="str">
        <x:v>47.0</x:v>
      </x:c>
      <x:c r="L91" s="12" t="str">
        <x:v>47.0</x:v>
      </x:c>
      <x:c r="M91" s="12" t="str">
        <x:v>True</x:v>
      </x:c>
      <x:c r="N91" s="12" t="str">
        <x:v>68</x:v>
      </x:c>
      <x:c r="O91" s="12" t="str">
        <x:v>68</x:v>
      </x:c>
      <x:c r="P91" s="16" t="str">
        <x:v>1.0</x:v>
      </x:c>
      <x:c r="Q91" s="12" t="str">
        <x:v>68</x:v>
      </x:c>
      <x:c r="R91" s="16" t="str">
        <x:v>1.0</x:v>
      </x:c>
      <x:c r="S91" s="12" t="str">
        <x:v>0.2</x:v>
      </x:c>
      <x:c r="T91" s="12" t="str">
        <x:v>68</x:v>
      </x:c>
      <x:c r="U91" s="16" t="str">
        <x:v>1.0</x:v>
      </x:c>
      <x:c r="V91" s="18" t="str">
        <x:v>0.6933315992355347</x:v>
      </x:c>
      <x:c r="W91" s="18" t="str">
        <x:v>0.7309300661087036</x:v>
      </x:c>
      <x:c r="X91" s="18" t="str">
        <x:v>0.8039534687995911</x:v>
      </x:c>
      <x:c r="Y91" s="18" t="str">
        <x:v>0.8124692440032959</x:v>
      </x:c>
      <x:c r="Z91" s="18" t="str">
        <x:v>0.8550138235092163</x:v>
      </x:c>
      <x:c r="AA91" s="18" t="str">
        <x:v>0.8807111382484436</x:v>
      </x:c>
      <x:c r="AB91" s="20" t="str">
        <x:v>155.00649999739835</x:v>
      </x:c>
      <x:c r="AC91" s="12" t="str">
        <x:v>overlays\disgust_040.png</x:v>
      </x:c>
      <x:c r="AD91" s="12" t="str"/>
      <x:c r="AE91" s="12" t="str"/>
      <x:c r="AF91" s="12" t="str">
        <x:v>acceptable</x:v>
      </x:c>
      <x:c r="AG91" s="12" t="n">
        <x:v>1</x:v>
      </x:c>
      <x:c r="AH91" s="12" t="str">
        <x:v>acceptable</x:v>
      </x:c>
      <x:c r="AI91" s="12" t="str">
        <x:v>acceptable</x:v>
      </x:c>
      <x:c r="AJ91" s="12" t="str">
        <x:v>acceptable</x:v>
      </x:c>
      <x:c r="AK91" s="12" t="str">
        <x:v>not_applicable</x:v>
      </x:c>
      <x:c r="AL91" s="12" t="str">
        <x:v>mild</x:v>
      </x:c>
      <x:c r="AM91" s="14" t="str">
        <x:v>Large pose or profile; visible landmarks remain useful, while hidden-side and contour points are inferred.</x:v>
      </x:c>
    </x:row>
    <x:row r="92" ht="28" customHeight="1">
      <x:c r="A92" s="12" t="str">
        <x:v>disgust_041</x:v>
      </x:c>
      <x:c r="B92" s="12" t="str">
        <x:v>disgust</x:v>
      </x:c>
      <x:c r="C92" s="14" t="str">
        <x:v>disgust/Training_28804902.jpg</x:v>
      </x:c>
      <x:c r="D92" s="12" t="str">
        <x:v>514a0787af993a7006547b7a1871df119b49feeef0849b0054fbde28d2cea529</x:v>
      </x:c>
      <x:c r="E92" s="12" t="str">
        <x:v>514a0787af993a7006547b7a1871df119b49feeef0849b0054fbde28d2cea529</x:v>
      </x:c>
      <x:c r="F92" s="12" t="str">
        <x:v>True</x:v>
      </x:c>
      <x:c r="G92" s="12" t="str">
        <x:v>48</x:v>
      </x:c>
      <x:c r="H92" s="12" t="str">
        <x:v>48</x:v>
      </x:c>
      <x:c r="I92" s="12" t="str">
        <x:v>0.0</x:v>
      </x:c>
      <x:c r="J92" s="12" t="str">
        <x:v>0.0</x:v>
      </x:c>
      <x:c r="K92" s="12" t="str">
        <x:v>47.0</x:v>
      </x:c>
      <x:c r="L92" s="12" t="str">
        <x:v>47.0</x:v>
      </x:c>
      <x:c r="M92" s="12" t="str">
        <x:v>True</x:v>
      </x:c>
      <x:c r="N92" s="12" t="str">
        <x:v>68</x:v>
      </x:c>
      <x:c r="O92" s="12" t="str">
        <x:v>68</x:v>
      </x:c>
      <x:c r="P92" s="16" t="str">
        <x:v>1.0</x:v>
      </x:c>
      <x:c r="Q92" s="12" t="str">
        <x:v>68</x:v>
      </x:c>
      <x:c r="R92" s="16" t="str">
        <x:v>1.0</x:v>
      </x:c>
      <x:c r="S92" s="12" t="str">
        <x:v>0.2</x:v>
      </x:c>
      <x:c r="T92" s="12" t="str">
        <x:v>68</x:v>
      </x:c>
      <x:c r="U92" s="16" t="str">
        <x:v>1.0</x:v>
      </x:c>
      <x:c r="V92" s="18" t="str">
        <x:v>0.5192955136299133</x:v>
      </x:c>
      <x:c r="W92" s="18" t="str">
        <x:v>0.6476653397083283</x:v>
      </x:c>
      <x:c r="X92" s="18" t="str">
        <x:v>0.7676037549972534</x:v>
      </x:c>
      <x:c r="Y92" s="18" t="str">
        <x:v>0.7923246622085571</x:v>
      </x:c>
      <x:c r="Z92" s="18" t="str">
        <x:v>0.8506245374679565</x:v>
      </x:c>
      <x:c r="AA92" s="18" t="str">
        <x:v>0.9067028760910034</x:v>
      </x:c>
      <x:c r="AB92" s="20" t="str">
        <x:v>182.62610000238055</x:v>
      </x:c>
      <x:c r="AC92" s="12" t="str">
        <x:v>overlays\disgust_041.png</x:v>
      </x:c>
      <x:c r="AD92" s="12" t="str"/>
      <x:c r="AE92" s="12" t="str"/>
      <x:c r="AF92" s="12" t="str">
        <x:v>good</x:v>
      </x:c>
      <x:c r="AG92" s="12" t="n">
        <x:v>1</x:v>
      </x:c>
      <x:c r="AH92" s="12" t="str">
        <x:v>good</x:v>
      </x:c>
      <x:c r="AI92" s="12" t="str">
        <x:v>good</x:v>
      </x:c>
      <x:c r="AJ92" s="12" t="str">
        <x:v>good</x:v>
      </x:c>
      <x:c r="AK92" s="12" t="str">
        <x:v>good</x:v>
      </x:c>
      <x:c r="AL92" s="12" t="str">
        <x:v>none</x:v>
      </x:c>
      <x:c r="AM92" s="14" t="str">
        <x:v>Clear and well-aligned facial landmarks with no major pose, crop, or occlusion issue.</x:v>
      </x:c>
    </x:row>
    <x:row r="93" ht="28" customHeight="1">
      <x:c r="A93" s="12" t="str">
        <x:v>disgust_042</x:v>
      </x:c>
      <x:c r="B93" s="12" t="str">
        <x:v>disgust</x:v>
      </x:c>
      <x:c r="C93" s="14" t="str">
        <x:v>disgust/Training_52850336.jpg</x:v>
      </x:c>
      <x:c r="D93" s="12" t="str">
        <x:v>763a1647b4b2317700c3be99b20264f83f6bbea2bb6f2c3585ae9d1a7c6479e1</x:v>
      </x:c>
      <x:c r="E93" s="12" t="str">
        <x:v>763a1647b4b2317700c3be99b20264f83f6bbea2bb6f2c3585ae9d1a7c6479e1</x:v>
      </x:c>
      <x:c r="F93" s="12" t="str">
        <x:v>True</x:v>
      </x:c>
      <x:c r="G93" s="12" t="str">
        <x:v>48</x:v>
      </x:c>
      <x:c r="H93" s="12" t="str">
        <x:v>48</x:v>
      </x:c>
      <x:c r="I93" s="12" t="str">
        <x:v>0.0</x:v>
      </x:c>
      <x:c r="J93" s="12" t="str">
        <x:v>0.0</x:v>
      </x:c>
      <x:c r="K93" s="12" t="str">
        <x:v>47.0</x:v>
      </x:c>
      <x:c r="L93" s="12" t="str">
        <x:v>47.0</x:v>
      </x:c>
      <x:c r="M93" s="12" t="str">
        <x:v>True</x:v>
      </x:c>
      <x:c r="N93" s="12" t="str">
        <x:v>68</x:v>
      </x:c>
      <x:c r="O93" s="12" t="str">
        <x:v>68</x:v>
      </x:c>
      <x:c r="P93" s="16" t="str">
        <x:v>1.0</x:v>
      </x:c>
      <x:c r="Q93" s="12" t="str">
        <x:v>63</x:v>
      </x:c>
      <x:c r="R93" s="16" t="str">
        <x:v>0.9264705882352942</x:v>
      </x:c>
      <x:c r="S93" s="12" t="str">
        <x:v>0.2</x:v>
      </x:c>
      <x:c r="T93" s="12" t="str">
        <x:v>68</x:v>
      </x:c>
      <x:c r="U93" s="16" t="str">
        <x:v>1.0</x:v>
      </x:c>
      <x:c r="V93" s="18" t="str">
        <x:v>0.6870051622390747</x:v>
      </x:c>
      <x:c r="W93" s="18" t="str">
        <x:v>0.7435443818569183</x:v>
      </x:c>
      <x:c r="X93" s="18" t="str">
        <x:v>0.8075858354568481</x:v>
      </x:c>
      <x:c r="Y93" s="18" t="str">
        <x:v>0.7977601289749146</x:v>
      </x:c>
      <x:c r="Z93" s="18" t="str">
        <x:v>0.8787859320640564</x:v>
      </x:c>
      <x:c r="AA93" s="18" t="str">
        <x:v>0.9119994640350342</x:v>
      </x:c>
      <x:c r="AB93" s="20" t="str">
        <x:v>167.04849999950966</x:v>
      </x:c>
      <x:c r="AC93" s="12" t="str">
        <x:v>overlays\disgust_042.png</x:v>
      </x:c>
      <x:c r="AD93" s="12" t="str"/>
      <x:c r="AE93" s="12" t="str"/>
      <x:c r="AF93" s="12" t="str">
        <x:v>acceptable</x:v>
      </x:c>
      <x:c r="AG93" s="12" t="n">
        <x:v>1</x:v>
      </x:c>
      <x:c r="AH93" s="12" t="str">
        <x:v>acceptable</x:v>
      </x:c>
      <x:c r="AI93" s="12" t="str">
        <x:v>acceptable</x:v>
      </x:c>
      <x:c r="AJ93" s="12" t="str">
        <x:v>acceptable</x:v>
      </x:c>
      <x:c r="AK93" s="12" t="str">
        <x:v>acceptable</x:v>
      </x:c>
      <x:c r="AL93" s="12" t="str">
        <x:v>mild</x:v>
      </x:c>
      <x:c r="AM93" s="14" t="str">
        <x:v>Moderate pose, crop, blur, or facial texture causes minor landmark uncertainty; the result remains usable.</x:v>
      </x:c>
    </x:row>
    <x:row r="94" ht="28" customHeight="1">
      <x:c r="A94" s="12" t="str">
        <x:v>disgust_043</x:v>
      </x:c>
      <x:c r="B94" s="12" t="str">
        <x:v>disgust</x:v>
      </x:c>
      <x:c r="C94" s="14" t="str">
        <x:v>disgust/Training_52027906.jpg</x:v>
      </x:c>
      <x:c r="D94" s="12" t="str">
        <x:v>5825f9897682bbc3b11a74d46e9f4f60a62de45263cb87c4ff75a01449c05924</x:v>
      </x:c>
      <x:c r="E94" s="12" t="str">
        <x:v>5825f9897682bbc3b11a74d46e9f4f60a62de45263cb87c4ff75a01449c05924</x:v>
      </x:c>
      <x:c r="F94" s="12" t="str">
        <x:v>True</x:v>
      </x:c>
      <x:c r="G94" s="12" t="str">
        <x:v>48</x:v>
      </x:c>
      <x:c r="H94" s="12" t="str">
        <x:v>48</x:v>
      </x:c>
      <x:c r="I94" s="12" t="str">
        <x:v>0.0</x:v>
      </x:c>
      <x:c r="J94" s="12" t="str">
        <x:v>0.0</x:v>
      </x:c>
      <x:c r="K94" s="12" t="str">
        <x:v>47.0</x:v>
      </x:c>
      <x:c r="L94" s="12" t="str">
        <x:v>47.0</x:v>
      </x:c>
      <x:c r="M94" s="12" t="str">
        <x:v>True</x:v>
      </x:c>
      <x:c r="N94" s="12" t="str">
        <x:v>68</x:v>
      </x:c>
      <x:c r="O94" s="12" t="str">
        <x:v>68</x:v>
      </x:c>
      <x:c r="P94" s="16" t="str">
        <x:v>1.0</x:v>
      </x:c>
      <x:c r="Q94" s="12" t="str">
        <x:v>68</x:v>
      </x:c>
      <x:c r="R94" s="16" t="str">
        <x:v>1.0</x:v>
      </x:c>
      <x:c r="S94" s="12" t="str">
        <x:v>0.2</x:v>
      </x:c>
      <x:c r="T94" s="12" t="str">
        <x:v>68</x:v>
      </x:c>
      <x:c r="U94" s="16" t="str">
        <x:v>1.0</x:v>
      </x:c>
      <x:c r="V94" s="18" t="str">
        <x:v>0.4670022130012512</x:v>
      </x:c>
      <x:c r="W94" s="18" t="str">
        <x:v>0.5799436390399932</x:v>
      </x:c>
      <x:c r="X94" s="18" t="str">
        <x:v>0.7268977761268616</x:v>
      </x:c>
      <x:c r="Y94" s="18" t="str">
        <x:v>0.7479836940765381</x:v>
      </x:c>
      <x:c r="Z94" s="18" t="str">
        <x:v>0.8337761104106903</x:v>
      </x:c>
      <x:c r="AA94" s="18" t="str">
        <x:v>0.9045819044113159</x:v>
      </x:c>
      <x:c r="AB94" s="20" t="str">
        <x:v>152.41210000385763</x:v>
      </x:c>
      <x:c r="AC94" s="12" t="str">
        <x:v>overlays\disgust_043.png</x:v>
      </x:c>
      <x:c r="AD94" s="12" t="str"/>
      <x:c r="AE94" s="12" t="str"/>
      <x:c r="AF94" s="12" t="str">
        <x:v>acceptable</x:v>
      </x:c>
      <x:c r="AG94" s="12" t="n">
        <x:v>1</x:v>
      </x:c>
      <x:c r="AH94" s="12" t="str">
        <x:v>acceptable</x:v>
      </x:c>
      <x:c r="AI94" s="12" t="str">
        <x:v>acceptable</x:v>
      </x:c>
      <x:c r="AJ94" s="12" t="str">
        <x:v>acceptable</x:v>
      </x:c>
      <x:c r="AK94" s="12" t="str">
        <x:v>not_applicable</x:v>
      </x:c>
      <x:c r="AL94" s="12" t="str">
        <x:v>mild</x:v>
      </x:c>
      <x:c r="AM94" s="14" t="str">
        <x:v>Moderate pose, crop, blur, or facial texture causes minor landmark uncertainty; the result remains usable.</x:v>
      </x:c>
    </x:row>
    <x:row r="95" ht="28" customHeight="1">
      <x:c r="A95" s="12" t="str">
        <x:v>disgust_044</x:v>
      </x:c>
      <x:c r="B95" s="12" t="str">
        <x:v>disgust</x:v>
      </x:c>
      <x:c r="C95" s="14" t="str">
        <x:v>disgust/Training_33653190.jpg</x:v>
      </x:c>
      <x:c r="D95" s="12" t="str">
        <x:v>1b2afe1063c7beedb5165cc4932c070073b6a968f39352afdd55ca8d53e1ae55</x:v>
      </x:c>
      <x:c r="E95" s="12" t="str">
        <x:v>1b2afe1063c7beedb5165cc4932c070073b6a968f39352afdd55ca8d53e1ae55</x:v>
      </x:c>
      <x:c r="F95" s="12" t="str">
        <x:v>True</x:v>
      </x:c>
      <x:c r="G95" s="12" t="str">
        <x:v>48</x:v>
      </x:c>
      <x:c r="H95" s="12" t="str">
        <x:v>48</x:v>
      </x:c>
      <x:c r="I95" s="12" t="str">
        <x:v>0.0</x:v>
      </x:c>
      <x:c r="J95" s="12" t="str">
        <x:v>0.0</x:v>
      </x:c>
      <x:c r="K95" s="12" t="str">
        <x:v>47.0</x:v>
      </x:c>
      <x:c r="L95" s="12" t="str">
        <x:v>47.0</x:v>
      </x:c>
      <x:c r="M95" s="12" t="str">
        <x:v>True</x:v>
      </x:c>
      <x:c r="N95" s="12" t="str">
        <x:v>68</x:v>
      </x:c>
      <x:c r="O95" s="12" t="str">
        <x:v>68</x:v>
      </x:c>
      <x:c r="P95" s="16" t="str">
        <x:v>1.0</x:v>
      </x:c>
      <x:c r="Q95" s="12" t="str">
        <x:v>68</x:v>
      </x:c>
      <x:c r="R95" s="16" t="str">
        <x:v>1.0</x:v>
      </x:c>
      <x:c r="S95" s="12" t="str">
        <x:v>0.2</x:v>
      </x:c>
      <x:c r="T95" s="12" t="str">
        <x:v>68</x:v>
      </x:c>
      <x:c r="U95" s="16" t="str">
        <x:v>1.0</x:v>
      </x:c>
      <x:c r="V95" s="18" t="str">
        <x:v>0.7420617938041687</x:v>
      </x:c>
      <x:c r="W95" s="18" t="str">
        <x:v>0.7803098738193512</x:v>
      </x:c>
      <x:c r="X95" s="18" t="str">
        <x:v>0.8407818078994751</x:v>
      </x:c>
      <x:c r="Y95" s="18" t="str">
        <x:v>0.84488844871521</x:v>
      </x:c>
      <x:c r="Z95" s="18" t="str">
        <x:v>0.8853733658790588</x:v>
      </x:c>
      <x:c r="AA95" s="18" t="str">
        <x:v>0.91745525598526</x:v>
      </x:c>
      <x:c r="AB95" s="20" t="str">
        <x:v>152.9374000019743</x:v>
      </x:c>
      <x:c r="AC95" s="12" t="str">
        <x:v>overlays\disgust_044.png</x:v>
      </x:c>
      <x:c r="AD95" s="12" t="str"/>
      <x:c r="AE95" s="12" t="str"/>
      <x:c r="AF95" s="12" t="str">
        <x:v>good</x:v>
      </x:c>
      <x:c r="AG95" s="12" t="n">
        <x:v>1</x:v>
      </x:c>
      <x:c r="AH95" s="12" t="str">
        <x:v>good</x:v>
      </x:c>
      <x:c r="AI95" s="12" t="str">
        <x:v>good</x:v>
      </x:c>
      <x:c r="AJ95" s="12" t="str">
        <x:v>good</x:v>
      </x:c>
      <x:c r="AK95" s="12" t="str">
        <x:v>not_applicable</x:v>
      </x:c>
      <x:c r="AL95" s="12" t="str">
        <x:v>none</x:v>
      </x:c>
      <x:c r="AM95" s="14" t="str">
        <x:v>Clear and well-aligned facial landmarks with no major pose, crop, or occlusion issue.</x:v>
      </x:c>
    </x:row>
    <x:row r="96" ht="28" customHeight="1">
      <x:c r="A96" s="12" t="str">
        <x:v>disgust_045</x:v>
      </x:c>
      <x:c r="B96" s="12" t="str">
        <x:v>disgust</x:v>
      </x:c>
      <x:c r="C96" s="14" t="str">
        <x:v>disgust/Training_81772924.jpg</x:v>
      </x:c>
      <x:c r="D96" s="12" t="str">
        <x:v>dde5a74c2d169ff64379c972fb25b54f5cf9966e3be9f335dda3bcbe40747802</x:v>
      </x:c>
      <x:c r="E96" s="12" t="str">
        <x:v>dde5a74c2d169ff64379c972fb25b54f5cf9966e3be9f335dda3bcbe40747802</x:v>
      </x:c>
      <x:c r="F96" s="12" t="str">
        <x:v>True</x:v>
      </x:c>
      <x:c r="G96" s="12" t="str">
        <x:v>48</x:v>
      </x:c>
      <x:c r="H96" s="12" t="str">
        <x:v>48</x:v>
      </x:c>
      <x:c r="I96" s="12" t="str">
        <x:v>0.0</x:v>
      </x:c>
      <x:c r="J96" s="12" t="str">
        <x:v>0.0</x:v>
      </x:c>
      <x:c r="K96" s="12" t="str">
        <x:v>47.0</x:v>
      </x:c>
      <x:c r="L96" s="12" t="str">
        <x:v>47.0</x:v>
      </x:c>
      <x:c r="M96" s="12" t="str">
        <x:v>True</x:v>
      </x:c>
      <x:c r="N96" s="12" t="str">
        <x:v>68</x:v>
      </x:c>
      <x:c r="O96" s="12" t="str">
        <x:v>68</x:v>
      </x:c>
      <x:c r="P96" s="16" t="str">
        <x:v>1.0</x:v>
      </x:c>
      <x:c r="Q96" s="12" t="str">
        <x:v>68</x:v>
      </x:c>
      <x:c r="R96" s="16" t="str">
        <x:v>1.0</x:v>
      </x:c>
      <x:c r="S96" s="12" t="str">
        <x:v>0.2</x:v>
      </x:c>
      <x:c r="T96" s="12" t="str">
        <x:v>68</x:v>
      </x:c>
      <x:c r="U96" s="16" t="str">
        <x:v>1.0</x:v>
      </x:c>
      <x:c r="V96" s="18" t="str">
        <x:v>0.5978967547416687</x:v>
      </x:c>
      <x:c r="W96" s="18" t="str">
        <x:v>0.6682113468647003</x:v>
      </x:c>
      <x:c r="X96" s="18" t="str">
        <x:v>0.7711544036865234</x:v>
      </x:c>
      <x:c r="Y96" s="18" t="str">
        <x:v>0.7841508388519287</x:v>
      </x:c>
      <x:c r="Z96" s="18" t="str">
        <x:v>0.8446142137050628</x:v>
      </x:c>
      <x:c r="AA96" s="18" t="str">
        <x:v>0.873526394367218</x:v>
      </x:c>
      <x:c r="AB96" s="20" t="str">
        <x:v>214.05599999707192</x:v>
      </x:c>
      <x:c r="AC96" s="12" t="str">
        <x:v>overlays\disgust_045.png</x:v>
      </x:c>
      <x:c r="AD96" s="12" t="str"/>
      <x:c r="AE96" s="12" t="str"/>
      <x:c r="AF96" s="12" t="str">
        <x:v>good</x:v>
      </x:c>
      <x:c r="AG96" s="12" t="n">
        <x:v>1</x:v>
      </x:c>
      <x:c r="AH96" s="12" t="str">
        <x:v>good</x:v>
      </x:c>
      <x:c r="AI96" s="12" t="str">
        <x:v>good</x:v>
      </x:c>
      <x:c r="AJ96" s="12" t="str">
        <x:v>good</x:v>
      </x:c>
      <x:c r="AK96" s="12" t="str">
        <x:v>good</x:v>
      </x:c>
      <x:c r="AL96" s="12" t="str">
        <x:v>none</x:v>
      </x:c>
      <x:c r="AM96" s="14" t="str">
        <x:v>Clear and well-aligned facial landmarks with no major pose, crop, or occlusion issue.</x:v>
      </x:c>
    </x:row>
    <x:row r="97" ht="28" customHeight="1">
      <x:c r="A97" s="12" t="str">
        <x:v>disgust_046</x:v>
      </x:c>
      <x:c r="B97" s="12" t="str">
        <x:v>disgust</x:v>
      </x:c>
      <x:c r="C97" s="14" t="str">
        <x:v>disgust/Training_40146926.jpg</x:v>
      </x:c>
      <x:c r="D97" s="12" t="str">
        <x:v>84c465acb12cb757149777fa73ef1a6c8067cc343eddc68fde844d8d296d4ca1</x:v>
      </x:c>
      <x:c r="E97" s="12" t="str">
        <x:v>84c465acb12cb757149777fa73ef1a6c8067cc343eddc68fde844d8d296d4ca1</x:v>
      </x:c>
      <x:c r="F97" s="12" t="str">
        <x:v>True</x:v>
      </x:c>
      <x:c r="G97" s="12" t="str">
        <x:v>48</x:v>
      </x:c>
      <x:c r="H97" s="12" t="str">
        <x:v>48</x:v>
      </x:c>
      <x:c r="I97" s="12" t="str">
        <x:v>0.0</x:v>
      </x:c>
      <x:c r="J97" s="12" t="str">
        <x:v>0.0</x:v>
      </x:c>
      <x:c r="K97" s="12" t="str">
        <x:v>47.0</x:v>
      </x:c>
      <x:c r="L97" s="12" t="str">
        <x:v>47.0</x:v>
      </x:c>
      <x:c r="M97" s="12" t="str">
        <x:v>True</x:v>
      </x:c>
      <x:c r="N97" s="12" t="str">
        <x:v>68</x:v>
      </x:c>
      <x:c r="O97" s="12" t="str">
        <x:v>68</x:v>
      </x:c>
      <x:c r="P97" s="16" t="str">
        <x:v>1.0</x:v>
      </x:c>
      <x:c r="Q97" s="12" t="str">
        <x:v>67</x:v>
      </x:c>
      <x:c r="R97" s="16" t="str">
        <x:v>0.9852941176470589</x:v>
      </x:c>
      <x:c r="S97" s="12" t="str">
        <x:v>0.2</x:v>
      </x:c>
      <x:c r="T97" s="12" t="str">
        <x:v>68</x:v>
      </x:c>
      <x:c r="U97" s="16" t="str">
        <x:v>1.0</x:v>
      </x:c>
      <x:c r="V97" s="18" t="str">
        <x:v>0.5707613825798035</x:v>
      </x:c>
      <x:c r="W97" s="18" t="str">
        <x:v>0.704630970954895</x:v>
      </x:c>
      <x:c r="X97" s="18" t="str">
        <x:v>0.7915298342704773</x:v>
      </x:c>
      <x:c r="Y97" s="18" t="str">
        <x:v>0.817745566368103</x:v>
      </x:c>
      <x:c r="Z97" s="18" t="str">
        <x:v>0.8562487304210663</x:v>
      </x:c>
      <x:c r="AA97" s="18" t="str">
        <x:v>0.8906497955322266</x:v>
      </x:c>
      <x:c r="AB97" s="20" t="str">
        <x:v>168.1689999968512</x:v>
      </x:c>
      <x:c r="AC97" s="12" t="str">
        <x:v>overlays\disgust_046.png</x:v>
      </x:c>
      <x:c r="AD97" s="12" t="str"/>
      <x:c r="AE97" s="12" t="str"/>
      <x:c r="AF97" s="12" t="str">
        <x:v>acceptable</x:v>
      </x:c>
      <x:c r="AG97" s="12" t="n">
        <x:v>1</x:v>
      </x:c>
      <x:c r="AH97" s="12" t="str">
        <x:v>acceptable</x:v>
      </x:c>
      <x:c r="AI97" s="12" t="str">
        <x:v>acceptable</x:v>
      </x:c>
      <x:c r="AJ97" s="12" t="str">
        <x:v>acceptable</x:v>
      </x:c>
      <x:c r="AK97" s="12" t="str">
        <x:v>not_applicable</x:v>
      </x:c>
      <x:c r="AL97" s="12" t="str">
        <x:v>mild</x:v>
      </x:c>
      <x:c r="AM97" s="14" t="str">
        <x:v>Moderate pose, crop, blur, or facial texture causes minor landmark uncertainty; the result remains usable.</x:v>
      </x:c>
    </x:row>
    <x:row r="98" ht="28" customHeight="1">
      <x:c r="A98" s="12" t="str">
        <x:v>disgust_047</x:v>
      </x:c>
      <x:c r="B98" s="12" t="str">
        <x:v>disgust</x:v>
      </x:c>
      <x:c r="C98" s="14" t="str">
        <x:v>disgust/Training_84702718.jpg</x:v>
      </x:c>
      <x:c r="D98" s="12" t="str">
        <x:v>05cc498d8afa60904169908f3263f0b66ddf161fc6e891841884e9e56b7a2edc</x:v>
      </x:c>
      <x:c r="E98" s="12" t="str">
        <x:v>05cc498d8afa60904169908f3263f0b66ddf161fc6e891841884e9e56b7a2edc</x:v>
      </x:c>
      <x:c r="F98" s="12" t="str">
        <x:v>True</x:v>
      </x:c>
      <x:c r="G98" s="12" t="str">
        <x:v>48</x:v>
      </x:c>
      <x:c r="H98" s="12" t="str">
        <x:v>48</x:v>
      </x:c>
      <x:c r="I98" s="12" t="str">
        <x:v>0.0</x:v>
      </x:c>
      <x:c r="J98" s="12" t="str">
        <x:v>0.0</x:v>
      </x:c>
      <x:c r="K98" s="12" t="str">
        <x:v>47.0</x:v>
      </x:c>
      <x:c r="L98" s="12" t="str">
        <x:v>47.0</x:v>
      </x:c>
      <x:c r="M98" s="12" t="str">
        <x:v>True</x:v>
      </x:c>
      <x:c r="N98" s="12" t="str">
        <x:v>68</x:v>
      </x:c>
      <x:c r="O98" s="12" t="str">
        <x:v>68</x:v>
      </x:c>
      <x:c r="P98" s="16" t="str">
        <x:v>1.0</x:v>
      </x:c>
      <x:c r="Q98" s="12" t="str">
        <x:v>68</x:v>
      </x:c>
      <x:c r="R98" s="16" t="str">
        <x:v>1.0</x:v>
      </x:c>
      <x:c r="S98" s="12" t="str">
        <x:v>0.2</x:v>
      </x:c>
      <x:c r="T98" s="12" t="str">
        <x:v>68</x:v>
      </x:c>
      <x:c r="U98" s="16" t="str">
        <x:v>1.0</x:v>
      </x:c>
      <x:c r="V98" s="18" t="str">
        <x:v>0.5043516755104065</x:v>
      </x:c>
      <x:c r="W98" s="18" t="str">
        <x:v>0.647461599111557</x:v>
      </x:c>
      <x:c r="X98" s="18" t="str">
        <x:v>0.7262377738952637</x:v>
      </x:c>
      <x:c r="Y98" s="18" t="str">
        <x:v>0.7424709796905518</x:v>
      </x:c>
      <x:c r="Z98" s="18" t="str">
        <x:v>0.8004272937774658</x:v>
      </x:c>
      <x:c r="AA98" s="18" t="str">
        <x:v>0.8580570816993713</x:v>
      </x:c>
      <x:c r="AB98" s="20" t="str">
        <x:v>150.6009999939124</x:v>
      </x:c>
      <x:c r="AC98" s="12" t="str">
        <x:v>overlays\disgust_047.png</x:v>
      </x:c>
      <x:c r="AD98" s="12" t="str"/>
      <x:c r="AE98" s="12" t="str"/>
      <x:c r="AF98" s="12" t="str">
        <x:v>acceptable</x:v>
      </x:c>
      <x:c r="AG98" s="12" t="n">
        <x:v>1</x:v>
      </x:c>
      <x:c r="AH98" s="12" t="str">
        <x:v>acceptable</x:v>
      </x:c>
      <x:c r="AI98" s="12" t="str">
        <x:v>acceptable</x:v>
      </x:c>
      <x:c r="AJ98" s="12" t="str">
        <x:v>acceptable</x:v>
      </x:c>
      <x:c r="AK98" s="12" t="str">
        <x:v>acceptable</x:v>
      </x:c>
      <x:c r="AL98" s="12" t="str">
        <x:v>mild</x:v>
      </x:c>
      <x:c r="AM98" s="14" t="str">
        <x:v>Large pose or profile; visible landmarks remain useful, while hidden-side and contour points are inferred.</x:v>
      </x:c>
    </x:row>
    <x:row r="99" ht="28" customHeight="1">
      <x:c r="A99" s="12" t="str">
        <x:v>disgust_048</x:v>
      </x:c>
      <x:c r="B99" s="12" t="str">
        <x:v>disgust</x:v>
      </x:c>
      <x:c r="C99" s="14" t="str">
        <x:v>disgust/Training_82298698.jpg</x:v>
      </x:c>
      <x:c r="D99" s="12" t="str">
        <x:v>1f6c11f4cc7a5c67ebb5805b40219602c8841c32f8d330af566bd1ce750c0210</x:v>
      </x:c>
      <x:c r="E99" s="12" t="str">
        <x:v>1f6c11f4cc7a5c67ebb5805b40219602c8841c32f8d330af566bd1ce750c0210</x:v>
      </x:c>
      <x:c r="F99" s="12" t="str">
        <x:v>True</x:v>
      </x:c>
      <x:c r="G99" s="12" t="str">
        <x:v>48</x:v>
      </x:c>
      <x:c r="H99" s="12" t="str">
        <x:v>48</x:v>
      </x:c>
      <x:c r="I99" s="12" t="str">
        <x:v>0.0</x:v>
      </x:c>
      <x:c r="J99" s="12" t="str">
        <x:v>0.0</x:v>
      </x:c>
      <x:c r="K99" s="12" t="str">
        <x:v>47.0</x:v>
      </x:c>
      <x:c r="L99" s="12" t="str">
        <x:v>47.0</x:v>
      </x:c>
      <x:c r="M99" s="12" t="str">
        <x:v>True</x:v>
      </x:c>
      <x:c r="N99" s="12" t="str">
        <x:v>68</x:v>
      </x:c>
      <x:c r="O99" s="12" t="str">
        <x:v>68</x:v>
      </x:c>
      <x:c r="P99" s="16" t="str">
        <x:v>1.0</x:v>
      </x:c>
      <x:c r="Q99" s="12" t="str">
        <x:v>67</x:v>
      </x:c>
      <x:c r="R99" s="16" t="str">
        <x:v>0.9852941176470589</x:v>
      </x:c>
      <x:c r="S99" s="12" t="str">
        <x:v>0.2</x:v>
      </x:c>
      <x:c r="T99" s="12" t="str">
        <x:v>68</x:v>
      </x:c>
      <x:c r="U99" s="16" t="str">
        <x:v>1.0</x:v>
      </x:c>
      <x:c r="V99" s="18" t="str">
        <x:v>0.643302321434021</x:v>
      </x:c>
      <x:c r="W99" s="18" t="str">
        <x:v>0.7309314429759979</x:v>
      </x:c>
      <x:c r="X99" s="18" t="str">
        <x:v>0.8011438250541687</x:v>
      </x:c>
      <x:c r="Y99" s="18" t="str">
        <x:v>0.818347692489624</x:v>
      </x:c>
      <x:c r="Z99" s="18" t="str">
        <x:v>0.8529758512973785</x:v>
      </x:c>
      <x:c r="AA99" s="18" t="str">
        <x:v>0.8947925567626953</x:v>
      </x:c>
      <x:c r="AB99" s="20" t="str">
        <x:v>151.68370000174036</x:v>
      </x:c>
      <x:c r="AC99" s="12" t="str">
        <x:v>overlays\disgust_048.png</x:v>
      </x:c>
      <x:c r="AD99" s="12" t="str"/>
      <x:c r="AE99" s="12" t="str"/>
      <x:c r="AF99" s="12" t="str">
        <x:v>good</x:v>
      </x:c>
      <x:c r="AG99" s="12" t="n">
        <x:v>1</x:v>
      </x:c>
      <x:c r="AH99" s="12" t="str">
        <x:v>good</x:v>
      </x:c>
      <x:c r="AI99" s="12" t="str">
        <x:v>good</x:v>
      </x:c>
      <x:c r="AJ99" s="12" t="str">
        <x:v>good</x:v>
      </x:c>
      <x:c r="AK99" s="12" t="str">
        <x:v>not_applicable</x:v>
      </x:c>
      <x:c r="AL99" s="12" t="str">
        <x:v>none</x:v>
      </x:c>
      <x:c r="AM99" s="14" t="str">
        <x:v>Large pose or profile; visible landmarks remain useful, while hidden-side and contour points are inferred.</x:v>
      </x:c>
    </x:row>
    <x:row r="100" ht="28" customHeight="1">
      <x:c r="A100" s="12" t="str">
        <x:v>disgust_049</x:v>
      </x:c>
      <x:c r="B100" s="12" t="str">
        <x:v>disgust</x:v>
      </x:c>
      <x:c r="C100" s="14" t="str">
        <x:v>disgust/Training_79721044.jpg</x:v>
      </x:c>
      <x:c r="D100" s="12" t="str">
        <x:v>217254bf1d3a0e65d70d62c31ebdba4690d5d0c8d2d34e77f11c8f1457cd8dd3</x:v>
      </x:c>
      <x:c r="E100" s="12" t="str">
        <x:v>217254bf1d3a0e65d70d62c31ebdba4690d5d0c8d2d34e77f11c8f1457cd8dd3</x:v>
      </x:c>
      <x:c r="F100" s="12" t="str">
        <x:v>True</x:v>
      </x:c>
      <x:c r="G100" s="12" t="str">
        <x:v>48</x:v>
      </x:c>
      <x:c r="H100" s="12" t="str">
        <x:v>48</x:v>
      </x:c>
      <x:c r="I100" s="12" t="str">
        <x:v>0.0</x:v>
      </x:c>
      <x:c r="J100" s="12" t="str">
        <x:v>0.0</x:v>
      </x:c>
      <x:c r="K100" s="12" t="str">
        <x:v>47.0</x:v>
      </x:c>
      <x:c r="L100" s="12" t="str">
        <x:v>47.0</x:v>
      </x:c>
      <x:c r="M100" s="12" t="str">
        <x:v>True</x:v>
      </x:c>
      <x:c r="N100" s="12" t="str">
        <x:v>68</x:v>
      </x:c>
      <x:c r="O100" s="12" t="str">
        <x:v>68</x:v>
      </x:c>
      <x:c r="P100" s="16" t="str">
        <x:v>1.0</x:v>
      </x:c>
      <x:c r="Q100" s="12" t="str">
        <x:v>66</x:v>
      </x:c>
      <x:c r="R100" s="16" t="str">
        <x:v>0.9705882352941176</x:v>
      </x:c>
      <x:c r="S100" s="12" t="str">
        <x:v>0.2</x:v>
      </x:c>
      <x:c r="T100" s="12" t="str">
        <x:v>68</x:v>
      </x:c>
      <x:c r="U100" s="16" t="str">
        <x:v>1.0</x:v>
      </x:c>
      <x:c r="V100" s="18" t="str">
        <x:v>0.659878134727478</x:v>
      </x:c>
      <x:c r="W100" s="18" t="str">
        <x:v>0.7386840581893921</x:v>
      </x:c>
      <x:c r="X100" s="18" t="str">
        <x:v>0.8188166618347168</x:v>
      </x:c>
      <x:c r="Y100" s="18" t="str">
        <x:v>0.8326098918914795</x:v>
      </x:c>
      <x:c r="Z100" s="18" t="str">
        <x:v>0.8720390498638153</x:v>
      </x:c>
      <x:c r="AA100" s="18" t="str">
        <x:v>0.9049240350723267</x:v>
      </x:c>
      <x:c r="AB100" s="20" t="str">
        <x:v>154.49500000249827</x:v>
      </x:c>
      <x:c r="AC100" s="12" t="str">
        <x:v>overlays\disgust_049.png</x:v>
      </x:c>
      <x:c r="AD100" s="12" t="str"/>
      <x:c r="AE100" s="12" t="str"/>
      <x:c r="AF100" s="12" t="str">
        <x:v>good</x:v>
      </x:c>
      <x:c r="AG100" s="12" t="n">
        <x:v>1</x:v>
      </x:c>
      <x:c r="AH100" s="12" t="str">
        <x:v>good</x:v>
      </x:c>
      <x:c r="AI100" s="12" t="str">
        <x:v>good</x:v>
      </x:c>
      <x:c r="AJ100" s="12" t="str">
        <x:v>good</x:v>
      </x:c>
      <x:c r="AK100" s="12" t="str">
        <x:v>not_applicable</x:v>
      </x:c>
      <x:c r="AL100" s="12" t="str">
        <x:v>none</x:v>
      </x:c>
      <x:c r="AM100" s="14" t="str">
        <x:v>Clear and well-aligned facial landmarks with no major pose, crop, or occlusion issue.</x:v>
      </x:c>
    </x:row>
    <x:row r="101" ht="28" customHeight="1">
      <x:c r="A101" s="12" t="str">
        <x:v>disgust_050</x:v>
      </x:c>
      <x:c r="B101" s="12" t="str">
        <x:v>disgust</x:v>
      </x:c>
      <x:c r="C101" s="14" t="str">
        <x:v>disgust/Training_16806541.jpg</x:v>
      </x:c>
      <x:c r="D101" s="12" t="str">
        <x:v>afd89cbd075c785b518897d8dce5687941702876028171e68e1dd288ecd92029</x:v>
      </x:c>
      <x:c r="E101" s="12" t="str">
        <x:v>afd89cbd075c785b518897d8dce5687941702876028171e68e1dd288ecd92029</x:v>
      </x:c>
      <x:c r="F101" s="12" t="str">
        <x:v>True</x:v>
      </x:c>
      <x:c r="G101" s="12" t="str">
        <x:v>48</x:v>
      </x:c>
      <x:c r="H101" s="12" t="str">
        <x:v>48</x:v>
      </x:c>
      <x:c r="I101" s="12" t="str">
        <x:v>0.0</x:v>
      </x:c>
      <x:c r="J101" s="12" t="str">
        <x:v>0.0</x:v>
      </x:c>
      <x:c r="K101" s="12" t="str">
        <x:v>47.0</x:v>
      </x:c>
      <x:c r="L101" s="12" t="str">
        <x:v>47.0</x:v>
      </x:c>
      <x:c r="M101" s="12" t="str">
        <x:v>True</x:v>
      </x:c>
      <x:c r="N101" s="12" t="str">
        <x:v>68</x:v>
      </x:c>
      <x:c r="O101" s="12" t="str">
        <x:v>68</x:v>
      </x:c>
      <x:c r="P101" s="16" t="str">
        <x:v>1.0</x:v>
      </x:c>
      <x:c r="Q101" s="12" t="str">
        <x:v>68</x:v>
      </x:c>
      <x:c r="R101" s="16" t="str">
        <x:v>1.0</x:v>
      </x:c>
      <x:c r="S101" s="12" t="str">
        <x:v>0.2</x:v>
      </x:c>
      <x:c r="T101" s="12" t="str">
        <x:v>68</x:v>
      </x:c>
      <x:c r="U101" s="16" t="str">
        <x:v>1.0</x:v>
      </x:c>
      <x:c r="V101" s="18" t="str">
        <x:v>0.6189177632331848</x:v>
      </x:c>
      <x:c r="W101" s="18" t="str">
        <x:v>0.7341823935508728</x:v>
      </x:c>
      <x:c r="X101" s="18" t="str">
        <x:v>0.819266676902771</x:v>
      </x:c>
      <x:c r="Y101" s="18" t="str">
        <x:v>0.8377102613449097</x:v>
      </x:c>
      <x:c r="Z101" s="18" t="str">
        <x:v>0.8686314702033997</x:v>
      </x:c>
      <x:c r="AA101" s="18" t="str">
        <x:v>0.8909692168235779</x:v>
      </x:c>
      <x:c r="AB101" s="20" t="str">
        <x:v>157.6292999961879</x:v>
      </x:c>
      <x:c r="AC101" s="12" t="str">
        <x:v>overlays\disgust_050.png</x:v>
      </x:c>
      <x:c r="AD101" s="12" t="str"/>
      <x:c r="AE101" s="12" t="str"/>
      <x:c r="AF101" s="12" t="str">
        <x:v>acceptable</x:v>
      </x:c>
      <x:c r="AG101" s="12" t="n">
        <x:v>1</x:v>
      </x:c>
      <x:c r="AH101" s="12" t="str">
        <x:v>acceptable</x:v>
      </x:c>
      <x:c r="AI101" s="12" t="str">
        <x:v>acceptable</x:v>
      </x:c>
      <x:c r="AJ101" s="12" t="str">
        <x:v>acceptable</x:v>
      </x:c>
      <x:c r="AK101" s="12" t="str">
        <x:v>acceptable</x:v>
      </x:c>
      <x:c r="AL101" s="12" t="str">
        <x:v>mild</x:v>
      </x:c>
      <x:c r="AM101" s="14" t="str">
        <x:v>Large pose or profile; visible landmarks remain useful, while hidden-side and contour points are inferred.</x:v>
      </x:c>
    </x:row>
    <x:row r="102" ht="28" customHeight="1">
      <x:c r="A102" s="12" t="str">
        <x:v>fear_001</x:v>
      </x:c>
      <x:c r="B102" s="12" t="str">
        <x:v>fear</x:v>
      </x:c>
      <x:c r="C102" s="14" t="str">
        <x:v>fear/Training_41514601.jpg</x:v>
      </x:c>
      <x:c r="D102" s="12" t="str">
        <x:v>ad4f2d19f55d34c698c97b8a1bec65eb641af0236eb7b2f2423f54b3b3503a4e</x:v>
      </x:c>
      <x:c r="E102" s="12" t="str">
        <x:v>ad4f2d19f55d34c698c97b8a1bec65eb641af0236eb7b2f2423f54b3b3503a4e</x:v>
      </x:c>
      <x:c r="F102" s="12" t="str">
        <x:v>True</x:v>
      </x:c>
      <x:c r="G102" s="12" t="str">
        <x:v>48</x:v>
      </x:c>
      <x:c r="H102" s="12" t="str">
        <x:v>48</x:v>
      </x:c>
      <x:c r="I102" s="12" t="str">
        <x:v>0.0</x:v>
      </x:c>
      <x:c r="J102" s="12" t="str">
        <x:v>0.0</x:v>
      </x:c>
      <x:c r="K102" s="12" t="str">
        <x:v>47.0</x:v>
      </x:c>
      <x:c r="L102" s="12" t="str">
        <x:v>47.0</x:v>
      </x:c>
      <x:c r="M102" s="12" t="str">
        <x:v>True</x:v>
      </x:c>
      <x:c r="N102" s="12" t="str">
        <x:v>68</x:v>
      </x:c>
      <x:c r="O102" s="12" t="str">
        <x:v>68</x:v>
      </x:c>
      <x:c r="P102" s="16" t="str">
        <x:v>1.0</x:v>
      </x:c>
      <x:c r="Q102" s="12" t="str">
        <x:v>68</x:v>
      </x:c>
      <x:c r="R102" s="16" t="str">
        <x:v>1.0</x:v>
      </x:c>
      <x:c r="S102" s="12" t="str">
        <x:v>0.2</x:v>
      </x:c>
      <x:c r="T102" s="12" t="str">
        <x:v>67</x:v>
      </x:c>
      <x:c r="U102" s="16" t="str">
        <x:v>0.9852941176470589</x:v>
      </x:c>
      <x:c r="V102" s="18" t="str">
        <x:v>0.18457148969173431</x:v>
      </x:c>
      <x:c r="W102" s="18" t="str">
        <x:v>0.5416711091995239</x:v>
      </x:c>
      <x:c r="X102" s="18" t="str">
        <x:v>0.7214237451553345</x:v>
      </x:c>
      <x:c r="Y102" s="18" t="str">
        <x:v>0.757193922996521</x:v>
      </x:c>
      <x:c r="Z102" s="18" t="str">
        <x:v>0.8352555334568024</x:v>
      </x:c>
      <x:c r="AA102" s="18" t="str">
        <x:v>0.8680871725082397</x:v>
      </x:c>
      <x:c r="AB102" s="20" t="str">
        <x:v>185.5513000045903</x:v>
      </x:c>
      <x:c r="AC102" s="12" t="str">
        <x:v>overlays\fear_001.png</x:v>
      </x:c>
      <x:c r="AD102" s="12" t="str"/>
      <x:c r="AE102" s="12" t="str"/>
      <x:c r="AF102" s="12" t="str">
        <x:v>good</x:v>
      </x:c>
      <x:c r="AG102" s="12" t="n">
        <x:v>1</x:v>
      </x:c>
      <x:c r="AH102" s="12" t="str">
        <x:v>good</x:v>
      </x:c>
      <x:c r="AI102" s="12" t="str">
        <x:v>good</x:v>
      </x:c>
      <x:c r="AJ102" s="12" t="str">
        <x:v>good</x:v>
      </x:c>
      <x:c r="AK102" s="12" t="str">
        <x:v>good</x:v>
      </x:c>
      <x:c r="AL102" s="12" t="str">
        <x:v>none</x:v>
      </x:c>
      <x:c r="AM102" s="14" t="str">
        <x:v>Clear and well-aligned facial landmarks with no major pose, crop, or occlusion issue.</x:v>
      </x:c>
    </x:row>
    <x:row r="103" ht="28" customHeight="1">
      <x:c r="A103" s="12" t="str">
        <x:v>fear_002</x:v>
      </x:c>
      <x:c r="B103" s="12" t="str">
        <x:v>fear</x:v>
      </x:c>
      <x:c r="C103" s="14" t="str">
        <x:v>fear/Training_54981345.jpg</x:v>
      </x:c>
      <x:c r="D103" s="12" t="str">
        <x:v>9b1c845282ceee33e21b8995cea83d0c123188409012bd7ea0b8e05615e47cc0</x:v>
      </x:c>
      <x:c r="E103" s="12" t="str">
        <x:v>9b1c845282ceee33e21b8995cea83d0c123188409012bd7ea0b8e05615e47cc0</x:v>
      </x:c>
      <x:c r="F103" s="12" t="str">
        <x:v>True</x:v>
      </x:c>
      <x:c r="G103" s="12" t="str">
        <x:v>48</x:v>
      </x:c>
      <x:c r="H103" s="12" t="str">
        <x:v>48</x:v>
      </x:c>
      <x:c r="I103" s="12" t="str">
        <x:v>0.0</x:v>
      </x:c>
      <x:c r="J103" s="12" t="str">
        <x:v>0.0</x:v>
      </x:c>
      <x:c r="K103" s="12" t="str">
        <x:v>47.0</x:v>
      </x:c>
      <x:c r="L103" s="12" t="str">
        <x:v>47.0</x:v>
      </x:c>
      <x:c r="M103" s="12" t="str">
        <x:v>True</x:v>
      </x:c>
      <x:c r="N103" s="12" t="str">
        <x:v>68</x:v>
      </x:c>
      <x:c r="O103" s="12" t="str">
        <x:v>68</x:v>
      </x:c>
      <x:c r="P103" s="16" t="str">
        <x:v>1.0</x:v>
      </x:c>
      <x:c r="Q103" s="12" t="str">
        <x:v>68</x:v>
      </x:c>
      <x:c r="R103" s="16" t="str">
        <x:v>1.0</x:v>
      </x:c>
      <x:c r="S103" s="12" t="str">
        <x:v>0.2</x:v>
      </x:c>
      <x:c r="T103" s="12" t="str">
        <x:v>12</x:v>
      </x:c>
      <x:c r="U103" s="16" t="str">
        <x:v>0.17647058823529413</x:v>
      </x:c>
      <x:c r="V103" s="18" t="str">
        <x:v>0.058523669838905334</x:v>
      </x:c>
      <x:c r="W103" s="18" t="str">
        <x:v>0.06919123455882073</x:v>
      </x:c>
      <x:c r="X103" s="18" t="str">
        <x:v>0.14362648129463196</x:v>
      </x:c>
      <x:c r="Y103" s="18" t="str">
        <x:v>0.12610478699207306</x:v>
      </x:c>
      <x:c r="Z103" s="18" t="str">
        <x:v>0.2408704921603203</x:v>
      </x:c>
      <x:c r="AA103" s="18" t="str">
        <x:v>0.3403872847557068</x:v>
      </x:c>
      <x:c r="AB103" s="20" t="str">
        <x:v>190.49190000077942</x:v>
      </x:c>
      <x:c r="AC103" s="12" t="str">
        <x:v>overlays\fear_002.png</x:v>
      </x:c>
      <x:c r="AD103" s="12" t="str"/>
      <x:c r="AE103" s="12" t="str"/>
      <x:c r="AF103" s="12" t="str">
        <x:v>wrong</x:v>
      </x:c>
      <x:c r="AG103" s="12" t="n">
        <x:v>0</x:v>
      </x:c>
      <x:c r="AH103" s="12" t="str">
        <x:v>occluded</x:v>
      </x:c>
      <x:c r="AI103" s="12" t="str">
        <x:v>occluded</x:v>
      </x:c>
      <x:c r="AJ103" s="12" t="str">
        <x:v>wrong</x:v>
      </x:c>
      <x:c r="AK103" s="12" t="str">
        <x:v>not_applicable</x:v>
      </x:c>
      <x:c r="AL103" s="12" t="str">
        <x:v>severe</x:v>
      </x:c>
      <x:c r="AM103" s="14" t="str">
        <x:v>Heavy hand occlusion causes low-confidence landmarks to follow the hand and inferred face shape rather than visible anatomy.</x:v>
      </x:c>
    </x:row>
    <x:row r="104" ht="28" customHeight="1">
      <x:c r="A104" s="12" t="str">
        <x:v>fear_003</x:v>
      </x:c>
      <x:c r="B104" s="12" t="str">
        <x:v>fear</x:v>
      </x:c>
      <x:c r="C104" s="14" t="str">
        <x:v>fear/Training_40388327.jpg</x:v>
      </x:c>
      <x:c r="D104" s="12" t="str">
        <x:v>b5cda9fc1c569069b586fa5230d9314884975f7f85bc919bafd1935e826ce832</x:v>
      </x:c>
      <x:c r="E104" s="12" t="str">
        <x:v>b5cda9fc1c569069b586fa5230d9314884975f7f85bc919bafd1935e826ce832</x:v>
      </x:c>
      <x:c r="F104" s="12" t="str">
        <x:v>True</x:v>
      </x:c>
      <x:c r="G104" s="12" t="str">
        <x:v>48</x:v>
      </x:c>
      <x:c r="H104" s="12" t="str">
        <x:v>48</x:v>
      </x:c>
      <x:c r="I104" s="12" t="str">
        <x:v>0.0</x:v>
      </x:c>
      <x:c r="J104" s="12" t="str">
        <x:v>0.0</x:v>
      </x:c>
      <x:c r="K104" s="12" t="str">
        <x:v>47.0</x:v>
      </x:c>
      <x:c r="L104" s="12" t="str">
        <x:v>47.0</x:v>
      </x:c>
      <x:c r="M104" s="12" t="str">
        <x:v>True</x:v>
      </x:c>
      <x:c r="N104" s="12" t="str">
        <x:v>68</x:v>
      </x:c>
      <x:c r="O104" s="12" t="str">
        <x:v>68</x:v>
      </x:c>
      <x:c r="P104" s="16" t="str">
        <x:v>1.0</x:v>
      </x:c>
      <x:c r="Q104" s="12" t="str">
        <x:v>67</x:v>
      </x:c>
      <x:c r="R104" s="16" t="str">
        <x:v>0.9852941176470589</x:v>
      </x:c>
      <x:c r="S104" s="12" t="str">
        <x:v>0.2</x:v>
      </x:c>
      <x:c r="T104" s="12" t="str">
        <x:v>68</x:v>
      </x:c>
      <x:c r="U104" s="16" t="str">
        <x:v>1.0</x:v>
      </x:c>
      <x:c r="V104" s="18" t="str">
        <x:v>0.5272778272628784</x:v>
      </x:c>
      <x:c r="W104" s="18" t="str">
        <x:v>0.6204592287540436</x:v>
      </x:c>
      <x:c r="X104" s="18" t="str">
        <x:v>0.7773305773735046</x:v>
      </x:c>
      <x:c r="Y104" s="18" t="str">
        <x:v>0.8173712491989136</x:v>
      </x:c>
      <x:c r="Z104" s="18" t="str">
        <x:v>0.8617533445358276</x:v>
      </x:c>
      <x:c r="AA104" s="18" t="str">
        <x:v>0.8953810930252075</x:v>
      </x:c>
      <x:c r="AB104" s="20" t="str">
        <x:v>169.44800000055693</x:v>
      </x:c>
      <x:c r="AC104" s="12" t="str">
        <x:v>overlays\fear_003.png</x:v>
      </x:c>
      <x:c r="AD104" s="12" t="str"/>
      <x:c r="AE104" s="12" t="str"/>
      <x:c r="AF104" s="12" t="str">
        <x:v>good</x:v>
      </x:c>
      <x:c r="AG104" s="12" t="n">
        <x:v>1</x:v>
      </x:c>
      <x:c r="AH104" s="12" t="str">
        <x:v>good</x:v>
      </x:c>
      <x:c r="AI104" s="12" t="str">
        <x:v>good</x:v>
      </x:c>
      <x:c r="AJ104" s="12" t="str">
        <x:v>good</x:v>
      </x:c>
      <x:c r="AK104" s="12" t="str">
        <x:v>not_applicable</x:v>
      </x:c>
      <x:c r="AL104" s="12" t="str">
        <x:v>none</x:v>
      </x:c>
      <x:c r="AM104" s="14" t="str">
        <x:v>Clear and well-aligned facial landmarks with no major pose, crop, or occlusion issue.</x:v>
      </x:c>
    </x:row>
    <x:row r="105" ht="28" customHeight="1">
      <x:c r="A105" s="12" t="str">
        <x:v>fear_004</x:v>
      </x:c>
      <x:c r="B105" s="12" t="str">
        <x:v>fear</x:v>
      </x:c>
      <x:c r="C105" s="14" t="str">
        <x:v>fear/Training_93653810.jpg</x:v>
      </x:c>
      <x:c r="D105" s="12" t="str">
        <x:v>969e50d07373399c151e135e8eb592ba09af55c8ac0dd6b7b1a1855fac123190</x:v>
      </x:c>
      <x:c r="E105" s="12" t="str">
        <x:v>969e50d07373399c151e135e8eb592ba09af55c8ac0dd6b7b1a1855fac123190</x:v>
      </x:c>
      <x:c r="F105" s="12" t="str">
        <x:v>True</x:v>
      </x:c>
      <x:c r="G105" s="12" t="str">
        <x:v>48</x:v>
      </x:c>
      <x:c r="H105" s="12" t="str">
        <x:v>48</x:v>
      </x:c>
      <x:c r="I105" s="12" t="str">
        <x:v>0.0</x:v>
      </x:c>
      <x:c r="J105" s="12" t="str">
        <x:v>0.0</x:v>
      </x:c>
      <x:c r="K105" s="12" t="str">
        <x:v>47.0</x:v>
      </x:c>
      <x:c r="L105" s="12" t="str">
        <x:v>47.0</x:v>
      </x:c>
      <x:c r="M105" s="12" t="str">
        <x:v>True</x:v>
      </x:c>
      <x:c r="N105" s="12" t="str">
        <x:v>68</x:v>
      </x:c>
      <x:c r="O105" s="12" t="str">
        <x:v>68</x:v>
      </x:c>
      <x:c r="P105" s="16" t="str">
        <x:v>1.0</x:v>
      </x:c>
      <x:c r="Q105" s="12" t="str">
        <x:v>67</x:v>
      </x:c>
      <x:c r="R105" s="16" t="str">
        <x:v>0.9852941176470589</x:v>
      </x:c>
      <x:c r="S105" s="12" t="str">
        <x:v>0.2</x:v>
      </x:c>
      <x:c r="T105" s="12" t="str">
        <x:v>68</x:v>
      </x:c>
      <x:c r="U105" s="16" t="str">
        <x:v>1.0</x:v>
      </x:c>
      <x:c r="V105" s="18" t="str">
        <x:v>0.7455874681472778</x:v>
      </x:c>
      <x:c r="W105" s="18" t="str">
        <x:v>0.7734208047389984</x:v>
      </x:c>
      <x:c r="X105" s="18" t="str">
        <x:v>0.8352324366569519</x:v>
      </x:c>
      <x:c r="Y105" s="18" t="str">
        <x:v>0.8418979644775391</x:v>
      </x:c>
      <x:c r="Z105" s="18" t="str">
        <x:v>0.8742640554904938</x:v>
      </x:c>
      <x:c r="AA105" s="18" t="str">
        <x:v>0.9187218546867371</x:v>
      </x:c>
      <x:c r="AB105" s="20" t="str">
        <x:v>156.7155999946408</x:v>
      </x:c>
      <x:c r="AC105" s="12" t="str">
        <x:v>overlays\fear_004.png</x:v>
      </x:c>
      <x:c r="AD105" s="12" t="str"/>
      <x:c r="AE105" s="12" t="str"/>
      <x:c r="AF105" s="12" t="str">
        <x:v>good</x:v>
      </x:c>
      <x:c r="AG105" s="12" t="n">
        <x:v>1</x:v>
      </x:c>
      <x:c r="AH105" s="12" t="str">
        <x:v>good</x:v>
      </x:c>
      <x:c r="AI105" s="12" t="str">
        <x:v>good</x:v>
      </x:c>
      <x:c r="AJ105" s="12" t="str">
        <x:v>good</x:v>
      </x:c>
      <x:c r="AK105" s="12" t="str">
        <x:v>not_applicable</x:v>
      </x:c>
      <x:c r="AL105" s="12" t="str">
        <x:v>none</x:v>
      </x:c>
      <x:c r="AM105" s="14" t="str">
        <x:v>Clear and well-aligned facial landmarks with no major pose, crop, or occlusion issue.</x:v>
      </x:c>
    </x:row>
    <x:row r="106" ht="28" customHeight="1">
      <x:c r="A106" s="12" t="str">
        <x:v>fear_005</x:v>
      </x:c>
      <x:c r="B106" s="12" t="str">
        <x:v>fear</x:v>
      </x:c>
      <x:c r="C106" s="14" t="str">
        <x:v>fear/Training_78770702.jpg</x:v>
      </x:c>
      <x:c r="D106" s="12" t="str">
        <x:v>6b32373668ba6ef052016c85420552833fca59df1f25514a700545add2c989b5</x:v>
      </x:c>
      <x:c r="E106" s="12" t="str">
        <x:v>6b32373668ba6ef052016c85420552833fca59df1f25514a700545add2c989b5</x:v>
      </x:c>
      <x:c r="F106" s="12" t="str">
        <x:v>True</x:v>
      </x:c>
      <x:c r="G106" s="12" t="str">
        <x:v>48</x:v>
      </x:c>
      <x:c r="H106" s="12" t="str">
        <x:v>48</x:v>
      </x:c>
      <x:c r="I106" s="12" t="str">
        <x:v>0.0</x:v>
      </x:c>
      <x:c r="J106" s="12" t="str">
        <x:v>0.0</x:v>
      </x:c>
      <x:c r="K106" s="12" t="str">
        <x:v>47.0</x:v>
      </x:c>
      <x:c r="L106" s="12" t="str">
        <x:v>47.0</x:v>
      </x:c>
      <x:c r="M106" s="12" t="str">
        <x:v>True</x:v>
      </x:c>
      <x:c r="N106" s="12" t="str">
        <x:v>68</x:v>
      </x:c>
      <x:c r="O106" s="12" t="str">
        <x:v>68</x:v>
      </x:c>
      <x:c r="P106" s="16" t="str">
        <x:v>1.0</x:v>
      </x:c>
      <x:c r="Q106" s="12" t="str">
        <x:v>68</x:v>
      </x:c>
      <x:c r="R106" s="16" t="str">
        <x:v>1.0</x:v>
      </x:c>
      <x:c r="S106" s="12" t="str">
        <x:v>0.2</x:v>
      </x:c>
      <x:c r="T106" s="12" t="str">
        <x:v>68</x:v>
      </x:c>
      <x:c r="U106" s="16" t="str">
        <x:v>1.0</x:v>
      </x:c>
      <x:c r="V106" s="18" t="str">
        <x:v>0.7369270920753479</x:v>
      </x:c>
      <x:c r="W106" s="18" t="str">
        <x:v>0.7852768898010254</x:v>
      </x:c>
      <x:c r="X106" s="18" t="str">
        <x:v>0.8341029286384583</x:v>
      </x:c>
      <x:c r="Y106" s="18" t="str">
        <x:v>0.8378667831420898</x:v>
      </x:c>
      <x:c r="Z106" s="18" t="str">
        <x:v>0.8740736305713653</x:v>
      </x:c>
      <x:c r="AA106" s="18" t="str">
        <x:v>0.909907341003418</x:v>
      </x:c>
      <x:c r="AB106" s="20" t="str">
        <x:v>155.6404000002658</x:v>
      </x:c>
      <x:c r="AC106" s="12" t="str">
        <x:v>overlays\fear_005.png</x:v>
      </x:c>
      <x:c r="AD106" s="12" t="str"/>
      <x:c r="AE106" s="12" t="str"/>
      <x:c r="AF106" s="12" t="str">
        <x:v>good</x:v>
      </x:c>
      <x:c r="AG106" s="12" t="n">
        <x:v>1</x:v>
      </x:c>
      <x:c r="AH106" s="12" t="str">
        <x:v>good</x:v>
      </x:c>
      <x:c r="AI106" s="12" t="str">
        <x:v>good</x:v>
      </x:c>
      <x:c r="AJ106" s="12" t="str">
        <x:v>good</x:v>
      </x:c>
      <x:c r="AK106" s="12" t="str">
        <x:v>not_applicable</x:v>
      </x:c>
      <x:c r="AL106" s="12" t="str">
        <x:v>none</x:v>
      </x:c>
      <x:c r="AM106" s="14" t="str">
        <x:v>Clear and well-aligned facial landmarks with no major pose, crop, or occlusion issue.</x:v>
      </x:c>
    </x:row>
    <x:row r="107" ht="28" customHeight="1">
      <x:c r="A107" s="12" t="str">
        <x:v>fear_006</x:v>
      </x:c>
      <x:c r="B107" s="12" t="str">
        <x:v>fear</x:v>
      </x:c>
      <x:c r="C107" s="14" t="str">
        <x:v>fear/Training_59584482.jpg</x:v>
      </x:c>
      <x:c r="D107" s="12" t="str">
        <x:v>b54726390ced334a73b413c3efac011d10fe04eeeca99a54e77342fd61a3faf4</x:v>
      </x:c>
      <x:c r="E107" s="12" t="str">
        <x:v>b54726390ced334a73b413c3efac011d10fe04eeeca99a54e77342fd61a3faf4</x:v>
      </x:c>
      <x:c r="F107" s="12" t="str">
        <x:v>True</x:v>
      </x:c>
      <x:c r="G107" s="12" t="str">
        <x:v>48</x:v>
      </x:c>
      <x:c r="H107" s="12" t="str">
        <x:v>48</x:v>
      </x:c>
      <x:c r="I107" s="12" t="str">
        <x:v>0.0</x:v>
      </x:c>
      <x:c r="J107" s="12" t="str">
        <x:v>0.0</x:v>
      </x:c>
      <x:c r="K107" s="12" t="str">
        <x:v>47.0</x:v>
      </x:c>
      <x:c r="L107" s="12" t="str">
        <x:v>47.0</x:v>
      </x:c>
      <x:c r="M107" s="12" t="str">
        <x:v>True</x:v>
      </x:c>
      <x:c r="N107" s="12" t="str">
        <x:v>68</x:v>
      </x:c>
      <x:c r="O107" s="12" t="str">
        <x:v>68</x:v>
      </x:c>
      <x:c r="P107" s="16" t="str">
        <x:v>1.0</x:v>
      </x:c>
      <x:c r="Q107" s="12" t="str">
        <x:v>65</x:v>
      </x:c>
      <x:c r="R107" s="16" t="str">
        <x:v>0.9558823529411765</x:v>
      </x:c>
      <x:c r="S107" s="12" t="str">
        <x:v>0.2</x:v>
      </x:c>
      <x:c r="T107" s="12" t="str">
        <x:v>68</x:v>
      </x:c>
      <x:c r="U107" s="16" t="str">
        <x:v>1.0</x:v>
      </x:c>
      <x:c r="V107" s="18" t="str">
        <x:v>0.6205015778541565</x:v>
      </x:c>
      <x:c r="W107" s="18" t="str">
        <x:v>0.7380668520927429</x:v>
      </x:c>
      <x:c r="X107" s="18" t="str">
        <x:v>0.7998018860816956</x:v>
      </x:c>
      <x:c r="Y107" s="18" t="str">
        <x:v>0.8158060312271118</x:v>
      </x:c>
      <x:c r="Z107" s="18" t="str">
        <x:v>0.8521111488342286</x:v>
      </x:c>
      <x:c r="AA107" s="18" t="str">
        <x:v>0.8738558292388916</x:v>
      </x:c>
      <x:c r="AB107" s="20" t="str">
        <x:v>153.40329999889946</x:v>
      </x:c>
      <x:c r="AC107" s="12" t="str">
        <x:v>overlays\fear_006.png</x:v>
      </x:c>
      <x:c r="AD107" s="12" t="str"/>
      <x:c r="AE107" s="12" t="str"/>
      <x:c r="AF107" s="12" t="str">
        <x:v>good</x:v>
      </x:c>
      <x:c r="AG107" s="12" t="n">
        <x:v>1</x:v>
      </x:c>
      <x:c r="AH107" s="12" t="str">
        <x:v>good</x:v>
      </x:c>
      <x:c r="AI107" s="12" t="str">
        <x:v>good</x:v>
      </x:c>
      <x:c r="AJ107" s="12" t="str">
        <x:v>good</x:v>
      </x:c>
      <x:c r="AK107" s="12" t="str">
        <x:v>not_applicable</x:v>
      </x:c>
      <x:c r="AL107" s="12" t="str">
        <x:v>none</x:v>
      </x:c>
      <x:c r="AM107" s="14" t="str">
        <x:v>Clear and well-aligned facial landmarks with no major pose, crop, or occlusion issue.</x:v>
      </x:c>
    </x:row>
    <x:row r="108" ht="28" customHeight="1">
      <x:c r="A108" s="12" t="str">
        <x:v>fear_007</x:v>
      </x:c>
      <x:c r="B108" s="12" t="str">
        <x:v>fear</x:v>
      </x:c>
      <x:c r="C108" s="14" t="str">
        <x:v>fear/Training_49959890.jpg</x:v>
      </x:c>
      <x:c r="D108" s="12" t="str">
        <x:v>36d69e449e121e94b4df46fb0bc22bd7b01bff33bb487727da6e29a081356986</x:v>
      </x:c>
      <x:c r="E108" s="12" t="str">
        <x:v>36d69e449e121e94b4df46fb0bc22bd7b01bff33bb487727da6e29a081356986</x:v>
      </x:c>
      <x:c r="F108" s="12" t="str">
        <x:v>True</x:v>
      </x:c>
      <x:c r="G108" s="12" t="str">
        <x:v>48</x:v>
      </x:c>
      <x:c r="H108" s="12" t="str">
        <x:v>48</x:v>
      </x:c>
      <x:c r="I108" s="12" t="str">
        <x:v>0.0</x:v>
      </x:c>
      <x:c r="J108" s="12" t="str">
        <x:v>0.0</x:v>
      </x:c>
      <x:c r="K108" s="12" t="str">
        <x:v>47.0</x:v>
      </x:c>
      <x:c r="L108" s="12" t="str">
        <x:v>47.0</x:v>
      </x:c>
      <x:c r="M108" s="12" t="str">
        <x:v>True</x:v>
      </x:c>
      <x:c r="N108" s="12" t="str">
        <x:v>68</x:v>
      </x:c>
      <x:c r="O108" s="12" t="str">
        <x:v>68</x:v>
      </x:c>
      <x:c r="P108" s="16" t="str">
        <x:v>1.0</x:v>
      </x:c>
      <x:c r="Q108" s="12" t="str">
        <x:v>68</x:v>
      </x:c>
      <x:c r="R108" s="16" t="str">
        <x:v>1.0</x:v>
      </x:c>
      <x:c r="S108" s="12" t="str">
        <x:v>0.2</x:v>
      </x:c>
      <x:c r="T108" s="12" t="str">
        <x:v>68</x:v>
      </x:c>
      <x:c r="U108" s="16" t="str">
        <x:v>1.0</x:v>
      </x:c>
      <x:c r="V108" s="18" t="str">
        <x:v>0.6833146810531616</x:v>
      </x:c>
      <x:c r="W108" s="18" t="str">
        <x:v>0.7227091372013092</x:v>
      </x:c>
      <x:c r="X108" s="18" t="str">
        <x:v>0.7919133305549622</x:v>
      </x:c>
      <x:c r="Y108" s="18" t="str">
        <x:v>0.79637610912323</x:v>
      </x:c>
      <x:c r="Z108" s="18" t="str">
        <x:v>0.8491517543792725</x:v>
      </x:c>
      <x:c r="AA108" s="18" t="str">
        <x:v>0.8882396817207336</x:v>
      </x:c>
      <x:c r="AB108" s="20" t="str">
        <x:v>183.37549999705516</x:v>
      </x:c>
      <x:c r="AC108" s="12" t="str">
        <x:v>overlays\fear_007.png</x:v>
      </x:c>
      <x:c r="AD108" s="12" t="str"/>
      <x:c r="AE108" s="12" t="str"/>
      <x:c r="AF108" s="12" t="str">
        <x:v>acceptable</x:v>
      </x:c>
      <x:c r="AG108" s="12" t="n">
        <x:v>1</x:v>
      </x:c>
      <x:c r="AH108" s="12" t="str">
        <x:v>acceptable</x:v>
      </x:c>
      <x:c r="AI108" s="12" t="str">
        <x:v>acceptable</x:v>
      </x:c>
      <x:c r="AJ108" s="12" t="str">
        <x:v>acceptable</x:v>
      </x:c>
      <x:c r="AK108" s="12" t="str">
        <x:v>not_applicable</x:v>
      </x:c>
      <x:c r="AL108" s="12" t="str">
        <x:v>mild</x:v>
      </x:c>
      <x:c r="AM108" s="14" t="str">
        <x:v>Large pose or profile; visible landmarks remain useful, while hidden-side and contour points are inferred.</x:v>
      </x:c>
    </x:row>
    <x:row r="109" ht="28" customHeight="1">
      <x:c r="A109" s="12" t="str">
        <x:v>fear_008</x:v>
      </x:c>
      <x:c r="B109" s="12" t="str">
        <x:v>fear</x:v>
      </x:c>
      <x:c r="C109" s="14" t="str">
        <x:v>fear/Training_69092745.jpg</x:v>
      </x:c>
      <x:c r="D109" s="12" t="str">
        <x:v>76aac466c97b5521a37a3dcbd7df7461e7831fe4abec299521099f93ae754cfb</x:v>
      </x:c>
      <x:c r="E109" s="12" t="str">
        <x:v>76aac466c97b5521a37a3dcbd7df7461e7831fe4abec299521099f93ae754cfb</x:v>
      </x:c>
      <x:c r="F109" s="12" t="str">
        <x:v>True</x:v>
      </x:c>
      <x:c r="G109" s="12" t="str">
        <x:v>48</x:v>
      </x:c>
      <x:c r="H109" s="12" t="str">
        <x:v>48</x:v>
      </x:c>
      <x:c r="I109" s="12" t="str">
        <x:v>0.0</x:v>
      </x:c>
      <x:c r="J109" s="12" t="str">
        <x:v>0.0</x:v>
      </x:c>
      <x:c r="K109" s="12" t="str">
        <x:v>47.0</x:v>
      </x:c>
      <x:c r="L109" s="12" t="str">
        <x:v>47.0</x:v>
      </x:c>
      <x:c r="M109" s="12" t="str">
        <x:v>True</x:v>
      </x:c>
      <x:c r="N109" s="12" t="str">
        <x:v>68</x:v>
      </x:c>
      <x:c r="O109" s="12" t="str">
        <x:v>68</x:v>
      </x:c>
      <x:c r="P109" s="16" t="str">
        <x:v>1.0</x:v>
      </x:c>
      <x:c r="Q109" s="12" t="str">
        <x:v>68</x:v>
      </x:c>
      <x:c r="R109" s="16" t="str">
        <x:v>1.0</x:v>
      </x:c>
      <x:c r="S109" s="12" t="str">
        <x:v>0.2</x:v>
      </x:c>
      <x:c r="T109" s="12" t="str">
        <x:v>68</x:v>
      </x:c>
      <x:c r="U109" s="16" t="str">
        <x:v>1.0</x:v>
      </x:c>
      <x:c r="V109" s="18" t="str">
        <x:v>0.4117852449417114</x:v>
      </x:c>
      <x:c r="W109" s="18" t="str">
        <x:v>0.5401974081993103</x:v>
      </x:c>
      <x:c r="X109" s="18" t="str">
        <x:v>0.7391456365585327</x:v>
      </x:c>
      <x:c r="Y109" s="18" t="str">
        <x:v>0.7662029266357422</x:v>
      </x:c>
      <x:c r="Z109" s="18" t="str">
        <x:v>0.8548819482326507</x:v>
      </x:c>
      <x:c r="AA109" s="18" t="str">
        <x:v>0.891683042049408</x:v>
      </x:c>
      <x:c r="AB109" s="20" t="str">
        <x:v>198.1076999945799</x:v>
      </x:c>
      <x:c r="AC109" s="12" t="str">
        <x:v>overlays\fear_008.png</x:v>
      </x:c>
      <x:c r="AD109" s="12" t="str"/>
      <x:c r="AE109" s="12" t="str"/>
      <x:c r="AF109" s="12" t="str">
        <x:v>good</x:v>
      </x:c>
      <x:c r="AG109" s="12" t="n">
        <x:v>1</x:v>
      </x:c>
      <x:c r="AH109" s="12" t="str">
        <x:v>good</x:v>
      </x:c>
      <x:c r="AI109" s="12" t="str">
        <x:v>good</x:v>
      </x:c>
      <x:c r="AJ109" s="12" t="str">
        <x:v>good</x:v>
      </x:c>
      <x:c r="AK109" s="12" t="str">
        <x:v>good</x:v>
      </x:c>
      <x:c r="AL109" s="12" t="str">
        <x:v>none</x:v>
      </x:c>
      <x:c r="AM109" s="14" t="str">
        <x:v>Clear and well-aligned facial landmarks with no major pose, crop, or occlusion issue.</x:v>
      </x:c>
    </x:row>
    <x:row r="110" ht="28" customHeight="1">
      <x:c r="A110" s="12" t="str">
        <x:v>fear_009</x:v>
      </x:c>
      <x:c r="B110" s="12" t="str">
        <x:v>fear</x:v>
      </x:c>
      <x:c r="C110" s="14" t="str">
        <x:v>fear/Training_20834485.jpg</x:v>
      </x:c>
      <x:c r="D110" s="12" t="str">
        <x:v>9827b3a02145fade9cad02e1cc6c29b937e058e557404bbd5bfd5c24ed9eac0a</x:v>
      </x:c>
      <x:c r="E110" s="12" t="str">
        <x:v>9827b3a02145fade9cad02e1cc6c29b937e058e557404bbd5bfd5c24ed9eac0a</x:v>
      </x:c>
      <x:c r="F110" s="12" t="str">
        <x:v>True</x:v>
      </x:c>
      <x:c r="G110" s="12" t="str">
        <x:v>48</x:v>
      </x:c>
      <x:c r="H110" s="12" t="str">
        <x:v>48</x:v>
      </x:c>
      <x:c r="I110" s="12" t="str">
        <x:v>0.0</x:v>
      </x:c>
      <x:c r="J110" s="12" t="str">
        <x:v>0.0</x:v>
      </x:c>
      <x:c r="K110" s="12" t="str">
        <x:v>47.0</x:v>
      </x:c>
      <x:c r="L110" s="12" t="str">
        <x:v>47.0</x:v>
      </x:c>
      <x:c r="M110" s="12" t="str">
        <x:v>True</x:v>
      </x:c>
      <x:c r="N110" s="12" t="str">
        <x:v>68</x:v>
      </x:c>
      <x:c r="O110" s="12" t="str">
        <x:v>68</x:v>
      </x:c>
      <x:c r="P110" s="16" t="str">
        <x:v>1.0</x:v>
      </x:c>
      <x:c r="Q110" s="12" t="str">
        <x:v>68</x:v>
      </x:c>
      <x:c r="R110" s="16" t="str">
        <x:v>1.0</x:v>
      </x:c>
      <x:c r="S110" s="12" t="str">
        <x:v>0.2</x:v>
      </x:c>
      <x:c r="T110" s="12" t="str">
        <x:v>68</x:v>
      </x:c>
      <x:c r="U110" s="16" t="str">
        <x:v>1.0</x:v>
      </x:c>
      <x:c r="V110" s="18" t="str">
        <x:v>0.5208835601806641</x:v>
      </x:c>
      <x:c r="W110" s="18" t="str">
        <x:v>0.6936631262302398</x:v>
      </x:c>
      <x:c r="X110" s="18" t="str">
        <x:v>0.7877025604248047</x:v>
      </x:c>
      <x:c r="Y110" s="18" t="str">
        <x:v>0.8095734715461731</x:v>
      </x:c>
      <x:c r="Z110" s="18" t="str">
        <x:v>0.8620148539543152</x:v>
      </x:c>
      <x:c r="AA110" s="18" t="str">
        <x:v>0.8828046321868896</x:v>
      </x:c>
      <x:c r="AB110" s="20" t="str">
        <x:v>208.10659999551717</x:v>
      </x:c>
      <x:c r="AC110" s="12" t="str">
        <x:v>overlays\fear_009.png</x:v>
      </x:c>
      <x:c r="AD110" s="12" t="str"/>
      <x:c r="AE110" s="12" t="str"/>
      <x:c r="AF110" s="12" t="str">
        <x:v>good</x:v>
      </x:c>
      <x:c r="AG110" s="12" t="n">
        <x:v>1</x:v>
      </x:c>
      <x:c r="AH110" s="12" t="str">
        <x:v>good</x:v>
      </x:c>
      <x:c r="AI110" s="12" t="str">
        <x:v>good</x:v>
      </x:c>
      <x:c r="AJ110" s="12" t="str">
        <x:v>good</x:v>
      </x:c>
      <x:c r="AK110" s="12" t="str">
        <x:v>good</x:v>
      </x:c>
      <x:c r="AL110" s="12" t="str">
        <x:v>none</x:v>
      </x:c>
      <x:c r="AM110" s="14" t="str">
        <x:v>Clear and well-aligned facial landmarks with no major pose, crop, or occlusion issue.</x:v>
      </x:c>
    </x:row>
    <x:row r="111" ht="28" customHeight="1">
      <x:c r="A111" s="12" t="str">
        <x:v>fear_010</x:v>
      </x:c>
      <x:c r="B111" s="12" t="str">
        <x:v>fear</x:v>
      </x:c>
      <x:c r="C111" s="14" t="str">
        <x:v>fear/Training_52199927.jpg</x:v>
      </x:c>
      <x:c r="D111" s="12" t="str">
        <x:v>e4d89008a4edcd773aa94da6a89c8227b0368af8f9d25a60be93b96e373bf7fa</x:v>
      </x:c>
      <x:c r="E111" s="12" t="str">
        <x:v>e4d89008a4edcd773aa94da6a89c8227b0368af8f9d25a60be93b96e373bf7fa</x:v>
      </x:c>
      <x:c r="F111" s="12" t="str">
        <x:v>True</x:v>
      </x:c>
      <x:c r="G111" s="12" t="str">
        <x:v>48</x:v>
      </x:c>
      <x:c r="H111" s="12" t="str">
        <x:v>48</x:v>
      </x:c>
      <x:c r="I111" s="12" t="str">
        <x:v>0.0</x:v>
      </x:c>
      <x:c r="J111" s="12" t="str">
        <x:v>0.0</x:v>
      </x:c>
      <x:c r="K111" s="12" t="str">
        <x:v>47.0</x:v>
      </x:c>
      <x:c r="L111" s="12" t="str">
        <x:v>47.0</x:v>
      </x:c>
      <x:c r="M111" s="12" t="str">
        <x:v>True</x:v>
      </x:c>
      <x:c r="N111" s="12" t="str">
        <x:v>68</x:v>
      </x:c>
      <x:c r="O111" s="12" t="str">
        <x:v>68</x:v>
      </x:c>
      <x:c r="P111" s="16" t="str">
        <x:v>1.0</x:v>
      </x:c>
      <x:c r="Q111" s="12" t="str">
        <x:v>68</x:v>
      </x:c>
      <x:c r="R111" s="16" t="str">
        <x:v>1.0</x:v>
      </x:c>
      <x:c r="S111" s="12" t="str">
        <x:v>0.2</x:v>
      </x:c>
      <x:c r="T111" s="12" t="str">
        <x:v>68</x:v>
      </x:c>
      <x:c r="U111" s="16" t="str">
        <x:v>1.0</x:v>
      </x:c>
      <x:c r="V111" s="18" t="str">
        <x:v>0.6668989658355713</x:v>
      </x:c>
      <x:c r="W111" s="18" t="str">
        <x:v>0.6979638814926148</x:v>
      </x:c>
      <x:c r="X111" s="18" t="str">
        <x:v>0.7990401387214661</x:v>
      </x:c>
      <x:c r="Y111" s="18" t="str">
        <x:v>0.810650110244751</x:v>
      </x:c>
      <x:c r="Z111" s="18" t="str">
        <x:v>0.8770576298236847</x:v>
      </x:c>
      <x:c r="AA111" s="18" t="str">
        <x:v>0.9016206860542297</x:v>
      </x:c>
      <x:c r="AB111" s="20" t="str">
        <x:v>227.5480999960564</x:v>
      </x:c>
      <x:c r="AC111" s="12" t="str">
        <x:v>overlays\fear_010.png</x:v>
      </x:c>
      <x:c r="AD111" s="12" t="str"/>
      <x:c r="AE111" s="12" t="str"/>
      <x:c r="AF111" s="12" t="str">
        <x:v>good</x:v>
      </x:c>
      <x:c r="AG111" s="12" t="n">
        <x:v>1</x:v>
      </x:c>
      <x:c r="AH111" s="12" t="str">
        <x:v>good</x:v>
      </x:c>
      <x:c r="AI111" s="12" t="str">
        <x:v>good</x:v>
      </x:c>
      <x:c r="AJ111" s="12" t="str">
        <x:v>good</x:v>
      </x:c>
      <x:c r="AK111" s="12" t="str">
        <x:v>good</x:v>
      </x:c>
      <x:c r="AL111" s="12" t="str">
        <x:v>none</x:v>
      </x:c>
      <x:c r="AM111" s="14" t="str">
        <x:v>Clear and well-aligned facial landmarks with no major pose, crop, or occlusion issue.</x:v>
      </x:c>
    </x:row>
    <x:row r="112" ht="28" customHeight="1">
      <x:c r="A112" s="12" t="str">
        <x:v>fear_011</x:v>
      </x:c>
      <x:c r="B112" s="12" t="str">
        <x:v>fear</x:v>
      </x:c>
      <x:c r="C112" s="14" t="str">
        <x:v>fear/Training_16231642.jpg</x:v>
      </x:c>
      <x:c r="D112" s="12" t="str">
        <x:v>7f5df962b947265f50d1c95a7625be6f44c72efe23053bc526c7ee7e4852c837</x:v>
      </x:c>
      <x:c r="E112" s="12" t="str">
        <x:v>7f5df962b947265f50d1c95a7625be6f44c72efe23053bc526c7ee7e4852c837</x:v>
      </x:c>
      <x:c r="F112" s="12" t="str">
        <x:v>True</x:v>
      </x:c>
      <x:c r="G112" s="12" t="str">
        <x:v>48</x:v>
      </x:c>
      <x:c r="H112" s="12" t="str">
        <x:v>48</x:v>
      </x:c>
      <x:c r="I112" s="12" t="str">
        <x:v>0.0</x:v>
      </x:c>
      <x:c r="J112" s="12" t="str">
        <x:v>0.0</x:v>
      </x:c>
      <x:c r="K112" s="12" t="str">
        <x:v>47.0</x:v>
      </x:c>
      <x:c r="L112" s="12" t="str">
        <x:v>47.0</x:v>
      </x:c>
      <x:c r="M112" s="12" t="str">
        <x:v>True</x:v>
      </x:c>
      <x:c r="N112" s="12" t="str">
        <x:v>68</x:v>
      </x:c>
      <x:c r="O112" s="12" t="str">
        <x:v>68</x:v>
      </x:c>
      <x:c r="P112" s="16" t="str">
        <x:v>1.0</x:v>
      </x:c>
      <x:c r="Q112" s="12" t="str">
        <x:v>67</x:v>
      </x:c>
      <x:c r="R112" s="16" t="str">
        <x:v>0.9852941176470589</x:v>
      </x:c>
      <x:c r="S112" s="12" t="str">
        <x:v>0.2</x:v>
      </x:c>
      <x:c r="T112" s="12" t="str">
        <x:v>67</x:v>
      </x:c>
      <x:c r="U112" s="16" t="str">
        <x:v>0.9852941176470589</x:v>
      </x:c>
      <x:c r="V112" s="18" t="str">
        <x:v>0.1521531641483307</x:v>
      </x:c>
      <x:c r="W112" s="18" t="str">
        <x:v>0.5932133376598359</x:v>
      </x:c>
      <x:c r="X112" s="18" t="str">
        <x:v>0.748445451259613</x:v>
      </x:c>
      <x:c r="Y112" s="18" t="str">
        <x:v>0.818606972694397</x:v>
      </x:c>
      <x:c r="Z112" s="18" t="str">
        <x:v>0.873769861459732</x:v>
      </x:c>
      <x:c r="AA112" s="18" t="str">
        <x:v>0.8903712034225464</x:v>
      </x:c>
      <x:c r="AB112" s="20" t="str">
        <x:v>183.1166999982088</x:v>
      </x:c>
      <x:c r="AC112" s="12" t="str">
        <x:v>overlays\fear_011.png</x:v>
      </x:c>
      <x:c r="AD112" s="12" t="str"/>
      <x:c r="AE112" s="12" t="str"/>
      <x:c r="AF112" s="12" t="str">
        <x:v>good</x:v>
      </x:c>
      <x:c r="AG112" s="12" t="n">
        <x:v>1</x:v>
      </x:c>
      <x:c r="AH112" s="12" t="str">
        <x:v>good</x:v>
      </x:c>
      <x:c r="AI112" s="12" t="str">
        <x:v>good</x:v>
      </x:c>
      <x:c r="AJ112" s="12" t="str">
        <x:v>good</x:v>
      </x:c>
      <x:c r="AK112" s="12" t="str">
        <x:v>good</x:v>
      </x:c>
      <x:c r="AL112" s="12" t="str">
        <x:v>none</x:v>
      </x:c>
      <x:c r="AM112" s="14" t="str">
        <x:v>Clear and well-aligned facial landmarks with no major pose, crop, or occlusion issue.</x:v>
      </x:c>
    </x:row>
    <x:row r="113" ht="28" customHeight="1">
      <x:c r="A113" s="12" t="str">
        <x:v>fear_012</x:v>
      </x:c>
      <x:c r="B113" s="12" t="str">
        <x:v>fear</x:v>
      </x:c>
      <x:c r="C113" s="14" t="str">
        <x:v>fear/Training_67492683.jpg</x:v>
      </x:c>
      <x:c r="D113" s="12" t="str">
        <x:v>d97ae38d48d3e95ece916994f854c074b6677874a5042b53ecdf6049cb29716a</x:v>
      </x:c>
      <x:c r="E113" s="12" t="str">
        <x:v>d97ae38d48d3e95ece916994f854c074b6677874a5042b53ecdf6049cb29716a</x:v>
      </x:c>
      <x:c r="F113" s="12" t="str">
        <x:v>True</x:v>
      </x:c>
      <x:c r="G113" s="12" t="str">
        <x:v>48</x:v>
      </x:c>
      <x:c r="H113" s="12" t="str">
        <x:v>48</x:v>
      </x:c>
      <x:c r="I113" s="12" t="str">
        <x:v>0.0</x:v>
      </x:c>
      <x:c r="J113" s="12" t="str">
        <x:v>0.0</x:v>
      </x:c>
      <x:c r="K113" s="12" t="str">
        <x:v>47.0</x:v>
      </x:c>
      <x:c r="L113" s="12" t="str">
        <x:v>47.0</x:v>
      </x:c>
      <x:c r="M113" s="12" t="str">
        <x:v>True</x:v>
      </x:c>
      <x:c r="N113" s="12" t="str">
        <x:v>68</x:v>
      </x:c>
      <x:c r="O113" s="12" t="str">
        <x:v>68</x:v>
      </x:c>
      <x:c r="P113" s="16" t="str">
        <x:v>1.0</x:v>
      </x:c>
      <x:c r="Q113" s="12" t="str">
        <x:v>67</x:v>
      </x:c>
      <x:c r="R113" s="16" t="str">
        <x:v>0.9852941176470589</x:v>
      </x:c>
      <x:c r="S113" s="12" t="str">
        <x:v>0.2</x:v>
      </x:c>
      <x:c r="T113" s="12" t="str">
        <x:v>68</x:v>
      </x:c>
      <x:c r="U113" s="16" t="str">
        <x:v>1.0</x:v>
      </x:c>
      <x:c r="V113" s="18" t="str">
        <x:v>0.7810543179512024</x:v>
      </x:c>
      <x:c r="W113" s="18" t="str">
        <x:v>0.8042816996574402</x:v>
      </x:c>
      <x:c r="X113" s="18" t="str">
        <x:v>0.854489266872406</x:v>
      </x:c>
      <x:c r="Y113" s="18" t="str">
        <x:v>0.8620215654373169</x:v>
      </x:c>
      <x:c r="Z113" s="18" t="str">
        <x:v>0.8907512068748474</x:v>
      </x:c>
      <x:c r="AA113" s="18" t="str">
        <x:v>0.9003728032112122</x:v>
      </x:c>
      <x:c r="AB113" s="20" t="str">
        <x:v>226.5934999959427</x:v>
      </x:c>
      <x:c r="AC113" s="12" t="str">
        <x:v>overlays\fear_012.png</x:v>
      </x:c>
      <x:c r="AD113" s="12" t="str"/>
      <x:c r="AE113" s="12" t="str"/>
      <x:c r="AF113" s="12" t="str">
        <x:v>good</x:v>
      </x:c>
      <x:c r="AG113" s="12" t="n">
        <x:v>1</x:v>
      </x:c>
      <x:c r="AH113" s="12" t="str">
        <x:v>good</x:v>
      </x:c>
      <x:c r="AI113" s="12" t="str">
        <x:v>good</x:v>
      </x:c>
      <x:c r="AJ113" s="12" t="str">
        <x:v>good</x:v>
      </x:c>
      <x:c r="AK113" s="12" t="str">
        <x:v>good</x:v>
      </x:c>
      <x:c r="AL113" s="12" t="str">
        <x:v>none</x:v>
      </x:c>
      <x:c r="AM113" s="14" t="str">
        <x:v>Clear and well-aligned facial landmarks with no major pose, crop, or occlusion issue.</x:v>
      </x:c>
    </x:row>
    <x:row r="114" ht="28" customHeight="1">
      <x:c r="A114" s="12" t="str">
        <x:v>fear_013</x:v>
      </x:c>
      <x:c r="B114" s="12" t="str">
        <x:v>fear</x:v>
      </x:c>
      <x:c r="C114" s="14" t="str">
        <x:v>fear/Training_83161199.jpg</x:v>
      </x:c>
      <x:c r="D114" s="12" t="str">
        <x:v>b1b8aed85dbc8133ae1719856713b576c9d7be99a67f736f99fe5bb1cb74f4ac</x:v>
      </x:c>
      <x:c r="E114" s="12" t="str">
        <x:v>b1b8aed85dbc8133ae1719856713b576c9d7be99a67f736f99fe5bb1cb74f4ac</x:v>
      </x:c>
      <x:c r="F114" s="12" t="str">
        <x:v>True</x:v>
      </x:c>
      <x:c r="G114" s="12" t="str">
        <x:v>48</x:v>
      </x:c>
      <x:c r="H114" s="12" t="str">
        <x:v>48</x:v>
      </x:c>
      <x:c r="I114" s="12" t="str">
        <x:v>0.0</x:v>
      </x:c>
      <x:c r="J114" s="12" t="str">
        <x:v>0.0</x:v>
      </x:c>
      <x:c r="K114" s="12" t="str">
        <x:v>47.0</x:v>
      </x:c>
      <x:c r="L114" s="12" t="str">
        <x:v>47.0</x:v>
      </x:c>
      <x:c r="M114" s="12" t="str">
        <x:v>True</x:v>
      </x:c>
      <x:c r="N114" s="12" t="str">
        <x:v>68</x:v>
      </x:c>
      <x:c r="O114" s="12" t="str">
        <x:v>68</x:v>
      </x:c>
      <x:c r="P114" s="16" t="str">
        <x:v>1.0</x:v>
      </x:c>
      <x:c r="Q114" s="12" t="str">
        <x:v>68</x:v>
      </x:c>
      <x:c r="R114" s="16" t="str">
        <x:v>1.0</x:v>
      </x:c>
      <x:c r="S114" s="12" t="str">
        <x:v>0.2</x:v>
      </x:c>
      <x:c r="T114" s="12" t="str">
        <x:v>68</x:v>
      </x:c>
      <x:c r="U114" s="16" t="str">
        <x:v>1.0</x:v>
      </x:c>
      <x:c r="V114" s="18" t="str">
        <x:v>0.5925048589706421</x:v>
      </x:c>
      <x:c r="W114" s="18" t="str">
        <x:v>0.7257314562797547</x:v>
      </x:c>
      <x:c r="X114" s="18" t="str">
        <x:v>0.8020949363708496</x:v>
      </x:c>
      <x:c r="Y114" s="18" t="str">
        <x:v>0.8172996640205383</x:v>
      </x:c>
      <x:c r="Z114" s="18" t="str">
        <x:v>0.8747366666793823</x:v>
      </x:c>
      <x:c r="AA114" s="18" t="str">
        <x:v>0.9088189601898193</x:v>
      </x:c>
      <x:c r="AB114" s="20" t="str">
        <x:v>198.6142000023392</x:v>
      </x:c>
      <x:c r="AC114" s="12" t="str">
        <x:v>overlays\fear_013.png</x:v>
      </x:c>
      <x:c r="AD114" s="12" t="str"/>
      <x:c r="AE114" s="12" t="str"/>
      <x:c r="AF114" s="12" t="str">
        <x:v>acceptable</x:v>
      </x:c>
      <x:c r="AG114" s="12" t="n">
        <x:v>1</x:v>
      </x:c>
      <x:c r="AH114" s="12" t="str">
        <x:v>occluded</x:v>
      </x:c>
      <x:c r="AI114" s="12" t="str">
        <x:v>occluded</x:v>
      </x:c>
      <x:c r="AJ114" s="12" t="str">
        <x:v>acceptable</x:v>
      </x:c>
      <x:c r="AK114" s="12" t="str">
        <x:v>not_applicable</x:v>
      </x:c>
      <x:c r="AL114" s="12" t="str">
        <x:v>mild</x:v>
      </x:c>
      <x:c r="AM114" s="14" t="str">
        <x:v>Occlusion affects part of the face; visible landmarks remain usable, but hidden points are inferred.</x:v>
      </x:c>
    </x:row>
    <x:row r="115" ht="28" customHeight="1">
      <x:c r="A115" s="12" t="str">
        <x:v>fear_014</x:v>
      </x:c>
      <x:c r="B115" s="12" t="str">
        <x:v>fear</x:v>
      </x:c>
      <x:c r="C115" s="14" t="str">
        <x:v>fear/Training_59097049.jpg</x:v>
      </x:c>
      <x:c r="D115" s="12" t="str">
        <x:v>d1923a4c4c08a655bc00a2b6b898c593d86b9286dc7d282615c5a095aee287ef</x:v>
      </x:c>
      <x:c r="E115" s="12" t="str">
        <x:v>d1923a4c4c08a655bc00a2b6b898c593d86b9286dc7d282615c5a095aee287ef</x:v>
      </x:c>
      <x:c r="F115" s="12" t="str">
        <x:v>True</x:v>
      </x:c>
      <x:c r="G115" s="12" t="str">
        <x:v>48</x:v>
      </x:c>
      <x:c r="H115" s="12" t="str">
        <x:v>48</x:v>
      </x:c>
      <x:c r="I115" s="12" t="str">
        <x:v>0.0</x:v>
      </x:c>
      <x:c r="J115" s="12" t="str">
        <x:v>0.0</x:v>
      </x:c>
      <x:c r="K115" s="12" t="str">
        <x:v>47.0</x:v>
      </x:c>
      <x:c r="L115" s="12" t="str">
        <x:v>47.0</x:v>
      </x:c>
      <x:c r="M115" s="12" t="str">
        <x:v>True</x:v>
      </x:c>
      <x:c r="N115" s="12" t="str">
        <x:v>68</x:v>
      </x:c>
      <x:c r="O115" s="12" t="str">
        <x:v>68</x:v>
      </x:c>
      <x:c r="P115" s="16" t="str">
        <x:v>1.0</x:v>
      </x:c>
      <x:c r="Q115" s="12" t="str">
        <x:v>65</x:v>
      </x:c>
      <x:c r="R115" s="16" t="str">
        <x:v>0.9558823529411765</x:v>
      </x:c>
      <x:c r="S115" s="12" t="str">
        <x:v>0.2</x:v>
      </x:c>
      <x:c r="T115" s="12" t="str">
        <x:v>68</x:v>
      </x:c>
      <x:c r="U115" s="16" t="str">
        <x:v>1.0</x:v>
      </x:c>
      <x:c r="V115" s="18" t="str">
        <x:v>0.5731536746025085</x:v>
      </x:c>
      <x:c r="W115" s="18" t="str">
        <x:v>0.6842597186565399</x:v>
      </x:c>
      <x:c r="X115" s="18" t="str">
        <x:v>0.7765151262283325</x:v>
      </x:c>
      <x:c r="Y115" s="18" t="str">
        <x:v>0.7912806272506714</x:v>
      </x:c>
      <x:c r="Z115" s="18" t="str">
        <x:v>0.8458568513393403</x:v>
      </x:c>
      <x:c r="AA115" s="18" t="str">
        <x:v>0.871613085269928</x:v>
      </x:c>
      <x:c r="AB115" s="20" t="str">
        <x:v>167.48559999541612</x:v>
      </x:c>
      <x:c r="AC115" s="12" t="str">
        <x:v>overlays\fear_014.png</x:v>
      </x:c>
      <x:c r="AD115" s="12" t="str"/>
      <x:c r="AE115" s="12" t="str"/>
      <x:c r="AF115" s="12" t="str">
        <x:v>acceptable</x:v>
      </x:c>
      <x:c r="AG115" s="12" t="n">
        <x:v>1</x:v>
      </x:c>
      <x:c r="AH115" s="12" t="str">
        <x:v>acceptable</x:v>
      </x:c>
      <x:c r="AI115" s="12" t="str">
        <x:v>acceptable</x:v>
      </x:c>
      <x:c r="AJ115" s="12" t="str">
        <x:v>acceptable</x:v>
      </x:c>
      <x:c r="AK115" s="12" t="str">
        <x:v>not_applicable</x:v>
      </x:c>
      <x:c r="AL115" s="12" t="str">
        <x:v>mild</x:v>
      </x:c>
      <x:c r="AM115" s="14" t="str">
        <x:v>Large pose or profile; visible landmarks remain useful, while hidden-side and contour points are inferred.</x:v>
      </x:c>
    </x:row>
    <x:row r="116" ht="28" customHeight="1">
      <x:c r="A116" s="12" t="str">
        <x:v>fear_015</x:v>
      </x:c>
      <x:c r="B116" s="12" t="str">
        <x:v>fear</x:v>
      </x:c>
      <x:c r="C116" s="14" t="str">
        <x:v>fear/Training_22692248.jpg</x:v>
      </x:c>
      <x:c r="D116" s="12" t="str">
        <x:v>75316cd16b98afc54e5b94f5bbf7c0c18e11a32354897ee78a478b5f4bb8aa2c</x:v>
      </x:c>
      <x:c r="E116" s="12" t="str">
        <x:v>75316cd16b98afc54e5b94f5bbf7c0c18e11a32354897ee78a478b5f4bb8aa2c</x:v>
      </x:c>
      <x:c r="F116" s="12" t="str">
        <x:v>True</x:v>
      </x:c>
      <x:c r="G116" s="12" t="str">
        <x:v>48</x:v>
      </x:c>
      <x:c r="H116" s="12" t="str">
        <x:v>48</x:v>
      </x:c>
      <x:c r="I116" s="12" t="str">
        <x:v>0.0</x:v>
      </x:c>
      <x:c r="J116" s="12" t="str">
        <x:v>0.0</x:v>
      </x:c>
      <x:c r="K116" s="12" t="str">
        <x:v>47.0</x:v>
      </x:c>
      <x:c r="L116" s="12" t="str">
        <x:v>47.0</x:v>
      </x:c>
      <x:c r="M116" s="12" t="str">
        <x:v>True</x:v>
      </x:c>
      <x:c r="N116" s="12" t="str">
        <x:v>68</x:v>
      </x:c>
      <x:c r="O116" s="12" t="str">
        <x:v>68</x:v>
      </x:c>
      <x:c r="P116" s="16" t="str">
        <x:v>1.0</x:v>
      </x:c>
      <x:c r="Q116" s="12" t="str">
        <x:v>68</x:v>
      </x:c>
      <x:c r="R116" s="16" t="str">
        <x:v>1.0</x:v>
      </x:c>
      <x:c r="S116" s="12" t="str">
        <x:v>0.2</x:v>
      </x:c>
      <x:c r="T116" s="12" t="str">
        <x:v>68</x:v>
      </x:c>
      <x:c r="U116" s="16" t="str">
        <x:v>1.0</x:v>
      </x:c>
      <x:c r="V116" s="18" t="str">
        <x:v>0.6287551522254944</x:v>
      </x:c>
      <x:c r="W116" s="18" t="str">
        <x:v>0.698333340883255</x:v>
      </x:c>
      <x:c r="X116" s="18" t="str">
        <x:v>0.8161062002182007</x:v>
      </x:c>
      <x:c r="Y116" s="18" t="str">
        <x:v>0.8430670499801636</x:v>
      </x:c>
      <x:c r="Z116" s="18" t="str">
        <x:v>0.8863699197769165</x:v>
      </x:c>
      <x:c r="AA116" s="18" t="str">
        <x:v>0.9028154015541077</x:v>
      </x:c>
      <x:c r="AB116" s="20" t="str">
        <x:v>157.47389999887673</x:v>
      </x:c>
      <x:c r="AC116" s="12" t="str">
        <x:v>overlays\fear_015.png</x:v>
      </x:c>
      <x:c r="AD116" s="12" t="str"/>
      <x:c r="AE116" s="12" t="str"/>
      <x:c r="AF116" s="12" t="str">
        <x:v>good</x:v>
      </x:c>
      <x:c r="AG116" s="12" t="n">
        <x:v>1</x:v>
      </x:c>
      <x:c r="AH116" s="12" t="str">
        <x:v>good</x:v>
      </x:c>
      <x:c r="AI116" s="12" t="str">
        <x:v>good</x:v>
      </x:c>
      <x:c r="AJ116" s="12" t="str">
        <x:v>good</x:v>
      </x:c>
      <x:c r="AK116" s="12" t="str">
        <x:v>good</x:v>
      </x:c>
      <x:c r="AL116" s="12" t="str">
        <x:v>none</x:v>
      </x:c>
      <x:c r="AM116" s="14" t="str">
        <x:v>Clear and well-aligned facial landmarks with no major pose, crop, or occlusion issue.</x:v>
      </x:c>
    </x:row>
    <x:row r="117" ht="28" customHeight="1">
      <x:c r="A117" s="12" t="str">
        <x:v>fear_016</x:v>
      </x:c>
      <x:c r="B117" s="12" t="str">
        <x:v>fear</x:v>
      </x:c>
      <x:c r="C117" s="14" t="str">
        <x:v>fear/Training_48666964.jpg</x:v>
      </x:c>
      <x:c r="D117" s="12" t="str">
        <x:v>f75a84c5850b8e77d90530c339b4c5565a0cd9035e3f8ee54df9f52b5524f98f</x:v>
      </x:c>
      <x:c r="E117" s="12" t="str">
        <x:v>f75a84c5850b8e77d90530c339b4c5565a0cd9035e3f8ee54df9f52b5524f98f</x:v>
      </x:c>
      <x:c r="F117" s="12" t="str">
        <x:v>True</x:v>
      </x:c>
      <x:c r="G117" s="12" t="str">
        <x:v>48</x:v>
      </x:c>
      <x:c r="H117" s="12" t="str">
        <x:v>48</x:v>
      </x:c>
      <x:c r="I117" s="12" t="str">
        <x:v>0.0</x:v>
      </x:c>
      <x:c r="J117" s="12" t="str">
        <x:v>0.0</x:v>
      </x:c>
      <x:c r="K117" s="12" t="str">
        <x:v>47.0</x:v>
      </x:c>
      <x:c r="L117" s="12" t="str">
        <x:v>47.0</x:v>
      </x:c>
      <x:c r="M117" s="12" t="str">
        <x:v>True</x:v>
      </x:c>
      <x:c r="N117" s="12" t="str">
        <x:v>68</x:v>
      </x:c>
      <x:c r="O117" s="12" t="str">
        <x:v>68</x:v>
      </x:c>
      <x:c r="P117" s="16" t="str">
        <x:v>1.0</x:v>
      </x:c>
      <x:c r="Q117" s="12" t="str">
        <x:v>62</x:v>
      </x:c>
      <x:c r="R117" s="16" t="str">
        <x:v>0.9117647058823529</x:v>
      </x:c>
      <x:c r="S117" s="12" t="str">
        <x:v>0.2</x:v>
      </x:c>
      <x:c r="T117" s="12" t="str">
        <x:v>68</x:v>
      </x:c>
      <x:c r="U117" s="16" t="str">
        <x:v>1.0</x:v>
      </x:c>
      <x:c r="V117" s="18" t="str">
        <x:v>0.5813581943511963</x:v>
      </x:c>
      <x:c r="W117" s="18" t="str">
        <x:v>0.6689346075057984</x:v>
      </x:c>
      <x:c r="X117" s="18" t="str">
        <x:v>0.7900311946868896</x:v>
      </x:c>
      <x:c r="Y117" s="18" t="str">
        <x:v>0.8167766332626343</x:v>
      </x:c>
      <x:c r="Z117" s="18" t="str">
        <x:v>0.8634917676448822</x:v>
      </x:c>
      <x:c r="AA117" s="18" t="str">
        <x:v>0.8991711735725403</x:v>
      </x:c>
      <x:c r="AB117" s="20" t="str">
        <x:v>155.60040000127628</x:v>
      </x:c>
      <x:c r="AC117" s="12" t="str">
        <x:v>overlays\fear_016.png</x:v>
      </x:c>
      <x:c r="AD117" s="12" t="str"/>
      <x:c r="AE117" s="12" t="str"/>
      <x:c r="AF117" s="12" t="str">
        <x:v>acceptable</x:v>
      </x:c>
      <x:c r="AG117" s="12" t="n">
        <x:v>1</x:v>
      </x:c>
      <x:c r="AH117" s="12" t="str">
        <x:v>acceptable</x:v>
      </x:c>
      <x:c r="AI117" s="12" t="str">
        <x:v>acceptable</x:v>
      </x:c>
      <x:c r="AJ117" s="12" t="str">
        <x:v>acceptable</x:v>
      </x:c>
      <x:c r="AK117" s="12" t="str">
        <x:v>acceptable</x:v>
      </x:c>
      <x:c r="AL117" s="12" t="str">
        <x:v>mild</x:v>
      </x:c>
      <x:c r="AM117" s="14" t="str">
        <x:v>Moderate pose, crop, blur, or facial texture causes minor landmark uncertainty; the result remains usable.</x:v>
      </x:c>
    </x:row>
    <x:row r="118" ht="28" customHeight="1">
      <x:c r="A118" s="12" t="str">
        <x:v>fear_017</x:v>
      </x:c>
      <x:c r="B118" s="12" t="str">
        <x:v>fear</x:v>
      </x:c>
      <x:c r="C118" s="14" t="str">
        <x:v>fear/Training_67402580.jpg</x:v>
      </x:c>
      <x:c r="D118" s="12" t="str">
        <x:v>b04286ff69aab12dcd2942ed6c67ccd0db0b86f5a5ae2063c376bdf71b44b582</x:v>
      </x:c>
      <x:c r="E118" s="12" t="str">
        <x:v>b04286ff69aab12dcd2942ed6c67ccd0db0b86f5a5ae2063c376bdf71b44b582</x:v>
      </x:c>
      <x:c r="F118" s="12" t="str">
        <x:v>True</x:v>
      </x:c>
      <x:c r="G118" s="12" t="str">
        <x:v>48</x:v>
      </x:c>
      <x:c r="H118" s="12" t="str">
        <x:v>48</x:v>
      </x:c>
      <x:c r="I118" s="12" t="str">
        <x:v>0.0</x:v>
      </x:c>
      <x:c r="J118" s="12" t="str">
        <x:v>0.0</x:v>
      </x:c>
      <x:c r="K118" s="12" t="str">
        <x:v>47.0</x:v>
      </x:c>
      <x:c r="L118" s="12" t="str">
        <x:v>47.0</x:v>
      </x:c>
      <x:c r="M118" s="12" t="str">
        <x:v>True</x:v>
      </x:c>
      <x:c r="N118" s="12" t="str">
        <x:v>68</x:v>
      </x:c>
      <x:c r="O118" s="12" t="str">
        <x:v>68</x:v>
      </x:c>
      <x:c r="P118" s="16" t="str">
        <x:v>1.0</x:v>
      </x:c>
      <x:c r="Q118" s="12" t="str">
        <x:v>68</x:v>
      </x:c>
      <x:c r="R118" s="16" t="str">
        <x:v>1.0</x:v>
      </x:c>
      <x:c r="S118" s="12" t="str">
        <x:v>0.2</x:v>
      </x:c>
      <x:c r="T118" s="12" t="str">
        <x:v>68</x:v>
      </x:c>
      <x:c r="U118" s="16" t="str">
        <x:v>1.0</x:v>
      </x:c>
      <x:c r="V118" s="18" t="str">
        <x:v>0.7365210652351379</x:v>
      </x:c>
      <x:c r="W118" s="18" t="str">
        <x:v>0.797758948802948</x:v>
      </x:c>
      <x:c r="X118" s="18" t="str">
        <x:v>0.8366957306861877</x:v>
      </x:c>
      <x:c r="Y118" s="18" t="str">
        <x:v>0.8385547399520874</x:v>
      </x:c>
      <x:c r="Z118" s="18" t="str">
        <x:v>0.8713018298149109</x:v>
      </x:c>
      <x:c r="AA118" s="18" t="str">
        <x:v>0.925142228603363</x:v>
      </x:c>
      <x:c r="AB118" s="20" t="str">
        <x:v>209.66849999967963</x:v>
      </x:c>
      <x:c r="AC118" s="12" t="str">
        <x:v>overlays\fear_017.png</x:v>
      </x:c>
      <x:c r="AD118" s="12" t="str"/>
      <x:c r="AE118" s="12" t="str"/>
      <x:c r="AF118" s="12" t="str">
        <x:v>good</x:v>
      </x:c>
      <x:c r="AG118" s="12" t="n">
        <x:v>1</x:v>
      </x:c>
      <x:c r="AH118" s="12" t="str">
        <x:v>good</x:v>
      </x:c>
      <x:c r="AI118" s="12" t="str">
        <x:v>good</x:v>
      </x:c>
      <x:c r="AJ118" s="12" t="str">
        <x:v>good</x:v>
      </x:c>
      <x:c r="AK118" s="12" t="str">
        <x:v>not_applicable</x:v>
      </x:c>
      <x:c r="AL118" s="12" t="str">
        <x:v>none</x:v>
      </x:c>
      <x:c r="AM118" s="14" t="str">
        <x:v>Clear and well-aligned facial landmarks with no major pose, crop, or occlusion issue.</x:v>
      </x:c>
    </x:row>
    <x:row r="119" ht="28" customHeight="1">
      <x:c r="A119" s="12" t="str">
        <x:v>fear_018</x:v>
      </x:c>
      <x:c r="B119" s="12" t="str">
        <x:v>fear</x:v>
      </x:c>
      <x:c r="C119" s="14" t="str">
        <x:v>fear/Training_48844324.jpg</x:v>
      </x:c>
      <x:c r="D119" s="12" t="str">
        <x:v>fff53b2f9da17f50d0f2c6d46fdd1726c127083cc01f51ee531a19e89fa4aee1</x:v>
      </x:c>
      <x:c r="E119" s="12" t="str">
        <x:v>fff53b2f9da17f50d0f2c6d46fdd1726c127083cc01f51ee531a19e89fa4aee1</x:v>
      </x:c>
      <x:c r="F119" s="12" t="str">
        <x:v>True</x:v>
      </x:c>
      <x:c r="G119" s="12" t="str">
        <x:v>48</x:v>
      </x:c>
      <x:c r="H119" s="12" t="str">
        <x:v>48</x:v>
      </x:c>
      <x:c r="I119" s="12" t="str">
        <x:v>0.0</x:v>
      </x:c>
      <x:c r="J119" s="12" t="str">
        <x:v>0.0</x:v>
      </x:c>
      <x:c r="K119" s="12" t="str">
        <x:v>47.0</x:v>
      </x:c>
      <x:c r="L119" s="12" t="str">
        <x:v>47.0</x:v>
      </x:c>
      <x:c r="M119" s="12" t="str">
        <x:v>True</x:v>
      </x:c>
      <x:c r="N119" s="12" t="str">
        <x:v>68</x:v>
      </x:c>
      <x:c r="O119" s="12" t="str">
        <x:v>68</x:v>
      </x:c>
      <x:c r="P119" s="16" t="str">
        <x:v>1.0</x:v>
      </x:c>
      <x:c r="Q119" s="12" t="str">
        <x:v>68</x:v>
      </x:c>
      <x:c r="R119" s="16" t="str">
        <x:v>1.0</x:v>
      </x:c>
      <x:c r="S119" s="12" t="str">
        <x:v>0.2</x:v>
      </x:c>
      <x:c r="T119" s="12" t="str">
        <x:v>68</x:v>
      </x:c>
      <x:c r="U119" s="16" t="str">
        <x:v>1.0</x:v>
      </x:c>
      <x:c r="V119" s="18" t="str">
        <x:v>0.6221786737442017</x:v>
      </x:c>
      <x:c r="W119" s="18" t="str">
        <x:v>0.7085995614528656</x:v>
      </x:c>
      <x:c r="X119" s="18" t="str">
        <x:v>0.8209668397903442</x:v>
      </x:c>
      <x:c r="Y119" s="18" t="str">
        <x:v>0.8466019630432129</x:v>
      </x:c>
      <x:c r="Z119" s="18" t="str">
        <x:v>0.8811140418052673</x:v>
      </x:c>
      <x:c r="AA119" s="18" t="str">
        <x:v>0.9100552797317505</x:v>
      </x:c>
      <x:c r="AB119" s="20" t="str">
        <x:v>181.5788000021712</x:v>
      </x:c>
      <x:c r="AC119" s="12" t="str">
        <x:v>overlays\fear_018.png</x:v>
      </x:c>
      <x:c r="AD119" s="12" t="str"/>
      <x:c r="AE119" s="12" t="str"/>
      <x:c r="AF119" s="12" t="str">
        <x:v>good</x:v>
      </x:c>
      <x:c r="AG119" s="12" t="n">
        <x:v>1</x:v>
      </x:c>
      <x:c r="AH119" s="12" t="str">
        <x:v>good</x:v>
      </x:c>
      <x:c r="AI119" s="12" t="str">
        <x:v>good</x:v>
      </x:c>
      <x:c r="AJ119" s="12" t="str">
        <x:v>good</x:v>
      </x:c>
      <x:c r="AK119" s="12" t="str">
        <x:v>not_applicable</x:v>
      </x:c>
      <x:c r="AL119" s="12" t="str">
        <x:v>none</x:v>
      </x:c>
      <x:c r="AM119" s="14" t="str">
        <x:v>Clear and well-aligned facial landmarks with no major pose, crop, or occlusion issue.</x:v>
      </x:c>
    </x:row>
    <x:row r="120" ht="28" customHeight="1">
      <x:c r="A120" s="12" t="str">
        <x:v>fear_019</x:v>
      </x:c>
      <x:c r="B120" s="12" t="str">
        <x:v>fear</x:v>
      </x:c>
      <x:c r="C120" s="14" t="str">
        <x:v>fear/Training_9991342.jpg</x:v>
      </x:c>
      <x:c r="D120" s="12" t="str">
        <x:v>8adfd77e9bc0994f39a77341bf8f4b3a7423ac2c984215091fd2f0c957342388</x:v>
      </x:c>
      <x:c r="E120" s="12" t="str">
        <x:v>8adfd77e9bc0994f39a77341bf8f4b3a7423ac2c984215091fd2f0c957342388</x:v>
      </x:c>
      <x:c r="F120" s="12" t="str">
        <x:v>True</x:v>
      </x:c>
      <x:c r="G120" s="12" t="str">
        <x:v>48</x:v>
      </x:c>
      <x:c r="H120" s="12" t="str">
        <x:v>48</x:v>
      </x:c>
      <x:c r="I120" s="12" t="str">
        <x:v>0.0</x:v>
      </x:c>
      <x:c r="J120" s="12" t="str">
        <x:v>0.0</x:v>
      </x:c>
      <x:c r="K120" s="12" t="str">
        <x:v>47.0</x:v>
      </x:c>
      <x:c r="L120" s="12" t="str">
        <x:v>47.0</x:v>
      </x:c>
      <x:c r="M120" s="12" t="str">
        <x:v>True</x:v>
      </x:c>
      <x:c r="N120" s="12" t="str">
        <x:v>68</x:v>
      </x:c>
      <x:c r="O120" s="12" t="str">
        <x:v>68</x:v>
      </x:c>
      <x:c r="P120" s="16" t="str">
        <x:v>1.0</x:v>
      </x:c>
      <x:c r="Q120" s="12" t="str">
        <x:v>67</x:v>
      </x:c>
      <x:c r="R120" s="16" t="str">
        <x:v>0.9852941176470589</x:v>
      </x:c>
      <x:c r="S120" s="12" t="str">
        <x:v>0.2</x:v>
      </x:c>
      <x:c r="T120" s="12" t="str">
        <x:v>68</x:v>
      </x:c>
      <x:c r="U120" s="16" t="str">
        <x:v>1.0</x:v>
      </x:c>
      <x:c r="V120" s="18" t="str">
        <x:v>0.5704995393753052</x:v>
      </x:c>
      <x:c r="W120" s="18" t="str">
        <x:v>0.7286177158355713</x:v>
      </x:c>
      <x:c r="X120" s="18" t="str">
        <x:v>0.791200578212738</x:v>
      </x:c>
      <x:c r="Y120" s="18" t="str">
        <x:v>0.7999784350395203</x:v>
      </x:c>
      <x:c r="Z120" s="18" t="str">
        <x:v>0.854020893573761</x:v>
      </x:c>
      <x:c r="AA120" s="18" t="str">
        <x:v>0.879951536655426</x:v>
      </x:c>
      <x:c r="AB120" s="20" t="str">
        <x:v>205.89099999779137</x:v>
      </x:c>
      <x:c r="AC120" s="12" t="str">
        <x:v>overlays\fear_019.png</x:v>
      </x:c>
      <x:c r="AD120" s="12" t="str"/>
      <x:c r="AE120" s="12" t="str"/>
      <x:c r="AF120" s="12" t="str">
        <x:v>good</x:v>
      </x:c>
      <x:c r="AG120" s="12" t="n">
        <x:v>1</x:v>
      </x:c>
      <x:c r="AH120" s="12" t="str">
        <x:v>good</x:v>
      </x:c>
      <x:c r="AI120" s="12" t="str">
        <x:v>good</x:v>
      </x:c>
      <x:c r="AJ120" s="12" t="str">
        <x:v>good</x:v>
      </x:c>
      <x:c r="AK120" s="12" t="str">
        <x:v>not_applicable</x:v>
      </x:c>
      <x:c r="AL120" s="12" t="str">
        <x:v>none</x:v>
      </x:c>
      <x:c r="AM120" s="14" t="str">
        <x:v>Clear and well-aligned facial landmarks with no major pose, crop, or occlusion issue.</x:v>
      </x:c>
    </x:row>
    <x:row r="121" ht="28" customHeight="1">
      <x:c r="A121" s="12" t="str">
        <x:v>fear_020</x:v>
      </x:c>
      <x:c r="B121" s="12" t="str">
        <x:v>fear</x:v>
      </x:c>
      <x:c r="C121" s="14" t="str">
        <x:v>fear/Training_81891525.jpg</x:v>
      </x:c>
      <x:c r="D121" s="12" t="str">
        <x:v>ec05a6baaf8a19e8c484808712e48fb4ef14e15647bd5ab9b860b0df637fc40b</x:v>
      </x:c>
      <x:c r="E121" s="12" t="str">
        <x:v>ec05a6baaf8a19e8c484808712e48fb4ef14e15647bd5ab9b860b0df637fc40b</x:v>
      </x:c>
      <x:c r="F121" s="12" t="str">
        <x:v>True</x:v>
      </x:c>
      <x:c r="G121" s="12" t="str">
        <x:v>48</x:v>
      </x:c>
      <x:c r="H121" s="12" t="str">
        <x:v>48</x:v>
      </x:c>
      <x:c r="I121" s="12" t="str">
        <x:v>0.0</x:v>
      </x:c>
      <x:c r="J121" s="12" t="str">
        <x:v>0.0</x:v>
      </x:c>
      <x:c r="K121" s="12" t="str">
        <x:v>47.0</x:v>
      </x:c>
      <x:c r="L121" s="12" t="str">
        <x:v>47.0</x:v>
      </x:c>
      <x:c r="M121" s="12" t="str">
        <x:v>True</x:v>
      </x:c>
      <x:c r="N121" s="12" t="str">
        <x:v>68</x:v>
      </x:c>
      <x:c r="O121" s="12" t="str">
        <x:v>68</x:v>
      </x:c>
      <x:c r="P121" s="16" t="str">
        <x:v>1.0</x:v>
      </x:c>
      <x:c r="Q121" s="12" t="str">
        <x:v>68</x:v>
      </x:c>
      <x:c r="R121" s="16" t="str">
        <x:v>1.0</x:v>
      </x:c>
      <x:c r="S121" s="12" t="str">
        <x:v>0.2</x:v>
      </x:c>
      <x:c r="T121" s="12" t="str">
        <x:v>46</x:v>
      </x:c>
      <x:c r="U121" s="16" t="str">
        <x:v>0.6764705882352942</x:v>
      </x:c>
      <x:c r="V121" s="18" t="str">
        <x:v>0.04695324972271919</x:v>
      </x:c>
      <x:c r="W121" s="18" t="str">
        <x:v>0.1026873417198658</x:v>
      </x:c>
      <x:c r="X121" s="18" t="str">
        <x:v>0.308506041765213</x:v>
      </x:c>
      <x:c r="Y121" s="18" t="str">
        <x:v>0.3156014084815979</x:v>
      </x:c>
      <x:c r="Z121" s="18" t="str">
        <x:v>0.5036433100700379</x:v>
      </x:c>
      <x:c r="AA121" s="18" t="str">
        <x:v>0.6426299810409546</x:v>
      </x:c>
      <x:c r="AB121" s="20" t="str">
        <x:v>197.68160000239732</x:v>
      </x:c>
      <x:c r="AC121" s="12" t="str">
        <x:v>overlays\fear_020.png</x:v>
      </x:c>
      <x:c r="AD121" s="12" t="str"/>
      <x:c r="AE121" s="12" t="str"/>
      <x:c r="AF121" s="12" t="str">
        <x:v>wrong</x:v>
      </x:c>
      <x:c r="AG121" s="12" t="n">
        <x:v>0</x:v>
      </x:c>
      <x:c r="AH121" s="12" t="str">
        <x:v>occluded</x:v>
      </x:c>
      <x:c r="AI121" s="12" t="str">
        <x:v>wrong</x:v>
      </x:c>
      <x:c r="AJ121" s="12" t="str">
        <x:v>acceptable</x:v>
      </x:c>
      <x:c r="AK121" s="12" t="str">
        <x:v>not_applicable</x:v>
      </x:c>
      <x:c r="AL121" s="12" t="str">
        <x:v>severe</x:v>
      </x:c>
      <x:c r="AM121" s="14" t="str">
        <x:v>Hair and hand occlusion produce very low confidence and visibly unreliable eye, eyebrow, and contour landmarks.</x:v>
      </x:c>
    </x:row>
    <x:row r="122" ht="28" customHeight="1">
      <x:c r="A122" s="12" t="str">
        <x:v>fear_021</x:v>
      </x:c>
      <x:c r="B122" s="12" t="str">
        <x:v>fear</x:v>
      </x:c>
      <x:c r="C122" s="14" t="str">
        <x:v>fear/Training_93080889.jpg</x:v>
      </x:c>
      <x:c r="D122" s="12" t="str">
        <x:v>f0f94fc2b1e25e24d09752675127b9b0a6b62130665b8760498ebdc23810811d</x:v>
      </x:c>
      <x:c r="E122" s="12" t="str">
        <x:v>f0f94fc2b1e25e24d09752675127b9b0a6b62130665b8760498ebdc23810811d</x:v>
      </x:c>
      <x:c r="F122" s="12" t="str">
        <x:v>True</x:v>
      </x:c>
      <x:c r="G122" s="12" t="str">
        <x:v>48</x:v>
      </x:c>
      <x:c r="H122" s="12" t="str">
        <x:v>48</x:v>
      </x:c>
      <x:c r="I122" s="12" t="str">
        <x:v>0.0</x:v>
      </x:c>
      <x:c r="J122" s="12" t="str">
        <x:v>0.0</x:v>
      </x:c>
      <x:c r="K122" s="12" t="str">
        <x:v>47.0</x:v>
      </x:c>
      <x:c r="L122" s="12" t="str">
        <x:v>47.0</x:v>
      </x:c>
      <x:c r="M122" s="12" t="str">
        <x:v>True</x:v>
      </x:c>
      <x:c r="N122" s="12" t="str">
        <x:v>68</x:v>
      </x:c>
      <x:c r="O122" s="12" t="str">
        <x:v>68</x:v>
      </x:c>
      <x:c r="P122" s="16" t="str">
        <x:v>1.0</x:v>
      </x:c>
      <x:c r="Q122" s="12" t="str">
        <x:v>64</x:v>
      </x:c>
      <x:c r="R122" s="16" t="str">
        <x:v>0.9411764705882353</x:v>
      </x:c>
      <x:c r="S122" s="12" t="str">
        <x:v>0.2</x:v>
      </x:c>
      <x:c r="T122" s="12" t="str">
        <x:v>68</x:v>
      </x:c>
      <x:c r="U122" s="16" t="str">
        <x:v>1.0</x:v>
      </x:c>
      <x:c r="V122" s="18" t="str">
        <x:v>0.6813110113143921</x:v>
      </x:c>
      <x:c r="W122" s="18" t="str">
        <x:v>0.7845272064208985</x:v>
      </x:c>
      <x:c r="X122" s="18" t="str">
        <x:v>0.8388411998748779</x:v>
      </x:c>
      <x:c r="Y122" s="18" t="str">
        <x:v>0.8422950506210327</x:v>
      </x:c>
      <x:c r="Z122" s="18" t="str">
        <x:v>0.8902872025966644</x:v>
      </x:c>
      <x:c r="AA122" s="18" t="str">
        <x:v>0.9269050359725952</x:v>
      </x:c>
      <x:c r="AB122" s="20" t="str">
        <x:v>214.59760000288952</x:v>
      </x:c>
      <x:c r="AC122" s="12" t="str">
        <x:v>overlays\fear_021.png</x:v>
      </x:c>
      <x:c r="AD122" s="12" t="str"/>
      <x:c r="AE122" s="12" t="str"/>
      <x:c r="AF122" s="12" t="str">
        <x:v>acceptable</x:v>
      </x:c>
      <x:c r="AG122" s="12" t="n">
        <x:v>1</x:v>
      </x:c>
      <x:c r="AH122" s="12" t="str">
        <x:v>acceptable</x:v>
      </x:c>
      <x:c r="AI122" s="12" t="str">
        <x:v>acceptable</x:v>
      </x:c>
      <x:c r="AJ122" s="12" t="str">
        <x:v>acceptable</x:v>
      </x:c>
      <x:c r="AK122" s="12" t="str">
        <x:v>not_applicable</x:v>
      </x:c>
      <x:c r="AL122" s="12" t="str">
        <x:v>mild</x:v>
      </x:c>
      <x:c r="AM122" s="14" t="str">
        <x:v>Moderate pose, crop, blur, or facial texture causes minor landmark uncertainty; the result remains usable.</x:v>
      </x:c>
    </x:row>
    <x:row r="123" ht="28" customHeight="1">
      <x:c r="A123" s="12" t="str">
        <x:v>fear_022</x:v>
      </x:c>
      <x:c r="B123" s="12" t="str">
        <x:v>fear</x:v>
      </x:c>
      <x:c r="C123" s="14" t="str">
        <x:v>fear/Training_36150143.jpg</x:v>
      </x:c>
      <x:c r="D123" s="12" t="str">
        <x:v>802b5003856149e48572e33c907ae190b9eba4817dbdf981e18c0073caae7ec5</x:v>
      </x:c>
      <x:c r="E123" s="12" t="str">
        <x:v>802b5003856149e48572e33c907ae190b9eba4817dbdf981e18c0073caae7ec5</x:v>
      </x:c>
      <x:c r="F123" s="12" t="str">
        <x:v>True</x:v>
      </x:c>
      <x:c r="G123" s="12" t="str">
        <x:v>48</x:v>
      </x:c>
      <x:c r="H123" s="12" t="str">
        <x:v>48</x:v>
      </x:c>
      <x:c r="I123" s="12" t="str">
        <x:v>0.0</x:v>
      </x:c>
      <x:c r="J123" s="12" t="str">
        <x:v>0.0</x:v>
      </x:c>
      <x:c r="K123" s="12" t="str">
        <x:v>47.0</x:v>
      </x:c>
      <x:c r="L123" s="12" t="str">
        <x:v>47.0</x:v>
      </x:c>
      <x:c r="M123" s="12" t="str">
        <x:v>True</x:v>
      </x:c>
      <x:c r="N123" s="12" t="str">
        <x:v>68</x:v>
      </x:c>
      <x:c r="O123" s="12" t="str">
        <x:v>68</x:v>
      </x:c>
      <x:c r="P123" s="16" t="str">
        <x:v>1.0</x:v>
      </x:c>
      <x:c r="Q123" s="12" t="str">
        <x:v>67</x:v>
      </x:c>
      <x:c r="R123" s="16" t="str">
        <x:v>0.9852941176470589</x:v>
      </x:c>
      <x:c r="S123" s="12" t="str">
        <x:v>0.2</x:v>
      </x:c>
      <x:c r="T123" s="12" t="str">
        <x:v>68</x:v>
      </x:c>
      <x:c r="U123" s="16" t="str">
        <x:v>1.0</x:v>
      </x:c>
      <x:c r="V123" s="18" t="str">
        <x:v>0.6927347183227539</x:v>
      </x:c>
      <x:c r="W123" s="18" t="str">
        <x:v>0.7529701471328736</x:v>
      </x:c>
      <x:c r="X123" s="18" t="str">
        <x:v>0.8210116028785706</x:v>
      </x:c>
      <x:c r="Y123" s="18" t="str">
        <x:v>0.8354231119155884</x:v>
      </x:c>
      <x:c r="Z123" s="18" t="str">
        <x:v>0.8770950257778167</x:v>
      </x:c>
      <x:c r="AA123" s="18" t="str">
        <x:v>0.8899047374725342</x:v>
      </x:c>
      <x:c r="AB123" s="20" t="str">
        <x:v>157.44809999887366</x:v>
      </x:c>
      <x:c r="AC123" s="12" t="str">
        <x:v>overlays\fear_022.png</x:v>
      </x:c>
      <x:c r="AD123" s="12" t="str"/>
      <x:c r="AE123" s="12" t="str"/>
      <x:c r="AF123" s="12" t="str">
        <x:v>acceptable</x:v>
      </x:c>
      <x:c r="AG123" s="12" t="n">
        <x:v>1</x:v>
      </x:c>
      <x:c r="AH123" s="12" t="str">
        <x:v>acceptable</x:v>
      </x:c>
      <x:c r="AI123" s="12" t="str">
        <x:v>acceptable</x:v>
      </x:c>
      <x:c r="AJ123" s="12" t="str">
        <x:v>acceptable</x:v>
      </x:c>
      <x:c r="AK123" s="12" t="str">
        <x:v>not_applicable</x:v>
      </x:c>
      <x:c r="AL123" s="12" t="str">
        <x:v>mild</x:v>
      </x:c>
      <x:c r="AM123" s="14" t="str">
        <x:v>Moderate pose, crop, blur, or facial texture causes minor landmark uncertainty; the result remains usable.</x:v>
      </x:c>
    </x:row>
    <x:row r="124" ht="28" customHeight="1">
      <x:c r="A124" s="12" t="str">
        <x:v>fear_023</x:v>
      </x:c>
      <x:c r="B124" s="12" t="str">
        <x:v>fear</x:v>
      </x:c>
      <x:c r="C124" s="14" t="str">
        <x:v>fear/Training_58538616.jpg</x:v>
      </x:c>
      <x:c r="D124" s="12" t="str">
        <x:v>203dc7c0bf18109d094c535f91e2e99ddbcd33b6ed1db5f5083d6f0f492ea69b</x:v>
      </x:c>
      <x:c r="E124" s="12" t="str">
        <x:v>203dc7c0bf18109d094c535f91e2e99ddbcd33b6ed1db5f5083d6f0f492ea69b</x:v>
      </x:c>
      <x:c r="F124" s="12" t="str">
        <x:v>True</x:v>
      </x:c>
      <x:c r="G124" s="12" t="str">
        <x:v>48</x:v>
      </x:c>
      <x:c r="H124" s="12" t="str">
        <x:v>48</x:v>
      </x:c>
      <x:c r="I124" s="12" t="str">
        <x:v>0.0</x:v>
      </x:c>
      <x:c r="J124" s="12" t="str">
        <x:v>0.0</x:v>
      </x:c>
      <x:c r="K124" s="12" t="str">
        <x:v>47.0</x:v>
      </x:c>
      <x:c r="L124" s="12" t="str">
        <x:v>47.0</x:v>
      </x:c>
      <x:c r="M124" s="12" t="str">
        <x:v>True</x:v>
      </x:c>
      <x:c r="N124" s="12" t="str">
        <x:v>68</x:v>
      </x:c>
      <x:c r="O124" s="12" t="str">
        <x:v>68</x:v>
      </x:c>
      <x:c r="P124" s="16" t="str">
        <x:v>1.0</x:v>
      </x:c>
      <x:c r="Q124" s="12" t="str">
        <x:v>68</x:v>
      </x:c>
      <x:c r="R124" s="16" t="str">
        <x:v>1.0</x:v>
      </x:c>
      <x:c r="S124" s="12" t="str">
        <x:v>0.2</x:v>
      </x:c>
      <x:c r="T124" s="12" t="str">
        <x:v>68</x:v>
      </x:c>
      <x:c r="U124" s="16" t="str">
        <x:v>1.0</x:v>
      </x:c>
      <x:c r="V124" s="18" t="str">
        <x:v>0.7231087684631348</x:v>
      </x:c>
      <x:c r="W124" s="18" t="str">
        <x:v>0.7666156589984894</x:v>
      </x:c>
      <x:c r="X124" s="18" t="str">
        <x:v>0.832571804523468</x:v>
      </x:c>
      <x:c r="Y124" s="18" t="str">
        <x:v>0.8384706974029541</x:v>
      </x:c>
      <x:c r="Z124" s="18" t="str">
        <x:v>0.8917023599147796</x:v>
      </x:c>
      <x:c r="AA124" s="18" t="str">
        <x:v>0.9357494115829468</x:v>
      </x:c>
      <x:c r="AB124" s="20" t="str">
        <x:v>155.33339999819873</x:v>
      </x:c>
      <x:c r="AC124" s="12" t="str">
        <x:v>overlays\fear_023.png</x:v>
      </x:c>
      <x:c r="AD124" s="12" t="str"/>
      <x:c r="AE124" s="12" t="str"/>
      <x:c r="AF124" s="12" t="str">
        <x:v>good</x:v>
      </x:c>
      <x:c r="AG124" s="12" t="n">
        <x:v>1</x:v>
      </x:c>
      <x:c r="AH124" s="12" t="str">
        <x:v>good</x:v>
      </x:c>
      <x:c r="AI124" s="12" t="str">
        <x:v>good</x:v>
      </x:c>
      <x:c r="AJ124" s="12" t="str">
        <x:v>good</x:v>
      </x:c>
      <x:c r="AK124" s="12" t="str">
        <x:v>not_applicable</x:v>
      </x:c>
      <x:c r="AL124" s="12" t="str">
        <x:v>none</x:v>
      </x:c>
      <x:c r="AM124" s="14" t="str">
        <x:v>Clear and well-aligned facial landmarks with no major pose, crop, or occlusion issue.</x:v>
      </x:c>
    </x:row>
    <x:row r="125" ht="28" customHeight="1">
      <x:c r="A125" s="12" t="str">
        <x:v>fear_024</x:v>
      </x:c>
      <x:c r="B125" s="12" t="str">
        <x:v>fear</x:v>
      </x:c>
      <x:c r="C125" s="14" t="str">
        <x:v>fear/Training_35738272.jpg</x:v>
      </x:c>
      <x:c r="D125" s="12" t="str">
        <x:v>0b484f6cf051d19f54b1d05be12c484915ef3dd031a0168f04ce9bddf8c60a38</x:v>
      </x:c>
      <x:c r="E125" s="12" t="str">
        <x:v>0b484f6cf051d19f54b1d05be12c484915ef3dd031a0168f04ce9bddf8c60a38</x:v>
      </x:c>
      <x:c r="F125" s="12" t="str">
        <x:v>True</x:v>
      </x:c>
      <x:c r="G125" s="12" t="str">
        <x:v>48</x:v>
      </x:c>
      <x:c r="H125" s="12" t="str">
        <x:v>48</x:v>
      </x:c>
      <x:c r="I125" s="12" t="str">
        <x:v>0.0</x:v>
      </x:c>
      <x:c r="J125" s="12" t="str">
        <x:v>0.0</x:v>
      </x:c>
      <x:c r="K125" s="12" t="str">
        <x:v>47.0</x:v>
      </x:c>
      <x:c r="L125" s="12" t="str">
        <x:v>47.0</x:v>
      </x:c>
      <x:c r="M125" s="12" t="str">
        <x:v>True</x:v>
      </x:c>
      <x:c r="N125" s="12" t="str">
        <x:v>68</x:v>
      </x:c>
      <x:c r="O125" s="12" t="str">
        <x:v>68</x:v>
      </x:c>
      <x:c r="P125" s="16" t="str">
        <x:v>1.0</x:v>
      </x:c>
      <x:c r="Q125" s="12" t="str">
        <x:v>66</x:v>
      </x:c>
      <x:c r="R125" s="16" t="str">
        <x:v>0.9705882352941176</x:v>
      </x:c>
      <x:c r="S125" s="12" t="str">
        <x:v>0.2</x:v>
      </x:c>
      <x:c r="T125" s="12" t="str">
        <x:v>68</x:v>
      </x:c>
      <x:c r="U125" s="16" t="str">
        <x:v>1.0</x:v>
      </x:c>
      <x:c r="V125" s="18" t="str">
        <x:v>0.6420162320137024</x:v>
      </x:c>
      <x:c r="W125" s="18" t="str">
        <x:v>0.7012844562530518</x:v>
      </x:c>
      <x:c r="X125" s="18" t="str">
        <x:v>0.8113613724708557</x:v>
      </x:c>
      <x:c r="Y125" s="18" t="str">
        <x:v>0.8287553191184998</x:v>
      </x:c>
      <x:c r="Z125" s="18" t="str">
        <x:v>0.86889808177948</x:v>
      </x:c>
      <x:c r="AA125" s="18" t="str">
        <x:v>0.882226824760437</x:v>
      </x:c>
      <x:c r="AB125" s="20" t="str">
        <x:v>200.46169999841368</x:v>
      </x:c>
      <x:c r="AC125" s="12" t="str">
        <x:v>overlays\fear_024.png</x:v>
      </x:c>
      <x:c r="AD125" s="12" t="str"/>
      <x:c r="AE125" s="12" t="str"/>
      <x:c r="AF125" s="12" t="str">
        <x:v>good</x:v>
      </x:c>
      <x:c r="AG125" s="12" t="n">
        <x:v>1</x:v>
      </x:c>
      <x:c r="AH125" s="12" t="str">
        <x:v>good</x:v>
      </x:c>
      <x:c r="AI125" s="12" t="str">
        <x:v>good</x:v>
      </x:c>
      <x:c r="AJ125" s="12" t="str">
        <x:v>good</x:v>
      </x:c>
      <x:c r="AK125" s="12" t="str">
        <x:v>good</x:v>
      </x:c>
      <x:c r="AL125" s="12" t="str">
        <x:v>none</x:v>
      </x:c>
      <x:c r="AM125" s="14" t="str">
        <x:v>Clear and well-aligned facial landmarks with no major pose, crop, or occlusion issue.</x:v>
      </x:c>
    </x:row>
    <x:row r="126" ht="28" customHeight="1">
      <x:c r="A126" s="12" t="str">
        <x:v>fear_025</x:v>
      </x:c>
      <x:c r="B126" s="12" t="str">
        <x:v>fear</x:v>
      </x:c>
      <x:c r="C126" s="14" t="str">
        <x:v>fear/Training_55220603.jpg</x:v>
      </x:c>
      <x:c r="D126" s="12" t="str">
        <x:v>6995555f2c03b4d152f0353a195d7f43f6f85aee2c539df25cbb2cd005fe7606</x:v>
      </x:c>
      <x:c r="E126" s="12" t="str">
        <x:v>6995555f2c03b4d152f0353a195d7f43f6f85aee2c539df25cbb2cd005fe7606</x:v>
      </x:c>
      <x:c r="F126" s="12" t="str">
        <x:v>True</x:v>
      </x:c>
      <x:c r="G126" s="12" t="str">
        <x:v>48</x:v>
      </x:c>
      <x:c r="H126" s="12" t="str">
        <x:v>48</x:v>
      </x:c>
      <x:c r="I126" s="12" t="str">
        <x:v>0.0</x:v>
      </x:c>
      <x:c r="J126" s="12" t="str">
        <x:v>0.0</x:v>
      </x:c>
      <x:c r="K126" s="12" t="str">
        <x:v>47.0</x:v>
      </x:c>
      <x:c r="L126" s="12" t="str">
        <x:v>47.0</x:v>
      </x:c>
      <x:c r="M126" s="12" t="str">
        <x:v>True</x:v>
      </x:c>
      <x:c r="N126" s="12" t="str">
        <x:v>68</x:v>
      </x:c>
      <x:c r="O126" s="12" t="str">
        <x:v>68</x:v>
      </x:c>
      <x:c r="P126" s="16" t="str">
        <x:v>1.0</x:v>
      </x:c>
      <x:c r="Q126" s="12" t="str">
        <x:v>68</x:v>
      </x:c>
      <x:c r="R126" s="16" t="str">
        <x:v>1.0</x:v>
      </x:c>
      <x:c r="S126" s="12" t="str">
        <x:v>0.2</x:v>
      </x:c>
      <x:c r="T126" s="12" t="str">
        <x:v>68</x:v>
      </x:c>
      <x:c r="U126" s="16" t="str">
        <x:v>1.0</x:v>
      </x:c>
      <x:c r="V126" s="18" t="str">
        <x:v>0.6703031659126282</x:v>
      </x:c>
      <x:c r="W126" s="18" t="str">
        <x:v>0.7416452586650848</x:v>
      </x:c>
      <x:c r="X126" s="18" t="str">
        <x:v>0.8285806179046631</x:v>
      </x:c>
      <x:c r="Y126" s="18" t="str">
        <x:v>0.8382939100265503</x:v>
      </x:c>
      <x:c r="Z126" s="18" t="str">
        <x:v>0.8883601129055023</x:v>
      </x:c>
      <x:c r="AA126" s="18" t="str">
        <x:v>0.9163371324539185</x:v>
      </x:c>
      <x:c r="AB126" s="20" t="str">
        <x:v>160.00580000400078</x:v>
      </x:c>
      <x:c r="AC126" s="12" t="str">
        <x:v>overlays\fear_025.png</x:v>
      </x:c>
      <x:c r="AD126" s="12" t="str"/>
      <x:c r="AE126" s="12" t="str"/>
      <x:c r="AF126" s="12" t="str">
        <x:v>good</x:v>
      </x:c>
      <x:c r="AG126" s="12" t="n">
        <x:v>1</x:v>
      </x:c>
      <x:c r="AH126" s="12" t="str">
        <x:v>good</x:v>
      </x:c>
      <x:c r="AI126" s="12" t="str">
        <x:v>good</x:v>
      </x:c>
      <x:c r="AJ126" s="12" t="str">
        <x:v>good</x:v>
      </x:c>
      <x:c r="AK126" s="12" t="str">
        <x:v>not_applicable</x:v>
      </x:c>
      <x:c r="AL126" s="12" t="str">
        <x:v>none</x:v>
      </x:c>
      <x:c r="AM126" s="14" t="str">
        <x:v>Large pose or profile; visible landmarks remain useful, while hidden-side and contour points are inferred.</x:v>
      </x:c>
    </x:row>
    <x:row r="127" ht="28" customHeight="1">
      <x:c r="A127" s="12" t="str">
        <x:v>fear_026</x:v>
      </x:c>
      <x:c r="B127" s="12" t="str">
        <x:v>fear</x:v>
      </x:c>
      <x:c r="C127" s="14" t="str">
        <x:v>fear/Training_58288049.jpg</x:v>
      </x:c>
      <x:c r="D127" s="12" t="str">
        <x:v>ae61f17fbd9351b666d4d3afdc70b9710fd3d558f4ff6efb2618d9d147352ae5</x:v>
      </x:c>
      <x:c r="E127" s="12" t="str">
        <x:v>ae61f17fbd9351b666d4d3afdc70b9710fd3d558f4ff6efb2618d9d147352ae5</x:v>
      </x:c>
      <x:c r="F127" s="12" t="str">
        <x:v>True</x:v>
      </x:c>
      <x:c r="G127" s="12" t="str">
        <x:v>48</x:v>
      </x:c>
      <x:c r="H127" s="12" t="str">
        <x:v>48</x:v>
      </x:c>
      <x:c r="I127" s="12" t="str">
        <x:v>0.0</x:v>
      </x:c>
      <x:c r="J127" s="12" t="str">
        <x:v>0.0</x:v>
      </x:c>
      <x:c r="K127" s="12" t="str">
        <x:v>47.0</x:v>
      </x:c>
      <x:c r="L127" s="12" t="str">
        <x:v>47.0</x:v>
      </x:c>
      <x:c r="M127" s="12" t="str">
        <x:v>True</x:v>
      </x:c>
      <x:c r="N127" s="12" t="str">
        <x:v>68</x:v>
      </x:c>
      <x:c r="O127" s="12" t="str">
        <x:v>68</x:v>
      </x:c>
      <x:c r="P127" s="16" t="str">
        <x:v>1.0</x:v>
      </x:c>
      <x:c r="Q127" s="12" t="str">
        <x:v>67</x:v>
      </x:c>
      <x:c r="R127" s="16" t="str">
        <x:v>0.9852941176470589</x:v>
      </x:c>
      <x:c r="S127" s="12" t="str">
        <x:v>0.2</x:v>
      </x:c>
      <x:c r="T127" s="12" t="str">
        <x:v>65</x:v>
      </x:c>
      <x:c r="U127" s="16" t="str">
        <x:v>0.9558823529411765</x:v>
      </x:c>
      <x:c r="V127" s="18" t="str">
        <x:v>0.1450197398662567</x:v>
      </x:c>
      <x:c r="W127" s="18" t="str">
        <x:v>0.2594569593667984</x:v>
      </x:c>
      <x:c r="X127" s="18" t="str">
        <x:v>0.7050700187683105</x:v>
      </x:c>
      <x:c r="Y127" s="18" t="str">
        <x:v>0.7949457168579102</x:v>
      </x:c>
      <x:c r="Z127" s="18" t="str">
        <x:v>0.8570099711418152</x:v>
      </x:c>
      <x:c r="AA127" s="18" t="str">
        <x:v>0.8751782774925232</x:v>
      </x:c>
      <x:c r="AB127" s="20" t="str">
        <x:v>245.03459999687038</x:v>
      </x:c>
      <x:c r="AC127" s="12" t="str">
        <x:v>overlays\fear_026.png</x:v>
      </x:c>
      <x:c r="AD127" s="12" t="str"/>
      <x:c r="AE127" s="12" t="str"/>
      <x:c r="AF127" s="12" t="str">
        <x:v>acceptable</x:v>
      </x:c>
      <x:c r="AG127" s="12" t="n">
        <x:v>1</x:v>
      </x:c>
      <x:c r="AH127" s="12" t="str">
        <x:v>acceptable</x:v>
      </x:c>
      <x:c r="AI127" s="12" t="str">
        <x:v>acceptable</x:v>
      </x:c>
      <x:c r="AJ127" s="12" t="str">
        <x:v>acceptable</x:v>
      </x:c>
      <x:c r="AK127" s="12" t="str">
        <x:v>acceptable</x:v>
      </x:c>
      <x:c r="AL127" s="12" t="str">
        <x:v>mild</x:v>
      </x:c>
      <x:c r="AM127" s="14" t="str">
        <x:v>Large pose or profile; visible landmarks remain useful, while hidden-side and contour points are inferred.</x:v>
      </x:c>
    </x:row>
    <x:row r="128" ht="28" customHeight="1">
      <x:c r="A128" s="12" t="str">
        <x:v>fear_027</x:v>
      </x:c>
      <x:c r="B128" s="12" t="str">
        <x:v>fear</x:v>
      </x:c>
      <x:c r="C128" s="14" t="str">
        <x:v>fear/Training_87810830.jpg</x:v>
      </x:c>
      <x:c r="D128" s="12" t="str">
        <x:v>7ae1b4f9072c18fcddcb45a31ad33a57bae72e0a0cd41cd2880478ca725f6266</x:v>
      </x:c>
      <x:c r="E128" s="12" t="str">
        <x:v>7ae1b4f9072c18fcddcb45a31ad33a57bae72e0a0cd41cd2880478ca725f6266</x:v>
      </x:c>
      <x:c r="F128" s="12" t="str">
        <x:v>True</x:v>
      </x:c>
      <x:c r="G128" s="12" t="str">
        <x:v>48</x:v>
      </x:c>
      <x:c r="H128" s="12" t="str">
        <x:v>48</x:v>
      </x:c>
      <x:c r="I128" s="12" t="str">
        <x:v>0.0</x:v>
      </x:c>
      <x:c r="J128" s="12" t="str">
        <x:v>0.0</x:v>
      </x:c>
      <x:c r="K128" s="12" t="str">
        <x:v>47.0</x:v>
      </x:c>
      <x:c r="L128" s="12" t="str">
        <x:v>47.0</x:v>
      </x:c>
      <x:c r="M128" s="12" t="str">
        <x:v>True</x:v>
      </x:c>
      <x:c r="N128" s="12" t="str">
        <x:v>68</x:v>
      </x:c>
      <x:c r="O128" s="12" t="str">
        <x:v>68</x:v>
      </x:c>
      <x:c r="P128" s="16" t="str">
        <x:v>1.0</x:v>
      </x:c>
      <x:c r="Q128" s="12" t="str">
        <x:v>68</x:v>
      </x:c>
      <x:c r="R128" s="16" t="str">
        <x:v>1.0</x:v>
      </x:c>
      <x:c r="S128" s="12" t="str">
        <x:v>0.2</x:v>
      </x:c>
      <x:c r="T128" s="12" t="str">
        <x:v>68</x:v>
      </x:c>
      <x:c r="U128" s="16" t="str">
        <x:v>1.0</x:v>
      </x:c>
      <x:c r="V128" s="18" t="str">
        <x:v>0.5665685534477234</x:v>
      </x:c>
      <x:c r="W128" s="18" t="str">
        <x:v>0.6843315541744233</x:v>
      </x:c>
      <x:c r="X128" s="18" t="str">
        <x:v>0.7735706567764282</x:v>
      </x:c>
      <x:c r="Y128" s="18" t="str">
        <x:v>0.7901307344436646</x:v>
      </x:c>
      <x:c r="Z128" s="18" t="str">
        <x:v>0.8390747606754303</x:v>
      </x:c>
      <x:c r="AA128" s="18" t="str">
        <x:v>0.8551823496818542</x:v>
      </x:c>
      <x:c r="AB128" s="20" t="str">
        <x:v>159.64639999583596</x:v>
      </x:c>
      <x:c r="AC128" s="12" t="str">
        <x:v>overlays\fear_027.png</x:v>
      </x:c>
      <x:c r="AD128" s="12" t="str"/>
      <x:c r="AE128" s="12" t="str"/>
      <x:c r="AF128" s="12" t="str">
        <x:v>acceptable</x:v>
      </x:c>
      <x:c r="AG128" s="12" t="n">
        <x:v>1</x:v>
      </x:c>
      <x:c r="AH128" s="12" t="str">
        <x:v>acceptable</x:v>
      </x:c>
      <x:c r="AI128" s="12" t="str">
        <x:v>acceptable</x:v>
      </x:c>
      <x:c r="AJ128" s="12" t="str">
        <x:v>acceptable</x:v>
      </x:c>
      <x:c r="AK128" s="12" t="str">
        <x:v>not_applicable</x:v>
      </x:c>
      <x:c r="AL128" s="12" t="str">
        <x:v>mild</x:v>
      </x:c>
      <x:c r="AM128" s="14" t="str">
        <x:v>Moderate pose, crop, blur, or facial texture causes minor landmark uncertainty; the result remains usable.</x:v>
      </x:c>
    </x:row>
    <x:row r="129" ht="28" customHeight="1">
      <x:c r="A129" s="12" t="str">
        <x:v>fear_028</x:v>
      </x:c>
      <x:c r="B129" s="12" t="str">
        <x:v>fear</x:v>
      </x:c>
      <x:c r="C129" s="14" t="str">
        <x:v>fear/Training_82666560.jpg</x:v>
      </x:c>
      <x:c r="D129" s="12" t="str">
        <x:v>1ae1e3766fae7491b2f47d312fa6ce554cd464ec948557d6924074df3d3b83b1</x:v>
      </x:c>
      <x:c r="E129" s="12" t="str">
        <x:v>1ae1e3766fae7491b2f47d312fa6ce554cd464ec948557d6924074df3d3b83b1</x:v>
      </x:c>
      <x:c r="F129" s="12" t="str">
        <x:v>True</x:v>
      </x:c>
      <x:c r="G129" s="12" t="str">
        <x:v>48</x:v>
      </x:c>
      <x:c r="H129" s="12" t="str">
        <x:v>48</x:v>
      </x:c>
      <x:c r="I129" s="12" t="str">
        <x:v>0.0</x:v>
      </x:c>
      <x:c r="J129" s="12" t="str">
        <x:v>0.0</x:v>
      </x:c>
      <x:c r="K129" s="12" t="str">
        <x:v>47.0</x:v>
      </x:c>
      <x:c r="L129" s="12" t="str">
        <x:v>47.0</x:v>
      </x:c>
      <x:c r="M129" s="12" t="str">
        <x:v>True</x:v>
      </x:c>
      <x:c r="N129" s="12" t="str">
        <x:v>68</x:v>
      </x:c>
      <x:c r="O129" s="12" t="str">
        <x:v>68</x:v>
      </x:c>
      <x:c r="P129" s="16" t="str">
        <x:v>1.0</x:v>
      </x:c>
      <x:c r="Q129" s="12" t="str">
        <x:v>68</x:v>
      </x:c>
      <x:c r="R129" s="16" t="str">
        <x:v>1.0</x:v>
      </x:c>
      <x:c r="S129" s="12" t="str">
        <x:v>0.2</x:v>
      </x:c>
      <x:c r="T129" s="12" t="str">
        <x:v>68</x:v>
      </x:c>
      <x:c r="U129" s="16" t="str">
        <x:v>1.0</x:v>
      </x:c>
      <x:c r="V129" s="18" t="str">
        <x:v>0.3065054416656494</x:v>
      </x:c>
      <x:c r="W129" s="18" t="str">
        <x:v>0.6283216416835785</x:v>
      </x:c>
      <x:c r="X129" s="18" t="str">
        <x:v>0.7591509819030762</x:v>
      </x:c>
      <x:c r="Y129" s="18" t="str">
        <x:v>0.7925312519073486</x:v>
      </x:c>
      <x:c r="Z129" s="18" t="str">
        <x:v>0.8641016066074372</x:v>
      </x:c>
      <x:c r="AA129" s="18" t="str">
        <x:v>0.9452579021453857</x:v>
      </x:c>
      <x:c r="AB129" s="20" t="str">
        <x:v>175.65079999621958</x:v>
      </x:c>
      <x:c r="AC129" s="12" t="str">
        <x:v>overlays\fear_028.png</x:v>
      </x:c>
      <x:c r="AD129" s="12" t="str"/>
      <x:c r="AE129" s="12" t="str"/>
      <x:c r="AF129" s="12" t="str">
        <x:v>acceptable</x:v>
      </x:c>
      <x:c r="AG129" s="12" t="n">
        <x:v>1</x:v>
      </x:c>
      <x:c r="AH129" s="12" t="str">
        <x:v>acceptable</x:v>
      </x:c>
      <x:c r="AI129" s="12" t="str">
        <x:v>acceptable</x:v>
      </x:c>
      <x:c r="AJ129" s="12" t="str">
        <x:v>acceptable</x:v>
      </x:c>
      <x:c r="AK129" s="12" t="str">
        <x:v>not_applicable</x:v>
      </x:c>
      <x:c r="AL129" s="12" t="str">
        <x:v>mild</x:v>
      </x:c>
      <x:c r="AM129" s="14" t="str">
        <x:v>Moderate pose, crop, blur, or facial texture causes minor landmark uncertainty; the result remains usable.</x:v>
      </x:c>
    </x:row>
    <x:row r="130" ht="28" customHeight="1">
      <x:c r="A130" s="12" t="str">
        <x:v>fear_029</x:v>
      </x:c>
      <x:c r="B130" s="12" t="str">
        <x:v>fear</x:v>
      </x:c>
      <x:c r="C130" s="14" t="str">
        <x:v>fear/Training_75623992.jpg</x:v>
      </x:c>
      <x:c r="D130" s="12" t="str">
        <x:v>c7446748c7f200a6fe225e45d6579b1908394268de5749ebd038cde87c73afc8</x:v>
      </x:c>
      <x:c r="E130" s="12" t="str">
        <x:v>c7446748c7f200a6fe225e45d6579b1908394268de5749ebd038cde87c73afc8</x:v>
      </x:c>
      <x:c r="F130" s="12" t="str">
        <x:v>True</x:v>
      </x:c>
      <x:c r="G130" s="12" t="str">
        <x:v>48</x:v>
      </x:c>
      <x:c r="H130" s="12" t="str">
        <x:v>48</x:v>
      </x:c>
      <x:c r="I130" s="12" t="str">
        <x:v>0.0</x:v>
      </x:c>
      <x:c r="J130" s="12" t="str">
        <x:v>0.0</x:v>
      </x:c>
      <x:c r="K130" s="12" t="str">
        <x:v>47.0</x:v>
      </x:c>
      <x:c r="L130" s="12" t="str">
        <x:v>47.0</x:v>
      </x:c>
      <x:c r="M130" s="12" t="str">
        <x:v>True</x:v>
      </x:c>
      <x:c r="N130" s="12" t="str">
        <x:v>68</x:v>
      </x:c>
      <x:c r="O130" s="12" t="str">
        <x:v>68</x:v>
      </x:c>
      <x:c r="P130" s="16" t="str">
        <x:v>1.0</x:v>
      </x:c>
      <x:c r="Q130" s="12" t="str">
        <x:v>65</x:v>
      </x:c>
      <x:c r="R130" s="16" t="str">
        <x:v>0.9558823529411765</x:v>
      </x:c>
      <x:c r="S130" s="12" t="str">
        <x:v>0.2</x:v>
      </x:c>
      <x:c r="T130" s="12" t="str">
        <x:v>68</x:v>
      </x:c>
      <x:c r="U130" s="16" t="str">
        <x:v>1.0</x:v>
      </x:c>
      <x:c r="V130" s="18" t="str">
        <x:v>0.5247355699539185</x:v>
      </x:c>
      <x:c r="W130" s="18" t="str">
        <x:v>0.630709993839264</x:v>
      </x:c>
      <x:c r="X130" s="18" t="str">
        <x:v>0.7534369826316833</x:v>
      </x:c>
      <x:c r="Y130" s="18" t="str">
        <x:v>0.7747474908828735</x:v>
      </x:c>
      <x:c r="Z130" s="18" t="str">
        <x:v>0.8473298490047455</x:v>
      </x:c>
      <x:c r="AA130" s="18" t="str">
        <x:v>0.8738594055175781</x:v>
      </x:c>
      <x:c r="AB130" s="20" t="str">
        <x:v>159.57009999692673</x:v>
      </x:c>
      <x:c r="AC130" s="12" t="str">
        <x:v>overlays\fear_029.png</x:v>
      </x:c>
      <x:c r="AD130" s="12" t="str"/>
      <x:c r="AE130" s="12" t="str"/>
      <x:c r="AF130" s="12" t="str">
        <x:v>acceptable</x:v>
      </x:c>
      <x:c r="AG130" s="12" t="n">
        <x:v>1</x:v>
      </x:c>
      <x:c r="AH130" s="12" t="str">
        <x:v>acceptable</x:v>
      </x:c>
      <x:c r="AI130" s="12" t="str">
        <x:v>acceptable</x:v>
      </x:c>
      <x:c r="AJ130" s="12" t="str">
        <x:v>occluded</x:v>
      </x:c>
      <x:c r="AK130" s="12" t="str">
        <x:v>acceptable</x:v>
      </x:c>
      <x:c r="AL130" s="12" t="str">
        <x:v>mild</x:v>
      </x:c>
      <x:c r="AM130" s="14" t="str">
        <x:v>Occlusion affects part of the face; visible landmarks remain usable, but hidden points are inferred.</x:v>
      </x:c>
    </x:row>
    <x:row r="131" ht="28" customHeight="1">
      <x:c r="A131" s="12" t="str">
        <x:v>fear_030</x:v>
      </x:c>
      <x:c r="B131" s="12" t="str">
        <x:v>fear</x:v>
      </x:c>
      <x:c r="C131" s="14" t="str">
        <x:v>fear/Training_49932989.jpg</x:v>
      </x:c>
      <x:c r="D131" s="12" t="str">
        <x:v>439a02c55eea88f8a03f7d4fac15e15840e98a684b65a2b31da7e3dfa0ba5a19</x:v>
      </x:c>
      <x:c r="E131" s="12" t="str">
        <x:v>439a02c55eea88f8a03f7d4fac15e15840e98a684b65a2b31da7e3dfa0ba5a19</x:v>
      </x:c>
      <x:c r="F131" s="12" t="str">
        <x:v>True</x:v>
      </x:c>
      <x:c r="G131" s="12" t="str">
        <x:v>48</x:v>
      </x:c>
      <x:c r="H131" s="12" t="str">
        <x:v>48</x:v>
      </x:c>
      <x:c r="I131" s="12" t="str">
        <x:v>0.0</x:v>
      </x:c>
      <x:c r="J131" s="12" t="str">
        <x:v>0.0</x:v>
      </x:c>
      <x:c r="K131" s="12" t="str">
        <x:v>47.0</x:v>
      </x:c>
      <x:c r="L131" s="12" t="str">
        <x:v>47.0</x:v>
      </x:c>
      <x:c r="M131" s="12" t="str">
        <x:v>True</x:v>
      </x:c>
      <x:c r="N131" s="12" t="str">
        <x:v>68</x:v>
      </x:c>
      <x:c r="O131" s="12" t="str">
        <x:v>68</x:v>
      </x:c>
      <x:c r="P131" s="16" t="str">
        <x:v>1.0</x:v>
      </x:c>
      <x:c r="Q131" s="12" t="str">
        <x:v>68</x:v>
      </x:c>
      <x:c r="R131" s="16" t="str">
        <x:v>1.0</x:v>
      </x:c>
      <x:c r="S131" s="12" t="str">
        <x:v>0.2</x:v>
      </x:c>
      <x:c r="T131" s="12" t="str">
        <x:v>68</x:v>
      </x:c>
      <x:c r="U131" s="16" t="str">
        <x:v>1.0</x:v>
      </x:c>
      <x:c r="V131" s="18" t="str">
        <x:v>0.5992076396942139</x:v>
      </x:c>
      <x:c r="W131" s="18" t="str">
        <x:v>0.6529821455478668</x:v>
      </x:c>
      <x:c r="X131" s="18" t="str">
        <x:v>0.7564063668251038</x:v>
      </x:c>
      <x:c r="Y131" s="18" t="str">
        <x:v>0.7740328311920166</x:v>
      </x:c>
      <x:c r="Z131" s="18" t="str">
        <x:v>0.8196249842643738</x:v>
      </x:c>
      <x:c r="AA131" s="18" t="str">
        <x:v>0.8502777814865112</x:v>
      </x:c>
      <x:c r="AB131" s="20" t="str">
        <x:v>157.4668000030215</x:v>
      </x:c>
      <x:c r="AC131" s="12" t="str">
        <x:v>overlays\fear_030.png</x:v>
      </x:c>
      <x:c r="AD131" s="12" t="str"/>
      <x:c r="AE131" s="12" t="str"/>
      <x:c r="AF131" s="12" t="str">
        <x:v>acceptable</x:v>
      </x:c>
      <x:c r="AG131" s="12" t="n">
        <x:v>1</x:v>
      </x:c>
      <x:c r="AH131" s="12" t="str">
        <x:v>acceptable</x:v>
      </x:c>
      <x:c r="AI131" s="12" t="str">
        <x:v>acceptable</x:v>
      </x:c>
      <x:c r="AJ131" s="12" t="str">
        <x:v>acceptable</x:v>
      </x:c>
      <x:c r="AK131" s="12" t="str">
        <x:v>acceptable</x:v>
      </x:c>
      <x:c r="AL131" s="12" t="str">
        <x:v>mild</x:v>
      </x:c>
      <x:c r="AM131" s="14" t="str">
        <x:v>Large pose or profile; visible landmarks remain useful, while hidden-side and contour points are inferred.</x:v>
      </x:c>
    </x:row>
    <x:row r="132" ht="28" customHeight="1">
      <x:c r="A132" s="12" t="str">
        <x:v>fear_031</x:v>
      </x:c>
      <x:c r="B132" s="12" t="str">
        <x:v>fear</x:v>
      </x:c>
      <x:c r="C132" s="14" t="str">
        <x:v>fear/Training_35629553.jpg</x:v>
      </x:c>
      <x:c r="D132" s="12" t="str">
        <x:v>41f63800608efa9f955e1c80a6582cdb5031866816945a9758fbb3b71fb7405b</x:v>
      </x:c>
      <x:c r="E132" s="12" t="str">
        <x:v>41f63800608efa9f955e1c80a6582cdb5031866816945a9758fbb3b71fb7405b</x:v>
      </x:c>
      <x:c r="F132" s="12" t="str">
        <x:v>True</x:v>
      </x:c>
      <x:c r="G132" s="12" t="str">
        <x:v>48</x:v>
      </x:c>
      <x:c r="H132" s="12" t="str">
        <x:v>48</x:v>
      </x:c>
      <x:c r="I132" s="12" t="str">
        <x:v>0.0</x:v>
      </x:c>
      <x:c r="J132" s="12" t="str">
        <x:v>0.0</x:v>
      </x:c>
      <x:c r="K132" s="12" t="str">
        <x:v>47.0</x:v>
      </x:c>
      <x:c r="L132" s="12" t="str">
        <x:v>47.0</x:v>
      </x:c>
      <x:c r="M132" s="12" t="str">
        <x:v>True</x:v>
      </x:c>
      <x:c r="N132" s="12" t="str">
        <x:v>68</x:v>
      </x:c>
      <x:c r="O132" s="12" t="str">
        <x:v>68</x:v>
      </x:c>
      <x:c r="P132" s="16" t="str">
        <x:v>1.0</x:v>
      </x:c>
      <x:c r="Q132" s="12" t="str">
        <x:v>68</x:v>
      </x:c>
      <x:c r="R132" s="16" t="str">
        <x:v>1.0</x:v>
      </x:c>
      <x:c r="S132" s="12" t="str">
        <x:v>0.2</x:v>
      </x:c>
      <x:c r="T132" s="12" t="str">
        <x:v>68</x:v>
      </x:c>
      <x:c r="U132" s="16" t="str">
        <x:v>1.0</x:v>
      </x:c>
      <x:c r="V132" s="18" t="str">
        <x:v>0.7381793856620789</x:v>
      </x:c>
      <x:c r="W132" s="18" t="str">
        <x:v>0.7868305563926696</x:v>
      </x:c>
      <x:c r="X132" s="18" t="str">
        <x:v>0.8323343992233276</x:v>
      </x:c>
      <x:c r="Y132" s="18" t="str">
        <x:v>0.834119439125061</x:v>
      </x:c>
      <x:c r="Z132" s="18" t="str">
        <x:v>0.8718091428279877</x:v>
      </x:c>
      <x:c r="AA132" s="18" t="str">
        <x:v>0.9105072021484375</x:v>
      </x:c>
      <x:c r="AB132" s="20" t="str">
        <x:v>170.6045000028098</x:v>
      </x:c>
      <x:c r="AC132" s="12" t="str">
        <x:v>overlays\fear_031.png</x:v>
      </x:c>
      <x:c r="AD132" s="12" t="str"/>
      <x:c r="AE132" s="12" t="str"/>
      <x:c r="AF132" s="12" t="str">
        <x:v>acceptable</x:v>
      </x:c>
      <x:c r="AG132" s="12" t="n">
        <x:v>1</x:v>
      </x:c>
      <x:c r="AH132" s="12" t="str">
        <x:v>acceptable</x:v>
      </x:c>
      <x:c r="AI132" s="12" t="str">
        <x:v>acceptable</x:v>
      </x:c>
      <x:c r="AJ132" s="12" t="str">
        <x:v>acceptable</x:v>
      </x:c>
      <x:c r="AK132" s="12" t="str">
        <x:v>not_applicable</x:v>
      </x:c>
      <x:c r="AL132" s="12" t="str">
        <x:v>mild</x:v>
      </x:c>
      <x:c r="AM132" s="14" t="str">
        <x:v>Moderate pose, crop, blur, or facial texture causes minor landmark uncertainty; the result remains usable.</x:v>
      </x:c>
    </x:row>
    <x:row r="133" ht="28" customHeight="1">
      <x:c r="A133" s="12" t="str">
        <x:v>fear_032</x:v>
      </x:c>
      <x:c r="B133" s="12" t="str">
        <x:v>fear</x:v>
      </x:c>
      <x:c r="C133" s="14" t="str">
        <x:v>fear/Training_99049934.jpg</x:v>
      </x:c>
      <x:c r="D133" s="12" t="str">
        <x:v>21f9cd49e4629588610ff55254f59feeac0f052767977b9227e56fa07d65dc53</x:v>
      </x:c>
      <x:c r="E133" s="12" t="str">
        <x:v>21f9cd49e4629588610ff55254f59feeac0f052767977b9227e56fa07d65dc53</x:v>
      </x:c>
      <x:c r="F133" s="12" t="str">
        <x:v>True</x:v>
      </x:c>
      <x:c r="G133" s="12" t="str">
        <x:v>48</x:v>
      </x:c>
      <x:c r="H133" s="12" t="str">
        <x:v>48</x:v>
      </x:c>
      <x:c r="I133" s="12" t="str">
        <x:v>0.0</x:v>
      </x:c>
      <x:c r="J133" s="12" t="str">
        <x:v>0.0</x:v>
      </x:c>
      <x:c r="K133" s="12" t="str">
        <x:v>47.0</x:v>
      </x:c>
      <x:c r="L133" s="12" t="str">
        <x:v>47.0</x:v>
      </x:c>
      <x:c r="M133" s="12" t="str">
        <x:v>True</x:v>
      </x:c>
      <x:c r="N133" s="12" t="str">
        <x:v>68</x:v>
      </x:c>
      <x:c r="O133" s="12" t="str">
        <x:v>68</x:v>
      </x:c>
      <x:c r="P133" s="16" t="str">
        <x:v>1.0</x:v>
      </x:c>
      <x:c r="Q133" s="12" t="str">
        <x:v>68</x:v>
      </x:c>
      <x:c r="R133" s="16" t="str">
        <x:v>1.0</x:v>
      </x:c>
      <x:c r="S133" s="12" t="str">
        <x:v>0.2</x:v>
      </x:c>
      <x:c r="T133" s="12" t="str">
        <x:v>64</x:v>
      </x:c>
      <x:c r="U133" s="16" t="str">
        <x:v>0.9411764705882353</x:v>
      </x:c>
      <x:c r="V133" s="18" t="str">
        <x:v>0.03399521857500076</x:v>
      </x:c>
      <x:c r="W133" s="18" t="str">
        <x:v>0.33318130373954774</x:v>
      </x:c>
      <x:c r="X133" s="18" t="str">
        <x:v>0.6726269721984863</x:v>
      </x:c>
      <x:c r="Y133" s="18" t="str">
        <x:v>0.7624186277389526</x:v>
      </x:c>
      <x:c r="Z133" s="18" t="str">
        <x:v>0.8434160113334656</x:v>
      </x:c>
      <x:c r="AA133" s="18" t="str">
        <x:v>0.872534453868866</x:v>
      </x:c>
      <x:c r="AB133" s="20" t="str">
        <x:v>179.83100000128616</x:v>
      </x:c>
      <x:c r="AC133" s="12" t="str">
        <x:v>overlays\fear_032.png</x:v>
      </x:c>
      <x:c r="AD133" s="12" t="str"/>
      <x:c r="AE133" s="12" t="str"/>
      <x:c r="AF133" s="12" t="str">
        <x:v>acceptable</x:v>
      </x:c>
      <x:c r="AG133" s="12" t="n">
        <x:v>1</x:v>
      </x:c>
      <x:c r="AH133" s="12" t="str">
        <x:v>acceptable</x:v>
      </x:c>
      <x:c r="AI133" s="12" t="str">
        <x:v>acceptable</x:v>
      </x:c>
      <x:c r="AJ133" s="12" t="str">
        <x:v>acceptable</x:v>
      </x:c>
      <x:c r="AK133" s="12" t="str">
        <x:v>not_applicable</x:v>
      </x:c>
      <x:c r="AL133" s="12" t="str">
        <x:v>mild</x:v>
      </x:c>
      <x:c r="AM133" s="14" t="str">
        <x:v>Moderate pose, crop, blur, or facial texture causes minor landmark uncertainty; the result remains usable.</x:v>
      </x:c>
    </x:row>
    <x:row r="134" ht="28" customHeight="1">
      <x:c r="A134" s="12" t="str">
        <x:v>fear_033</x:v>
      </x:c>
      <x:c r="B134" s="12" t="str">
        <x:v>fear</x:v>
      </x:c>
      <x:c r="C134" s="14" t="str">
        <x:v>fear/Training_2717064.jpg</x:v>
      </x:c>
      <x:c r="D134" s="12" t="str">
        <x:v>e0a94f7e9130d25e977dca46898cbc0f9c8ea82db357ad09987c2b9e8ee1c16c</x:v>
      </x:c>
      <x:c r="E134" s="12" t="str">
        <x:v>e0a94f7e9130d25e977dca46898cbc0f9c8ea82db357ad09987c2b9e8ee1c16c</x:v>
      </x:c>
      <x:c r="F134" s="12" t="str">
        <x:v>True</x:v>
      </x:c>
      <x:c r="G134" s="12" t="str">
        <x:v>48</x:v>
      </x:c>
      <x:c r="H134" s="12" t="str">
        <x:v>48</x:v>
      </x:c>
      <x:c r="I134" s="12" t="str">
        <x:v>0.0</x:v>
      </x:c>
      <x:c r="J134" s="12" t="str">
        <x:v>0.0</x:v>
      </x:c>
      <x:c r="K134" s="12" t="str">
        <x:v>47.0</x:v>
      </x:c>
      <x:c r="L134" s="12" t="str">
        <x:v>47.0</x:v>
      </x:c>
      <x:c r="M134" s="12" t="str">
        <x:v>True</x:v>
      </x:c>
      <x:c r="N134" s="12" t="str">
        <x:v>68</x:v>
      </x:c>
      <x:c r="O134" s="12" t="str">
        <x:v>68</x:v>
      </x:c>
      <x:c r="P134" s="16" t="str">
        <x:v>1.0</x:v>
      </x:c>
      <x:c r="Q134" s="12" t="str">
        <x:v>68</x:v>
      </x:c>
      <x:c r="R134" s="16" t="str">
        <x:v>1.0</x:v>
      </x:c>
      <x:c r="S134" s="12" t="str">
        <x:v>0.2</x:v>
      </x:c>
      <x:c r="T134" s="12" t="str">
        <x:v>68</x:v>
      </x:c>
      <x:c r="U134" s="16" t="str">
        <x:v>1.0</x:v>
      </x:c>
      <x:c r="V134" s="18" t="str">
        <x:v>0.30427008867263794</x:v>
      </x:c>
      <x:c r="W134" s="18" t="str">
        <x:v>0.6445223867893219</x:v>
      </x:c>
      <x:c r="X134" s="18" t="str">
        <x:v>0.7694814801216125</x:v>
      </x:c>
      <x:c r="Y134" s="18" t="str">
        <x:v>0.8174409866333008</x:v>
      </x:c>
      <x:c r="Z134" s="18" t="str">
        <x:v>0.8669136524200439</x:v>
      </x:c>
      <x:c r="AA134" s="18" t="str">
        <x:v>0.9347471594810486</x:v>
      </x:c>
      <x:c r="AB134" s="20" t="str">
        <x:v>176.11400000168942</x:v>
      </x:c>
      <x:c r="AC134" s="12" t="str">
        <x:v>overlays\fear_033.png</x:v>
      </x:c>
      <x:c r="AD134" s="12" t="str"/>
      <x:c r="AE134" s="12" t="str"/>
      <x:c r="AF134" s="12" t="str">
        <x:v>acceptable</x:v>
      </x:c>
      <x:c r="AG134" s="12" t="n">
        <x:v>1</x:v>
      </x:c>
      <x:c r="AH134" s="12" t="str">
        <x:v>acceptable</x:v>
      </x:c>
      <x:c r="AI134" s="12" t="str">
        <x:v>acceptable</x:v>
      </x:c>
      <x:c r="AJ134" s="12" t="str">
        <x:v>occluded</x:v>
      </x:c>
      <x:c r="AK134" s="12" t="str">
        <x:v>acceptable</x:v>
      </x:c>
      <x:c r="AL134" s="12" t="str">
        <x:v>mild</x:v>
      </x:c>
      <x:c r="AM134" s="14" t="str">
        <x:v>Occlusion affects part of the face; visible landmarks remain usable, but hidden points are inferred.</x:v>
      </x:c>
    </x:row>
    <x:row r="135" ht="28" customHeight="1">
      <x:c r="A135" s="12" t="str">
        <x:v>fear_034</x:v>
      </x:c>
      <x:c r="B135" s="12" t="str">
        <x:v>fear</x:v>
      </x:c>
      <x:c r="C135" s="14" t="str">
        <x:v>fear/Training_19175584.jpg</x:v>
      </x:c>
      <x:c r="D135" s="12" t="str">
        <x:v>683929a4412dd7ce02666cf295dfcc3200a5aed9f21ad055168f27da98a84e85</x:v>
      </x:c>
      <x:c r="E135" s="12" t="str">
        <x:v>683929a4412dd7ce02666cf295dfcc3200a5aed9f21ad055168f27da98a84e85</x:v>
      </x:c>
      <x:c r="F135" s="12" t="str">
        <x:v>True</x:v>
      </x:c>
      <x:c r="G135" s="12" t="str">
        <x:v>48</x:v>
      </x:c>
      <x:c r="H135" s="12" t="str">
        <x:v>48</x:v>
      </x:c>
      <x:c r="I135" s="12" t="str">
        <x:v>0.0</x:v>
      </x:c>
      <x:c r="J135" s="12" t="str">
        <x:v>0.0</x:v>
      </x:c>
      <x:c r="K135" s="12" t="str">
        <x:v>47.0</x:v>
      </x:c>
      <x:c r="L135" s="12" t="str">
        <x:v>47.0</x:v>
      </x:c>
      <x:c r="M135" s="12" t="str">
        <x:v>True</x:v>
      </x:c>
      <x:c r="N135" s="12" t="str">
        <x:v>68</x:v>
      </x:c>
      <x:c r="O135" s="12" t="str">
        <x:v>68</x:v>
      </x:c>
      <x:c r="P135" s="16" t="str">
        <x:v>1.0</x:v>
      </x:c>
      <x:c r="Q135" s="12" t="str">
        <x:v>67</x:v>
      </x:c>
      <x:c r="R135" s="16" t="str">
        <x:v>0.9852941176470589</x:v>
      </x:c>
      <x:c r="S135" s="12" t="str">
        <x:v>0.2</x:v>
      </x:c>
      <x:c r="T135" s="12" t="str">
        <x:v>34</x:v>
      </x:c>
      <x:c r="U135" s="16" t="str">
        <x:v>0.5</x:v>
      </x:c>
      <x:c r="V135" s="18" t="str">
        <x:v>0.025486325845122337</x:v>
      </x:c>
      <x:c r="W135" s="18" t="str">
        <x:v>0.08205170333385467</x:v>
      </x:c>
      <x:c r="X135" s="18" t="str">
        <x:v>0.23599891364574432</x:v>
      </x:c>
      <x:c r="Y135" s="18" t="str">
        <x:v>0.20191684365272522</x:v>
      </x:c>
      <x:c r="Z135" s="18" t="str">
        <x:v>0.3916182398796082</x:v>
      </x:c>
      <x:c r="AA135" s="18" t="str">
        <x:v>0.5602049231529236</x:v>
      </x:c>
      <x:c r="AB135" s="20" t="str">
        <x:v>240.19399999815505</x:v>
      </x:c>
      <x:c r="AC135" s="12" t="str">
        <x:v>overlays\fear_034.png</x:v>
      </x:c>
      <x:c r="AD135" s="12" t="str"/>
      <x:c r="AE135" s="12" t="str"/>
      <x:c r="AF135" s="12" t="str">
        <x:v>wrong</x:v>
      </x:c>
      <x:c r="AG135" s="12" t="n">
        <x:v>0</x:v>
      </x:c>
      <x:c r="AH135" s="12" t="str">
        <x:v>occluded</x:v>
      </x:c>
      <x:c r="AI135" s="12" t="str">
        <x:v>wrong</x:v>
      </x:c>
      <x:c r="AJ135" s="12" t="str">
        <x:v>wrong</x:v>
      </x:c>
      <x:c r="AK135" s="12" t="str">
        <x:v>not_applicable</x:v>
      </x:c>
      <x:c r="AL135" s="12" t="str">
        <x:v>severe</x:v>
      </x:c>
      <x:c r="AM135" s="14" t="str">
        <x:v>Heavy occlusion and blur produce low-confidence landmarks that do not reliably follow the facial anatomy.</x:v>
      </x:c>
    </x:row>
    <x:row r="136" ht="28" customHeight="1">
      <x:c r="A136" s="12" t="str">
        <x:v>fear_035</x:v>
      </x:c>
      <x:c r="B136" s="12" t="str">
        <x:v>fear</x:v>
      </x:c>
      <x:c r="C136" s="14" t="str">
        <x:v>fear/Training_30471858.jpg</x:v>
      </x:c>
      <x:c r="D136" s="12" t="str">
        <x:v>f5568cd9ad79989d060efcedfa2e017376ba224052cbf75e603a48dba3cfd5aa</x:v>
      </x:c>
      <x:c r="E136" s="12" t="str">
        <x:v>f5568cd9ad79989d060efcedfa2e017376ba224052cbf75e603a48dba3cfd5aa</x:v>
      </x:c>
      <x:c r="F136" s="12" t="str">
        <x:v>True</x:v>
      </x:c>
      <x:c r="G136" s="12" t="str">
        <x:v>48</x:v>
      </x:c>
      <x:c r="H136" s="12" t="str">
        <x:v>48</x:v>
      </x:c>
      <x:c r="I136" s="12" t="str">
        <x:v>0.0</x:v>
      </x:c>
      <x:c r="J136" s="12" t="str">
        <x:v>0.0</x:v>
      </x:c>
      <x:c r="K136" s="12" t="str">
        <x:v>47.0</x:v>
      </x:c>
      <x:c r="L136" s="12" t="str">
        <x:v>47.0</x:v>
      </x:c>
      <x:c r="M136" s="12" t="str">
        <x:v>True</x:v>
      </x:c>
      <x:c r="N136" s="12" t="str">
        <x:v>68</x:v>
      </x:c>
      <x:c r="O136" s="12" t="str">
        <x:v>68</x:v>
      </x:c>
      <x:c r="P136" s="16" t="str">
        <x:v>1.0</x:v>
      </x:c>
      <x:c r="Q136" s="12" t="str">
        <x:v>64</x:v>
      </x:c>
      <x:c r="R136" s="16" t="str">
        <x:v>0.9411764705882353</x:v>
      </x:c>
      <x:c r="S136" s="12" t="str">
        <x:v>0.2</x:v>
      </x:c>
      <x:c r="T136" s="12" t="str">
        <x:v>68</x:v>
      </x:c>
      <x:c r="U136" s="16" t="str">
        <x:v>1.0</x:v>
      </x:c>
      <x:c r="V136" s="18" t="str">
        <x:v>0.6618445515632629</x:v>
      </x:c>
      <x:c r="W136" s="18" t="str">
        <x:v>0.7353570342063904</x:v>
      </x:c>
      <x:c r="X136" s="18" t="str">
        <x:v>0.8289650082588196</x:v>
      </x:c>
      <x:c r="Y136" s="18" t="str">
        <x:v>0.8372186422348022</x:v>
      </x:c>
      <x:c r="Z136" s="18" t="str">
        <x:v>0.8832721889019013</x:v>
      </x:c>
      <x:c r="AA136" s="18" t="str">
        <x:v>0.9483224153518677</x:v>
      </x:c>
      <x:c r="AB136" s="20" t="str">
        <x:v>174.3581999980961</x:v>
      </x:c>
      <x:c r="AC136" s="12" t="str">
        <x:v>overlays\fear_035.png</x:v>
      </x:c>
      <x:c r="AD136" s="12" t="str"/>
      <x:c r="AE136" s="12" t="str"/>
      <x:c r="AF136" s="12" t="str">
        <x:v>acceptable</x:v>
      </x:c>
      <x:c r="AG136" s="12" t="n">
        <x:v>1</x:v>
      </x:c>
      <x:c r="AH136" s="12" t="str">
        <x:v>acceptable</x:v>
      </x:c>
      <x:c r="AI136" s="12" t="str">
        <x:v>acceptable</x:v>
      </x:c>
      <x:c r="AJ136" s="12" t="str">
        <x:v>acceptable</x:v>
      </x:c>
      <x:c r="AK136" s="12" t="str">
        <x:v>acceptable</x:v>
      </x:c>
      <x:c r="AL136" s="12" t="str">
        <x:v>mild</x:v>
      </x:c>
      <x:c r="AM136" s="14" t="str">
        <x:v>Moderate pose, crop, blur, or facial texture causes minor landmark uncertainty; the result remains usable.</x:v>
      </x:c>
    </x:row>
    <x:row r="137" ht="28" customHeight="1">
      <x:c r="A137" s="12" t="str">
        <x:v>fear_036</x:v>
      </x:c>
      <x:c r="B137" s="12" t="str">
        <x:v>fear</x:v>
      </x:c>
      <x:c r="C137" s="14" t="str">
        <x:v>fear/Training_38408538.jpg</x:v>
      </x:c>
      <x:c r="D137" s="12" t="str">
        <x:v>08139a9cbfe329db47f9f05b67e84514219abe674631d52a5dd641e6bc1fae0d</x:v>
      </x:c>
      <x:c r="E137" s="12" t="str">
        <x:v>08139a9cbfe329db47f9f05b67e84514219abe674631d52a5dd641e6bc1fae0d</x:v>
      </x:c>
      <x:c r="F137" s="12" t="str">
        <x:v>True</x:v>
      </x:c>
      <x:c r="G137" s="12" t="str">
        <x:v>48</x:v>
      </x:c>
      <x:c r="H137" s="12" t="str">
        <x:v>48</x:v>
      </x:c>
      <x:c r="I137" s="12" t="str">
        <x:v>0.0</x:v>
      </x:c>
      <x:c r="J137" s="12" t="str">
        <x:v>0.0</x:v>
      </x:c>
      <x:c r="K137" s="12" t="str">
        <x:v>47.0</x:v>
      </x:c>
      <x:c r="L137" s="12" t="str">
        <x:v>47.0</x:v>
      </x:c>
      <x:c r="M137" s="12" t="str">
        <x:v>True</x:v>
      </x:c>
      <x:c r="N137" s="12" t="str">
        <x:v>68</x:v>
      </x:c>
      <x:c r="O137" s="12" t="str">
        <x:v>68</x:v>
      </x:c>
      <x:c r="P137" s="16" t="str">
        <x:v>1.0</x:v>
      </x:c>
      <x:c r="Q137" s="12" t="str">
        <x:v>62</x:v>
      </x:c>
      <x:c r="R137" s="16" t="str">
        <x:v>0.9117647058823529</x:v>
      </x:c>
      <x:c r="S137" s="12" t="str">
        <x:v>0.2</x:v>
      </x:c>
      <x:c r="T137" s="12" t="str">
        <x:v>68</x:v>
      </x:c>
      <x:c r="U137" s="16" t="str">
        <x:v>1.0</x:v>
      </x:c>
      <x:c r="V137" s="18" t="str">
        <x:v>0.7333802580833435</x:v>
      </x:c>
      <x:c r="W137" s="18" t="str">
        <x:v>0.7780711829662323</x:v>
      </x:c>
      <x:c r="X137" s="18" t="str">
        <x:v>0.8337293863296509</x:v>
      </x:c>
      <x:c r="Y137" s="18" t="str">
        <x:v>0.8392743468284607</x:v>
      </x:c>
      <x:c r="Z137" s="18" t="str">
        <x:v>0.8830129265785217</x:v>
      </x:c>
      <x:c r="AA137" s="18" t="str">
        <x:v>0.9000920653343201</x:v>
      </x:c>
      <x:c r="AB137" s="20" t="str">
        <x:v>163.7510000000475</x:v>
      </x:c>
      <x:c r="AC137" s="12" t="str">
        <x:v>overlays\fear_036.png</x:v>
      </x:c>
      <x:c r="AD137" s="12" t="str"/>
      <x:c r="AE137" s="12" t="str"/>
      <x:c r="AF137" s="12" t="str">
        <x:v>acceptable</x:v>
      </x:c>
      <x:c r="AG137" s="12" t="n">
        <x:v>1</x:v>
      </x:c>
      <x:c r="AH137" s="12" t="str">
        <x:v>acceptable</x:v>
      </x:c>
      <x:c r="AI137" s="12" t="str">
        <x:v>acceptable</x:v>
      </x:c>
      <x:c r="AJ137" s="12" t="str">
        <x:v>acceptable</x:v>
      </x:c>
      <x:c r="AK137" s="12" t="str">
        <x:v>not_applicable</x:v>
      </x:c>
      <x:c r="AL137" s="12" t="str">
        <x:v>mild</x:v>
      </x:c>
      <x:c r="AM137" s="14" t="str">
        <x:v>Moderate pose, crop, blur, or facial texture causes minor landmark uncertainty; the result remains usable.</x:v>
      </x:c>
    </x:row>
    <x:row r="138" ht="28" customHeight="1">
      <x:c r="A138" s="12" t="str">
        <x:v>fear_037</x:v>
      </x:c>
      <x:c r="B138" s="12" t="str">
        <x:v>fear</x:v>
      </x:c>
      <x:c r="C138" s="14" t="str">
        <x:v>fear/Training_39754546.jpg</x:v>
      </x:c>
      <x:c r="D138" s="12" t="str">
        <x:v>b148a3938c5a3e186a5131d00bee15401fcb0e7c979d2baef967af26665f7653</x:v>
      </x:c>
      <x:c r="E138" s="12" t="str">
        <x:v>b148a3938c5a3e186a5131d00bee15401fcb0e7c979d2baef967af26665f7653</x:v>
      </x:c>
      <x:c r="F138" s="12" t="str">
        <x:v>True</x:v>
      </x:c>
      <x:c r="G138" s="12" t="str">
        <x:v>48</x:v>
      </x:c>
      <x:c r="H138" s="12" t="str">
        <x:v>48</x:v>
      </x:c>
      <x:c r="I138" s="12" t="str">
        <x:v>0.0</x:v>
      </x:c>
      <x:c r="J138" s="12" t="str">
        <x:v>0.0</x:v>
      </x:c>
      <x:c r="K138" s="12" t="str">
        <x:v>47.0</x:v>
      </x:c>
      <x:c r="L138" s="12" t="str">
        <x:v>47.0</x:v>
      </x:c>
      <x:c r="M138" s="12" t="str">
        <x:v>True</x:v>
      </x:c>
      <x:c r="N138" s="12" t="str">
        <x:v>68</x:v>
      </x:c>
      <x:c r="O138" s="12" t="str">
        <x:v>68</x:v>
      </x:c>
      <x:c r="P138" s="16" t="str">
        <x:v>1.0</x:v>
      </x:c>
      <x:c r="Q138" s="12" t="str">
        <x:v>68</x:v>
      </x:c>
      <x:c r="R138" s="16" t="str">
        <x:v>1.0</x:v>
      </x:c>
      <x:c r="S138" s="12" t="str">
        <x:v>0.2</x:v>
      </x:c>
      <x:c r="T138" s="12" t="str">
        <x:v>68</x:v>
      </x:c>
      <x:c r="U138" s="16" t="str">
        <x:v>1.0</x:v>
      </x:c>
      <x:c r="V138" s="18" t="str">
        <x:v>0.7089735269546509</x:v>
      </x:c>
      <x:c r="W138" s="18" t="str">
        <x:v>0.7303144991397857</x:v>
      </x:c>
      <x:c r="X138" s="18" t="str">
        <x:v>0.8171537518501282</x:v>
      </x:c>
      <x:c r="Y138" s="18" t="str">
        <x:v>0.8294331431388855</x:v>
      </x:c>
      <x:c r="Z138" s="18" t="str">
        <x:v>0.8698667287826538</x:v>
      </x:c>
      <x:c r="AA138" s="18" t="str">
        <x:v>0.8991661667823792</x:v>
      </x:c>
      <x:c r="AB138" s="20" t="str">
        <x:v>161.6305999996257</x:v>
      </x:c>
      <x:c r="AC138" s="12" t="str">
        <x:v>overlays\fear_037.png</x:v>
      </x:c>
      <x:c r="AD138" s="12" t="str"/>
      <x:c r="AE138" s="12" t="str"/>
      <x:c r="AF138" s="12" t="str">
        <x:v>good</x:v>
      </x:c>
      <x:c r="AG138" s="12" t="n">
        <x:v>1</x:v>
      </x:c>
      <x:c r="AH138" s="12" t="str">
        <x:v>good</x:v>
      </x:c>
      <x:c r="AI138" s="12" t="str">
        <x:v>good</x:v>
      </x:c>
      <x:c r="AJ138" s="12" t="str">
        <x:v>good</x:v>
      </x:c>
      <x:c r="AK138" s="12" t="str">
        <x:v>not_applicable</x:v>
      </x:c>
      <x:c r="AL138" s="12" t="str">
        <x:v>none</x:v>
      </x:c>
      <x:c r="AM138" s="14" t="str">
        <x:v>Clear and well-aligned facial landmarks with no major pose, crop, or occlusion issue.</x:v>
      </x:c>
    </x:row>
    <x:row r="139" ht="28" customHeight="1">
      <x:c r="A139" s="12" t="str">
        <x:v>fear_038</x:v>
      </x:c>
      <x:c r="B139" s="12" t="str">
        <x:v>fear</x:v>
      </x:c>
      <x:c r="C139" s="14" t="str">
        <x:v>fear/Training_86553920.jpg</x:v>
      </x:c>
      <x:c r="D139" s="12" t="str">
        <x:v>effdc320fff4f493d5686c08fd7a868fe552e20a7121a137e13d2bb76b7b0558</x:v>
      </x:c>
      <x:c r="E139" s="12" t="str">
        <x:v>effdc320fff4f493d5686c08fd7a868fe552e20a7121a137e13d2bb76b7b0558</x:v>
      </x:c>
      <x:c r="F139" s="12" t="str">
        <x:v>True</x:v>
      </x:c>
      <x:c r="G139" s="12" t="str">
        <x:v>48</x:v>
      </x:c>
      <x:c r="H139" s="12" t="str">
        <x:v>48</x:v>
      </x:c>
      <x:c r="I139" s="12" t="str">
        <x:v>0.0</x:v>
      </x:c>
      <x:c r="J139" s="12" t="str">
        <x:v>0.0</x:v>
      </x:c>
      <x:c r="K139" s="12" t="str">
        <x:v>47.0</x:v>
      </x:c>
      <x:c r="L139" s="12" t="str">
        <x:v>47.0</x:v>
      </x:c>
      <x:c r="M139" s="12" t="str">
        <x:v>True</x:v>
      </x:c>
      <x:c r="N139" s="12" t="str">
        <x:v>68</x:v>
      </x:c>
      <x:c r="O139" s="12" t="str">
        <x:v>68</x:v>
      </x:c>
      <x:c r="P139" s="16" t="str">
        <x:v>1.0</x:v>
      </x:c>
      <x:c r="Q139" s="12" t="str">
        <x:v>68</x:v>
      </x:c>
      <x:c r="R139" s="16" t="str">
        <x:v>1.0</x:v>
      </x:c>
      <x:c r="S139" s="12" t="str">
        <x:v>0.2</x:v>
      </x:c>
      <x:c r="T139" s="12" t="str">
        <x:v>68</x:v>
      </x:c>
      <x:c r="U139" s="16" t="str">
        <x:v>1.0</x:v>
      </x:c>
      <x:c r="V139" s="18" t="str">
        <x:v>0.7200945615768433</x:v>
      </x:c>
      <x:c r="W139" s="18" t="str">
        <x:v>0.7581902742385864</x:v>
      </x:c>
      <x:c r="X139" s="18" t="str">
        <x:v>0.8219184875488281</x:v>
      </x:c>
      <x:c r="Y139" s="18" t="str">
        <x:v>0.8272688984870911</x:v>
      </x:c>
      <x:c r="Z139" s="18" t="str">
        <x:v>0.8655166327953339</x:v>
      </x:c>
      <x:c r="AA139" s="18" t="str">
        <x:v>0.8829261064529419</x:v>
      </x:c>
      <x:c r="AB139" s="20" t="str">
        <x:v>161.24919999856502</x:v>
      </x:c>
      <x:c r="AC139" s="12" t="str">
        <x:v>overlays\fear_038.png</x:v>
      </x:c>
      <x:c r="AD139" s="12" t="str"/>
      <x:c r="AE139" s="12" t="str"/>
      <x:c r="AF139" s="12" t="str">
        <x:v>good</x:v>
      </x:c>
      <x:c r="AG139" s="12" t="n">
        <x:v>1</x:v>
      </x:c>
      <x:c r="AH139" s="12" t="str">
        <x:v>good</x:v>
      </x:c>
      <x:c r="AI139" s="12" t="str">
        <x:v>good</x:v>
      </x:c>
      <x:c r="AJ139" s="12" t="str">
        <x:v>good</x:v>
      </x:c>
      <x:c r="AK139" s="12" t="str">
        <x:v>not_applicable</x:v>
      </x:c>
      <x:c r="AL139" s="12" t="str">
        <x:v>none</x:v>
      </x:c>
      <x:c r="AM139" s="14" t="str">
        <x:v>Clear and well-aligned facial landmarks with no major pose, crop, or occlusion issue.</x:v>
      </x:c>
    </x:row>
    <x:row r="140" ht="28" customHeight="1">
      <x:c r="A140" s="12" t="str">
        <x:v>fear_039</x:v>
      </x:c>
      <x:c r="B140" s="12" t="str">
        <x:v>fear</x:v>
      </x:c>
      <x:c r="C140" s="14" t="str">
        <x:v>fear/Training_22220014.jpg</x:v>
      </x:c>
      <x:c r="D140" s="12" t="str">
        <x:v>7d87f32c5b8b9451923651083f9aba1906fa541ad44a8fae3a1449a6637a0f45</x:v>
      </x:c>
      <x:c r="E140" s="12" t="str">
        <x:v>7d87f32c5b8b9451923651083f9aba1906fa541ad44a8fae3a1449a6637a0f45</x:v>
      </x:c>
      <x:c r="F140" s="12" t="str">
        <x:v>True</x:v>
      </x:c>
      <x:c r="G140" s="12" t="str">
        <x:v>48</x:v>
      </x:c>
      <x:c r="H140" s="12" t="str">
        <x:v>48</x:v>
      </x:c>
      <x:c r="I140" s="12" t="str">
        <x:v>0.0</x:v>
      </x:c>
      <x:c r="J140" s="12" t="str">
        <x:v>0.0</x:v>
      </x:c>
      <x:c r="K140" s="12" t="str">
        <x:v>47.0</x:v>
      </x:c>
      <x:c r="L140" s="12" t="str">
        <x:v>47.0</x:v>
      </x:c>
      <x:c r="M140" s="12" t="str">
        <x:v>True</x:v>
      </x:c>
      <x:c r="N140" s="12" t="str">
        <x:v>68</x:v>
      </x:c>
      <x:c r="O140" s="12" t="str">
        <x:v>68</x:v>
      </x:c>
      <x:c r="P140" s="16" t="str">
        <x:v>1.0</x:v>
      </x:c>
      <x:c r="Q140" s="12" t="str">
        <x:v>63</x:v>
      </x:c>
      <x:c r="R140" s="16" t="str">
        <x:v>0.9264705882352942</x:v>
      </x:c>
      <x:c r="S140" s="12" t="str">
        <x:v>0.2</x:v>
      </x:c>
      <x:c r="T140" s="12" t="str">
        <x:v>68</x:v>
      </x:c>
      <x:c r="U140" s="16" t="str">
        <x:v>1.0</x:v>
      </x:c>
      <x:c r="V140" s="18" t="str">
        <x:v>0.6355876326560974</x:v>
      </x:c>
      <x:c r="W140" s="18" t="str">
        <x:v>0.698058444261551</x:v>
      </x:c>
      <x:c r="X140" s="18" t="str">
        <x:v>0.7959014773368835</x:v>
      </x:c>
      <x:c r="Y140" s="18" t="str">
        <x:v>0.8193086981773376</x:v>
      </x:c>
      <x:c r="Z140" s="18" t="str">
        <x:v>0.8565144360065461</x:v>
      </x:c>
      <x:c r="AA140" s="18" t="str">
        <x:v>0.877393364906311</x:v>
      </x:c>
      <x:c r="AB140" s="20" t="str">
        <x:v>202.92699999845354</x:v>
      </x:c>
      <x:c r="AC140" s="12" t="str">
        <x:v>overlays\fear_039.png</x:v>
      </x:c>
      <x:c r="AD140" s="12" t="str"/>
      <x:c r="AE140" s="12" t="str"/>
      <x:c r="AF140" s="12" t="str">
        <x:v>acceptable</x:v>
      </x:c>
      <x:c r="AG140" s="12" t="n">
        <x:v>1</x:v>
      </x:c>
      <x:c r="AH140" s="12" t="str">
        <x:v>acceptable</x:v>
      </x:c>
      <x:c r="AI140" s="12" t="str">
        <x:v>acceptable</x:v>
      </x:c>
      <x:c r="AJ140" s="12" t="str">
        <x:v>acceptable</x:v>
      </x:c>
      <x:c r="AK140" s="12" t="str">
        <x:v>not_applicable</x:v>
      </x:c>
      <x:c r="AL140" s="12" t="str">
        <x:v>mild</x:v>
      </x:c>
      <x:c r="AM140" s="14" t="str">
        <x:v>Moderate pose, crop, blur, or facial texture causes minor landmark uncertainty; the result remains usable.</x:v>
      </x:c>
    </x:row>
    <x:row r="141" ht="28" customHeight="1">
      <x:c r="A141" s="12" t="str">
        <x:v>fear_040</x:v>
      </x:c>
      <x:c r="B141" s="12" t="str">
        <x:v>fear</x:v>
      </x:c>
      <x:c r="C141" s="14" t="str">
        <x:v>fear/Training_7989182.jpg</x:v>
      </x:c>
      <x:c r="D141" s="12" t="str">
        <x:v>bbb4868f8463d4b27cd276690c16ca76bf439496b51e1092396d2142d00d73b2</x:v>
      </x:c>
      <x:c r="E141" s="12" t="str">
        <x:v>bbb4868f8463d4b27cd276690c16ca76bf439496b51e1092396d2142d00d73b2</x:v>
      </x:c>
      <x:c r="F141" s="12" t="str">
        <x:v>True</x:v>
      </x:c>
      <x:c r="G141" s="12" t="str">
        <x:v>48</x:v>
      </x:c>
      <x:c r="H141" s="12" t="str">
        <x:v>48</x:v>
      </x:c>
      <x:c r="I141" s="12" t="str">
        <x:v>0.0</x:v>
      </x:c>
      <x:c r="J141" s="12" t="str">
        <x:v>0.0</x:v>
      </x:c>
      <x:c r="K141" s="12" t="str">
        <x:v>47.0</x:v>
      </x:c>
      <x:c r="L141" s="12" t="str">
        <x:v>47.0</x:v>
      </x:c>
      <x:c r="M141" s="12" t="str">
        <x:v>True</x:v>
      </x:c>
      <x:c r="N141" s="12" t="str">
        <x:v>68</x:v>
      </x:c>
      <x:c r="O141" s="12" t="str">
        <x:v>68</x:v>
      </x:c>
      <x:c r="P141" s="16" t="str">
        <x:v>1.0</x:v>
      </x:c>
      <x:c r="Q141" s="12" t="str">
        <x:v>67</x:v>
      </x:c>
      <x:c r="R141" s="16" t="str">
        <x:v>0.9852941176470589</x:v>
      </x:c>
      <x:c r="S141" s="12" t="str">
        <x:v>0.2</x:v>
      </x:c>
      <x:c r="T141" s="12" t="str">
        <x:v>68</x:v>
      </x:c>
      <x:c r="U141" s="16" t="str">
        <x:v>1.0</x:v>
      </x:c>
      <x:c r="V141" s="18" t="str">
        <x:v>0.7628573179244995</x:v>
      </x:c>
      <x:c r="W141" s="18" t="str">
        <x:v>0.7948875725269318</x:v>
      </x:c>
      <x:c r="X141" s="18" t="str">
        <x:v>0.8448929786682129</x:v>
      </x:c>
      <x:c r="Y141" s="18" t="str">
        <x:v>0.8485547304153442</x:v>
      </x:c>
      <x:c r="Z141" s="18" t="str">
        <x:v>0.8860858023166657</x:v>
      </x:c>
      <x:c r="AA141" s="18" t="str">
        <x:v>0.9016624093055725</x:v>
      </x:c>
      <x:c r="AB141" s="20" t="str">
        <x:v>155.5856000049971</x:v>
      </x:c>
      <x:c r="AC141" s="12" t="str">
        <x:v>overlays\fear_040.png</x:v>
      </x:c>
      <x:c r="AD141" s="12" t="str"/>
      <x:c r="AE141" s="12" t="str"/>
      <x:c r="AF141" s="12" t="str">
        <x:v>good</x:v>
      </x:c>
      <x:c r="AG141" s="12" t="n">
        <x:v>1</x:v>
      </x:c>
      <x:c r="AH141" s="12" t="str">
        <x:v>good</x:v>
      </x:c>
      <x:c r="AI141" s="12" t="str">
        <x:v>good</x:v>
      </x:c>
      <x:c r="AJ141" s="12" t="str">
        <x:v>good</x:v>
      </x:c>
      <x:c r="AK141" s="12" t="str">
        <x:v>not_applicable</x:v>
      </x:c>
      <x:c r="AL141" s="12" t="str">
        <x:v>none</x:v>
      </x:c>
      <x:c r="AM141" s="14" t="str">
        <x:v>Clear and well-aligned facial landmarks with no major pose, crop, or occlusion issue.</x:v>
      </x:c>
    </x:row>
    <x:row r="142" ht="28" customHeight="1">
      <x:c r="A142" s="12" t="str">
        <x:v>fear_041</x:v>
      </x:c>
      <x:c r="B142" s="12" t="str">
        <x:v>fear</x:v>
      </x:c>
      <x:c r="C142" s="14" t="str">
        <x:v>fear/Training_79198157.jpg</x:v>
      </x:c>
      <x:c r="D142" s="12" t="str">
        <x:v>e522267a344eaa1d16ed6dbc6ff20516ff706089963a7ad397cb117bc07f4f2e</x:v>
      </x:c>
      <x:c r="E142" s="12" t="str">
        <x:v>e522267a344eaa1d16ed6dbc6ff20516ff706089963a7ad397cb117bc07f4f2e</x:v>
      </x:c>
      <x:c r="F142" s="12" t="str">
        <x:v>True</x:v>
      </x:c>
      <x:c r="G142" s="12" t="str">
        <x:v>48</x:v>
      </x:c>
      <x:c r="H142" s="12" t="str">
        <x:v>48</x:v>
      </x:c>
      <x:c r="I142" s="12" t="str">
        <x:v>0.0</x:v>
      </x:c>
      <x:c r="J142" s="12" t="str">
        <x:v>0.0</x:v>
      </x:c>
      <x:c r="K142" s="12" t="str">
        <x:v>47.0</x:v>
      </x:c>
      <x:c r="L142" s="12" t="str">
        <x:v>47.0</x:v>
      </x:c>
      <x:c r="M142" s="12" t="str">
        <x:v>True</x:v>
      </x:c>
      <x:c r="N142" s="12" t="str">
        <x:v>68</x:v>
      </x:c>
      <x:c r="O142" s="12" t="str">
        <x:v>68</x:v>
      </x:c>
      <x:c r="P142" s="16" t="str">
        <x:v>1.0</x:v>
      </x:c>
      <x:c r="Q142" s="12" t="str">
        <x:v>68</x:v>
      </x:c>
      <x:c r="R142" s="16" t="str">
        <x:v>1.0</x:v>
      </x:c>
      <x:c r="S142" s="12" t="str">
        <x:v>0.2</x:v>
      </x:c>
      <x:c r="T142" s="12" t="str">
        <x:v>68</x:v>
      </x:c>
      <x:c r="U142" s="16" t="str">
        <x:v>1.0</x:v>
      </x:c>
      <x:c r="V142" s="18" t="str">
        <x:v>0.5770519375801086</x:v>
      </x:c>
      <x:c r="W142" s="18" t="str">
        <x:v>0.6721521198749543</x:v>
      </x:c>
      <x:c r="X142" s="18" t="str">
        <x:v>0.7657414078712463</x:v>
      </x:c>
      <x:c r="Y142" s="18" t="str">
        <x:v>0.7892422676086426</x:v>
      </x:c>
      <x:c r="Z142" s="18" t="str">
        <x:v>0.8329785823822021</x:v>
      </x:c>
      <x:c r="AA142" s="18" t="str">
        <x:v>0.8992406129837036</x:v>
      </x:c>
      <x:c r="AB142" s="20" t="str">
        <x:v>188.7404000008246</x:v>
      </x:c>
      <x:c r="AC142" s="12" t="str">
        <x:v>overlays\fear_041.png</x:v>
      </x:c>
      <x:c r="AD142" s="12" t="str"/>
      <x:c r="AE142" s="12" t="str"/>
      <x:c r="AF142" s="12" t="str">
        <x:v>acceptable</x:v>
      </x:c>
      <x:c r="AG142" s="12" t="n">
        <x:v>1</x:v>
      </x:c>
      <x:c r="AH142" s="12" t="str">
        <x:v>acceptable</x:v>
      </x:c>
      <x:c r="AI142" s="12" t="str">
        <x:v>acceptable</x:v>
      </x:c>
      <x:c r="AJ142" s="12" t="str">
        <x:v>acceptable</x:v>
      </x:c>
      <x:c r="AK142" s="12" t="str">
        <x:v>acceptable</x:v>
      </x:c>
      <x:c r="AL142" s="12" t="str">
        <x:v>mild</x:v>
      </x:c>
      <x:c r="AM142" s="14" t="str">
        <x:v>Moderate pose, crop, blur, or facial texture causes minor landmark uncertainty; the result remains usable.</x:v>
      </x:c>
    </x:row>
    <x:row r="143" ht="28" customHeight="1">
      <x:c r="A143" s="12" t="str">
        <x:v>fear_042</x:v>
      </x:c>
      <x:c r="B143" s="12" t="str">
        <x:v>fear</x:v>
      </x:c>
      <x:c r="C143" s="14" t="str">
        <x:v>fear/Training_94538613.jpg</x:v>
      </x:c>
      <x:c r="D143" s="12" t="str">
        <x:v>fc9208b87d67c2b54c4c04ed15556c23d4f621f3356e4dee9b14be06e4b686e3</x:v>
      </x:c>
      <x:c r="E143" s="12" t="str">
        <x:v>fc9208b87d67c2b54c4c04ed15556c23d4f621f3356e4dee9b14be06e4b686e3</x:v>
      </x:c>
      <x:c r="F143" s="12" t="str">
        <x:v>True</x:v>
      </x:c>
      <x:c r="G143" s="12" t="str">
        <x:v>48</x:v>
      </x:c>
      <x:c r="H143" s="12" t="str">
        <x:v>48</x:v>
      </x:c>
      <x:c r="I143" s="12" t="str">
        <x:v>0.0</x:v>
      </x:c>
      <x:c r="J143" s="12" t="str">
        <x:v>0.0</x:v>
      </x:c>
      <x:c r="K143" s="12" t="str">
        <x:v>47.0</x:v>
      </x:c>
      <x:c r="L143" s="12" t="str">
        <x:v>47.0</x:v>
      </x:c>
      <x:c r="M143" s="12" t="str">
        <x:v>True</x:v>
      </x:c>
      <x:c r="N143" s="12" t="str">
        <x:v>68</x:v>
      </x:c>
      <x:c r="O143" s="12" t="str">
        <x:v>68</x:v>
      </x:c>
      <x:c r="P143" s="16" t="str">
        <x:v>1.0</x:v>
      </x:c>
      <x:c r="Q143" s="12" t="str">
        <x:v>68</x:v>
      </x:c>
      <x:c r="R143" s="16" t="str">
        <x:v>1.0</x:v>
      </x:c>
      <x:c r="S143" s="12" t="str">
        <x:v>0.2</x:v>
      </x:c>
      <x:c r="T143" s="12" t="str">
        <x:v>68</x:v>
      </x:c>
      <x:c r="U143" s="16" t="str">
        <x:v>1.0</x:v>
      </x:c>
      <x:c r="V143" s="18" t="str">
        <x:v>0.5139742493629456</x:v>
      </x:c>
      <x:c r="W143" s="18" t="str">
        <x:v>0.6340832948684693</x:v>
      </x:c>
      <x:c r="X143" s="18" t="str">
        <x:v>0.7546380162239075</x:v>
      </x:c>
      <x:c r="Y143" s="18" t="str">
        <x:v>0.7706005573272705</x:v>
      </x:c>
      <x:c r="Z143" s="18" t="str">
        <x:v>0.8413043081760407</x:v>
      </x:c>
      <x:c r="AA143" s="18" t="str">
        <x:v>0.8760053515434265</x:v>
      </x:c>
      <x:c r="AB143" s="20" t="str">
        <x:v>171.05580000497866</x:v>
      </x:c>
      <x:c r="AC143" s="12" t="str">
        <x:v>overlays\fear_042.png</x:v>
      </x:c>
      <x:c r="AD143" s="12" t="str"/>
      <x:c r="AE143" s="12" t="str"/>
      <x:c r="AF143" s="12" t="str">
        <x:v>good</x:v>
      </x:c>
      <x:c r="AG143" s="12" t="n">
        <x:v>1</x:v>
      </x:c>
      <x:c r="AH143" s="12" t="str">
        <x:v>good</x:v>
      </x:c>
      <x:c r="AI143" s="12" t="str">
        <x:v>good</x:v>
      </x:c>
      <x:c r="AJ143" s="12" t="str">
        <x:v>good</x:v>
      </x:c>
      <x:c r="AK143" s="12" t="str">
        <x:v>not_applicable</x:v>
      </x:c>
      <x:c r="AL143" s="12" t="str">
        <x:v>none</x:v>
      </x:c>
      <x:c r="AM143" s="14" t="str">
        <x:v>Clear and well-aligned facial landmarks with no major pose, crop, or occlusion issue.</x:v>
      </x:c>
    </x:row>
    <x:row r="144" ht="28" customHeight="1">
      <x:c r="A144" s="12" t="str">
        <x:v>fear_043</x:v>
      </x:c>
      <x:c r="B144" s="12" t="str">
        <x:v>fear</x:v>
      </x:c>
      <x:c r="C144" s="14" t="str">
        <x:v>fear/Training_56116258.jpg</x:v>
      </x:c>
      <x:c r="D144" s="12" t="str">
        <x:v>fff53b2f9da17f50d0f2c6d46fdd1726c127083cc01f51ee531a19e89fa4aee1</x:v>
      </x:c>
      <x:c r="E144" s="12" t="str">
        <x:v>fff53b2f9da17f50d0f2c6d46fdd1726c127083cc01f51ee531a19e89fa4aee1</x:v>
      </x:c>
      <x:c r="F144" s="12" t="str">
        <x:v>True</x:v>
      </x:c>
      <x:c r="G144" s="12" t="str">
        <x:v>48</x:v>
      </x:c>
      <x:c r="H144" s="12" t="str">
        <x:v>48</x:v>
      </x:c>
      <x:c r="I144" s="12" t="str">
        <x:v>0.0</x:v>
      </x:c>
      <x:c r="J144" s="12" t="str">
        <x:v>0.0</x:v>
      </x:c>
      <x:c r="K144" s="12" t="str">
        <x:v>47.0</x:v>
      </x:c>
      <x:c r="L144" s="12" t="str">
        <x:v>47.0</x:v>
      </x:c>
      <x:c r="M144" s="12" t="str">
        <x:v>True</x:v>
      </x:c>
      <x:c r="N144" s="12" t="str">
        <x:v>68</x:v>
      </x:c>
      <x:c r="O144" s="12" t="str">
        <x:v>68</x:v>
      </x:c>
      <x:c r="P144" s="16" t="str">
        <x:v>1.0</x:v>
      </x:c>
      <x:c r="Q144" s="12" t="str">
        <x:v>68</x:v>
      </x:c>
      <x:c r="R144" s="16" t="str">
        <x:v>1.0</x:v>
      </x:c>
      <x:c r="S144" s="12" t="str">
        <x:v>0.2</x:v>
      </x:c>
      <x:c r="T144" s="12" t="str">
        <x:v>68</x:v>
      </x:c>
      <x:c r="U144" s="16" t="str">
        <x:v>1.0</x:v>
      </x:c>
      <x:c r="V144" s="18" t="str">
        <x:v>0.6221786737442017</x:v>
      </x:c>
      <x:c r="W144" s="18" t="str">
        <x:v>0.7085995614528656</x:v>
      </x:c>
      <x:c r="X144" s="18" t="str">
        <x:v>0.8209668397903442</x:v>
      </x:c>
      <x:c r="Y144" s="18" t="str">
        <x:v>0.8466019630432129</x:v>
      </x:c>
      <x:c r="Z144" s="18" t="str">
        <x:v>0.8811140418052673</x:v>
      </x:c>
      <x:c r="AA144" s="18" t="str">
        <x:v>0.9100552797317505</x:v>
      </x:c>
      <x:c r="AB144" s="20" t="str">
        <x:v>156.7051000020001</x:v>
      </x:c>
      <x:c r="AC144" s="12" t="str">
        <x:v>overlays\fear_043.png</x:v>
      </x:c>
      <x:c r="AD144" s="12" t="str"/>
      <x:c r="AE144" s="12" t="str"/>
      <x:c r="AF144" s="12" t="str">
        <x:v>good</x:v>
      </x:c>
      <x:c r="AG144" s="12" t="n">
        <x:v>1</x:v>
      </x:c>
      <x:c r="AH144" s="12" t="str">
        <x:v>good</x:v>
      </x:c>
      <x:c r="AI144" s="12" t="str">
        <x:v>good</x:v>
      </x:c>
      <x:c r="AJ144" s="12" t="str">
        <x:v>good</x:v>
      </x:c>
      <x:c r="AK144" s="12" t="str">
        <x:v>not_applicable</x:v>
      </x:c>
      <x:c r="AL144" s="12" t="str">
        <x:v>none</x:v>
      </x:c>
      <x:c r="AM144" s="14" t="str">
        <x:v>Clear and well-aligned facial landmarks with no major pose, crop, or occlusion issue.</x:v>
      </x:c>
    </x:row>
    <x:row r="145" ht="28" customHeight="1">
      <x:c r="A145" s="12" t="str">
        <x:v>fear_044</x:v>
      </x:c>
      <x:c r="B145" s="12" t="str">
        <x:v>fear</x:v>
      </x:c>
      <x:c r="C145" s="14" t="str">
        <x:v>fear/Training_12407165.jpg</x:v>
      </x:c>
      <x:c r="D145" s="12" t="str">
        <x:v>0034ca8c8519bcf3be89347be7a18e0afd12b1a60968400bd5f368a4f6b9de5b</x:v>
      </x:c>
      <x:c r="E145" s="12" t="str">
        <x:v>0034ca8c8519bcf3be89347be7a18e0afd12b1a60968400bd5f368a4f6b9de5b</x:v>
      </x:c>
      <x:c r="F145" s="12" t="str">
        <x:v>True</x:v>
      </x:c>
      <x:c r="G145" s="12" t="str">
        <x:v>48</x:v>
      </x:c>
      <x:c r="H145" s="12" t="str">
        <x:v>48</x:v>
      </x:c>
      <x:c r="I145" s="12" t="str">
        <x:v>0.0</x:v>
      </x:c>
      <x:c r="J145" s="12" t="str">
        <x:v>0.0</x:v>
      </x:c>
      <x:c r="K145" s="12" t="str">
        <x:v>47.0</x:v>
      </x:c>
      <x:c r="L145" s="12" t="str">
        <x:v>47.0</x:v>
      </x:c>
      <x:c r="M145" s="12" t="str">
        <x:v>True</x:v>
      </x:c>
      <x:c r="N145" s="12" t="str">
        <x:v>68</x:v>
      </x:c>
      <x:c r="O145" s="12" t="str">
        <x:v>68</x:v>
      </x:c>
      <x:c r="P145" s="16" t="str">
        <x:v>1.0</x:v>
      </x:c>
      <x:c r="Q145" s="12" t="str">
        <x:v>66</x:v>
      </x:c>
      <x:c r="R145" s="16" t="str">
        <x:v>0.9705882352941176</x:v>
      </x:c>
      <x:c r="S145" s="12" t="str">
        <x:v>0.2</x:v>
      </x:c>
      <x:c r="T145" s="12" t="str">
        <x:v>68</x:v>
      </x:c>
      <x:c r="U145" s="16" t="str">
        <x:v>1.0</x:v>
      </x:c>
      <x:c r="V145" s="18" t="str">
        <x:v>0.7504080533981323</x:v>
      </x:c>
      <x:c r="W145" s="18" t="str">
        <x:v>0.7800008594989777</x:v>
      </x:c>
      <x:c r="X145" s="18" t="str">
        <x:v>0.8283482789993286</x:v>
      </x:c>
      <x:c r="Y145" s="18" t="str">
        <x:v>0.829318642616272</x:v>
      </x:c>
      <x:c r="Z145" s="18" t="str">
        <x:v>0.8772504150867462</x:v>
      </x:c>
      <x:c r="AA145" s="18" t="str">
        <x:v>0.9011158347129822</x:v>
      </x:c>
      <x:c r="AB145" s="20" t="str">
        <x:v>152.0001000026241</x:v>
      </x:c>
      <x:c r="AC145" s="12" t="str">
        <x:v>overlays\fear_044.png</x:v>
      </x:c>
      <x:c r="AD145" s="12" t="str"/>
      <x:c r="AE145" s="12" t="str"/>
      <x:c r="AF145" s="12" t="str">
        <x:v>good</x:v>
      </x:c>
      <x:c r="AG145" s="12" t="n">
        <x:v>1</x:v>
      </x:c>
      <x:c r="AH145" s="12" t="str">
        <x:v>good</x:v>
      </x:c>
      <x:c r="AI145" s="12" t="str">
        <x:v>good</x:v>
      </x:c>
      <x:c r="AJ145" s="12" t="str">
        <x:v>good</x:v>
      </x:c>
      <x:c r="AK145" s="12" t="str">
        <x:v>good</x:v>
      </x:c>
      <x:c r="AL145" s="12" t="str">
        <x:v>none</x:v>
      </x:c>
      <x:c r="AM145" s="14" t="str">
        <x:v>Clear and well-aligned facial landmarks with no major pose, crop, or occlusion issue.</x:v>
      </x:c>
    </x:row>
    <x:row r="146" ht="28" customHeight="1">
      <x:c r="A146" s="12" t="str">
        <x:v>fear_045</x:v>
      </x:c>
      <x:c r="B146" s="12" t="str">
        <x:v>fear</x:v>
      </x:c>
      <x:c r="C146" s="14" t="str">
        <x:v>fear/Training_31312492.jpg</x:v>
      </x:c>
      <x:c r="D146" s="12" t="str">
        <x:v>25f6864ad08f3a2773d208dce27beb8a715aa3f2c56081a4dfd63b9364e3aed5</x:v>
      </x:c>
      <x:c r="E146" s="12" t="str">
        <x:v>25f6864ad08f3a2773d208dce27beb8a715aa3f2c56081a4dfd63b9364e3aed5</x:v>
      </x:c>
      <x:c r="F146" s="12" t="str">
        <x:v>True</x:v>
      </x:c>
      <x:c r="G146" s="12" t="str">
        <x:v>48</x:v>
      </x:c>
      <x:c r="H146" s="12" t="str">
        <x:v>48</x:v>
      </x:c>
      <x:c r="I146" s="12" t="str">
        <x:v>0.0</x:v>
      </x:c>
      <x:c r="J146" s="12" t="str">
        <x:v>0.0</x:v>
      </x:c>
      <x:c r="K146" s="12" t="str">
        <x:v>47.0</x:v>
      </x:c>
      <x:c r="L146" s="12" t="str">
        <x:v>47.0</x:v>
      </x:c>
      <x:c r="M146" s="12" t="str">
        <x:v>True</x:v>
      </x:c>
      <x:c r="N146" s="12" t="str">
        <x:v>68</x:v>
      </x:c>
      <x:c r="O146" s="12" t="str">
        <x:v>68</x:v>
      </x:c>
      <x:c r="P146" s="16" t="str">
        <x:v>1.0</x:v>
      </x:c>
      <x:c r="Q146" s="12" t="str">
        <x:v>67</x:v>
      </x:c>
      <x:c r="R146" s="16" t="str">
        <x:v>0.9852941176470589</x:v>
      </x:c>
      <x:c r="S146" s="12" t="str">
        <x:v>0.2</x:v>
      </x:c>
      <x:c r="T146" s="12" t="str">
        <x:v>68</x:v>
      </x:c>
      <x:c r="U146" s="16" t="str">
        <x:v>1.0</x:v>
      </x:c>
      <x:c r="V146" s="18" t="str">
        <x:v>0.6823586225509644</x:v>
      </x:c>
      <x:c r="W146" s="18" t="str">
        <x:v>0.7430774748325348</x:v>
      </x:c>
      <x:c r="X146" s="18" t="str">
        <x:v>0.8089821338653564</x:v>
      </x:c>
      <x:c r="Y146" s="18" t="str">
        <x:v>0.8141594529151917</x:v>
      </x:c>
      <x:c r="Z146" s="18" t="str">
        <x:v>0.8529293477535248</x:v>
      </x:c>
      <x:c r="AA146" s="18" t="str">
        <x:v>0.9023852348327637</x:v>
      </x:c>
      <x:c r="AB146" s="20" t="str">
        <x:v>173.84609999862732</x:v>
      </x:c>
      <x:c r="AC146" s="12" t="str">
        <x:v>overlays\fear_045.png</x:v>
      </x:c>
      <x:c r="AD146" s="12" t="str"/>
      <x:c r="AE146" s="12" t="str"/>
      <x:c r="AF146" s="12" t="str">
        <x:v>good</x:v>
      </x:c>
      <x:c r="AG146" s="12" t="n">
        <x:v>1</x:v>
      </x:c>
      <x:c r="AH146" s="12" t="str">
        <x:v>good</x:v>
      </x:c>
      <x:c r="AI146" s="12" t="str">
        <x:v>good</x:v>
      </x:c>
      <x:c r="AJ146" s="12" t="str">
        <x:v>occluded</x:v>
      </x:c>
      <x:c r="AK146" s="12" t="str">
        <x:v>not_applicable</x:v>
      </x:c>
      <x:c r="AL146" s="12" t="str">
        <x:v>none</x:v>
      </x:c>
      <x:c r="AM146" s="14" t="str">
        <x:v>Occlusion affects part of the face; visible landmarks remain usable, but hidden points are inferred.</x:v>
      </x:c>
    </x:row>
    <x:row r="147" ht="28" customHeight="1">
      <x:c r="A147" s="12" t="str">
        <x:v>fear_046</x:v>
      </x:c>
      <x:c r="B147" s="12" t="str">
        <x:v>fear</x:v>
      </x:c>
      <x:c r="C147" s="14" t="str">
        <x:v>fear/Training_5893783.jpg</x:v>
      </x:c>
      <x:c r="D147" s="12" t="str">
        <x:v>d8782246d5b20b5557b43324ed87a6e3d72f0d3e20e757da7bbbaa10bef73e40</x:v>
      </x:c>
      <x:c r="E147" s="12" t="str">
        <x:v>d8782246d5b20b5557b43324ed87a6e3d72f0d3e20e757da7bbbaa10bef73e40</x:v>
      </x:c>
      <x:c r="F147" s="12" t="str">
        <x:v>True</x:v>
      </x:c>
      <x:c r="G147" s="12" t="str">
        <x:v>48</x:v>
      </x:c>
      <x:c r="H147" s="12" t="str">
        <x:v>48</x:v>
      </x:c>
      <x:c r="I147" s="12" t="str">
        <x:v>0.0</x:v>
      </x:c>
      <x:c r="J147" s="12" t="str">
        <x:v>0.0</x:v>
      </x:c>
      <x:c r="K147" s="12" t="str">
        <x:v>47.0</x:v>
      </x:c>
      <x:c r="L147" s="12" t="str">
        <x:v>47.0</x:v>
      </x:c>
      <x:c r="M147" s="12" t="str">
        <x:v>True</x:v>
      </x:c>
      <x:c r="N147" s="12" t="str">
        <x:v>68</x:v>
      </x:c>
      <x:c r="O147" s="12" t="str">
        <x:v>68</x:v>
      </x:c>
      <x:c r="P147" s="16" t="str">
        <x:v>1.0</x:v>
      </x:c>
      <x:c r="Q147" s="12" t="str">
        <x:v>68</x:v>
      </x:c>
      <x:c r="R147" s="16" t="str">
        <x:v>1.0</x:v>
      </x:c>
      <x:c r="S147" s="12" t="str">
        <x:v>0.2</x:v>
      </x:c>
      <x:c r="T147" s="12" t="str">
        <x:v>68</x:v>
      </x:c>
      <x:c r="U147" s="16" t="str">
        <x:v>1.0</x:v>
      </x:c>
      <x:c r="V147" s="18" t="str">
        <x:v>0.5051560997962952</x:v>
      </x:c>
      <x:c r="W147" s="18" t="str">
        <x:v>0.6563388764858246</x:v>
      </x:c>
      <x:c r="X147" s="18" t="str">
        <x:v>0.7711844444274902</x:v>
      </x:c>
      <x:c r="Y147" s="18" t="str">
        <x:v>0.7927796840667725</x:v>
      </x:c>
      <x:c r="Z147" s="18" t="str">
        <x:v>0.8324480712413788</x:v>
      </x:c>
      <x:c r="AA147" s="18" t="str">
        <x:v>0.8626762628555298</x:v>
      </x:c>
      <x:c r="AB147" s="20" t="str">
        <x:v>191.45189999835566</x:v>
      </x:c>
      <x:c r="AC147" s="12" t="str">
        <x:v>overlays\fear_046.png</x:v>
      </x:c>
      <x:c r="AD147" s="12" t="str"/>
      <x:c r="AE147" s="12" t="str"/>
      <x:c r="AF147" s="12" t="str">
        <x:v>acceptable</x:v>
      </x:c>
      <x:c r="AG147" s="12" t="n">
        <x:v>1</x:v>
      </x:c>
      <x:c r="AH147" s="12" t="str">
        <x:v>acceptable</x:v>
      </x:c>
      <x:c r="AI147" s="12" t="str">
        <x:v>acceptable</x:v>
      </x:c>
      <x:c r="AJ147" s="12" t="str">
        <x:v>acceptable</x:v>
      </x:c>
      <x:c r="AK147" s="12" t="str">
        <x:v>acceptable</x:v>
      </x:c>
      <x:c r="AL147" s="12" t="str">
        <x:v>mild</x:v>
      </x:c>
      <x:c r="AM147" s="14" t="str">
        <x:v>Moderate pose, crop, blur, or facial texture causes minor landmark uncertainty; the result remains usable.</x:v>
      </x:c>
    </x:row>
    <x:row r="148" ht="28" customHeight="1">
      <x:c r="A148" s="12" t="str">
        <x:v>fear_047</x:v>
      </x:c>
      <x:c r="B148" s="12" t="str">
        <x:v>fear</x:v>
      </x:c>
      <x:c r="C148" s="14" t="str">
        <x:v>fear/Training_71834753.jpg</x:v>
      </x:c>
      <x:c r="D148" s="12" t="str">
        <x:v>a4c40c3ccd31b71ef4e9099ccd59178d6053e280572e3eb96abf7c8bab606503</x:v>
      </x:c>
      <x:c r="E148" s="12" t="str">
        <x:v>a4c40c3ccd31b71ef4e9099ccd59178d6053e280572e3eb96abf7c8bab606503</x:v>
      </x:c>
      <x:c r="F148" s="12" t="str">
        <x:v>True</x:v>
      </x:c>
      <x:c r="G148" s="12" t="str">
        <x:v>48</x:v>
      </x:c>
      <x:c r="H148" s="12" t="str">
        <x:v>48</x:v>
      </x:c>
      <x:c r="I148" s="12" t="str">
        <x:v>0.0</x:v>
      </x:c>
      <x:c r="J148" s="12" t="str">
        <x:v>0.0</x:v>
      </x:c>
      <x:c r="K148" s="12" t="str">
        <x:v>47.0</x:v>
      </x:c>
      <x:c r="L148" s="12" t="str">
        <x:v>47.0</x:v>
      </x:c>
      <x:c r="M148" s="12" t="str">
        <x:v>True</x:v>
      </x:c>
      <x:c r="N148" s="12" t="str">
        <x:v>68</x:v>
      </x:c>
      <x:c r="O148" s="12" t="str">
        <x:v>68</x:v>
      </x:c>
      <x:c r="P148" s="16" t="str">
        <x:v>1.0</x:v>
      </x:c>
      <x:c r="Q148" s="12" t="str">
        <x:v>68</x:v>
      </x:c>
      <x:c r="R148" s="16" t="str">
        <x:v>1.0</x:v>
      </x:c>
      <x:c r="S148" s="12" t="str">
        <x:v>0.2</x:v>
      </x:c>
      <x:c r="T148" s="12" t="str">
        <x:v>68</x:v>
      </x:c>
      <x:c r="U148" s="16" t="str">
        <x:v>1.0</x:v>
      </x:c>
      <x:c r="V148" s="18" t="str">
        <x:v>0.7461951375007629</x:v>
      </x:c>
      <x:c r="W148" s="18" t="str">
        <x:v>0.7856491208076477</x:v>
      </x:c>
      <x:c r="X148" s="18" t="str">
        <x:v>0.8343312740325928</x:v>
      </x:c>
      <x:c r="Y148" s="18" t="str">
        <x:v>0.8411412239074707</x:v>
      </x:c>
      <x:c r="Z148" s="18" t="str">
        <x:v>0.876083517074585</x:v>
      </x:c>
      <x:c r="AA148" s="18" t="str">
        <x:v>0.8994460701942444</x:v>
      </x:c>
      <x:c r="AB148" s="20" t="str">
        <x:v>155.6893000015407</x:v>
      </x:c>
      <x:c r="AC148" s="12" t="str">
        <x:v>overlays\fear_047.png</x:v>
      </x:c>
      <x:c r="AD148" s="12" t="str"/>
      <x:c r="AE148" s="12" t="str"/>
      <x:c r="AF148" s="12" t="str">
        <x:v>acceptable</x:v>
      </x:c>
      <x:c r="AG148" s="12" t="n">
        <x:v>1</x:v>
      </x:c>
      <x:c r="AH148" s="12" t="str">
        <x:v>acceptable</x:v>
      </x:c>
      <x:c r="AI148" s="12" t="str">
        <x:v>acceptable</x:v>
      </x:c>
      <x:c r="AJ148" s="12" t="str">
        <x:v>acceptable</x:v>
      </x:c>
      <x:c r="AK148" s="12" t="str">
        <x:v>not_applicable</x:v>
      </x:c>
      <x:c r="AL148" s="12" t="str">
        <x:v>mild</x:v>
      </x:c>
      <x:c r="AM148" s="14" t="str">
        <x:v>Moderate pose, crop, blur, or facial texture causes minor landmark uncertainty; the result remains usable.</x:v>
      </x:c>
    </x:row>
    <x:row r="149" ht="28" customHeight="1">
      <x:c r="A149" s="12" t="str">
        <x:v>fear_048</x:v>
      </x:c>
      <x:c r="B149" s="12" t="str">
        <x:v>fear</x:v>
      </x:c>
      <x:c r="C149" s="14" t="str">
        <x:v>fear/Training_30822291.jpg</x:v>
      </x:c>
      <x:c r="D149" s="12" t="str">
        <x:v>423cfd6dbd717cfaa293e23e54ed7775d25c28b3afd94c88ccfdf67b76aafec5</x:v>
      </x:c>
      <x:c r="E149" s="12" t="str">
        <x:v>423cfd6dbd717cfaa293e23e54ed7775d25c28b3afd94c88ccfdf67b76aafec5</x:v>
      </x:c>
      <x:c r="F149" s="12" t="str">
        <x:v>True</x:v>
      </x:c>
      <x:c r="G149" s="12" t="str">
        <x:v>48</x:v>
      </x:c>
      <x:c r="H149" s="12" t="str">
        <x:v>48</x:v>
      </x:c>
      <x:c r="I149" s="12" t="str">
        <x:v>0.0</x:v>
      </x:c>
      <x:c r="J149" s="12" t="str">
        <x:v>0.0</x:v>
      </x:c>
      <x:c r="K149" s="12" t="str">
        <x:v>47.0</x:v>
      </x:c>
      <x:c r="L149" s="12" t="str">
        <x:v>47.0</x:v>
      </x:c>
      <x:c r="M149" s="12" t="str">
        <x:v>True</x:v>
      </x:c>
      <x:c r="N149" s="12" t="str">
        <x:v>68</x:v>
      </x:c>
      <x:c r="O149" s="12" t="str">
        <x:v>68</x:v>
      </x:c>
      <x:c r="P149" s="16" t="str">
        <x:v>1.0</x:v>
      </x:c>
      <x:c r="Q149" s="12" t="str">
        <x:v>68</x:v>
      </x:c>
      <x:c r="R149" s="16" t="str">
        <x:v>1.0</x:v>
      </x:c>
      <x:c r="S149" s="12" t="str">
        <x:v>0.2</x:v>
      </x:c>
      <x:c r="T149" s="12" t="str">
        <x:v>68</x:v>
      </x:c>
      <x:c r="U149" s="16" t="str">
        <x:v>1.0</x:v>
      </x:c>
      <x:c r="V149" s="18" t="str">
        <x:v>0.74811851978302</x:v>
      </x:c>
      <x:c r="W149" s="18" t="str">
        <x:v>0.7953052163124085</x:v>
      </x:c>
      <x:c r="X149" s="18" t="str">
        <x:v>0.850089967250824</x:v>
      </x:c>
      <x:c r="Y149" s="18" t="str">
        <x:v>0.860198974609375</x:v>
      </x:c>
      <x:c r="Z149" s="18" t="str">
        <x:v>0.8881168961524963</x:v>
      </x:c>
      <x:c r="AA149" s="18" t="str">
        <x:v>0.9194945096969604</x:v>
      </x:c>
      <x:c r="AB149" s="20" t="str">
        <x:v>215.8041000002413</x:v>
      </x:c>
      <x:c r="AC149" s="12" t="str">
        <x:v>overlays\fear_048.png</x:v>
      </x:c>
      <x:c r="AD149" s="12" t="str"/>
      <x:c r="AE149" s="12" t="str"/>
      <x:c r="AF149" s="12" t="str">
        <x:v>acceptable</x:v>
      </x:c>
      <x:c r="AG149" s="12" t="n">
        <x:v>1</x:v>
      </x:c>
      <x:c r="AH149" s="12" t="str">
        <x:v>acceptable</x:v>
      </x:c>
      <x:c r="AI149" s="12" t="str">
        <x:v>acceptable</x:v>
      </x:c>
      <x:c r="AJ149" s="12" t="str">
        <x:v>acceptable</x:v>
      </x:c>
      <x:c r="AK149" s="12" t="str">
        <x:v>not_applicable</x:v>
      </x:c>
      <x:c r="AL149" s="12" t="str">
        <x:v>mild</x:v>
      </x:c>
      <x:c r="AM149" s="14" t="str">
        <x:v>Moderate pose, crop, blur, or facial texture causes minor landmark uncertainty; the result remains usable.</x:v>
      </x:c>
    </x:row>
    <x:row r="150" ht="28" customHeight="1">
      <x:c r="A150" s="12" t="str">
        <x:v>fear_049</x:v>
      </x:c>
      <x:c r="B150" s="12" t="str">
        <x:v>fear</x:v>
      </x:c>
      <x:c r="C150" s="14" t="str">
        <x:v>fear/Training_6358706.jpg</x:v>
      </x:c>
      <x:c r="D150" s="12" t="str">
        <x:v>5ab10ea3a8efdaeef13a0542f6e0617c6b5d2d109ea9d3c58619f85acae61a51</x:v>
      </x:c>
      <x:c r="E150" s="12" t="str">
        <x:v>5ab10ea3a8efdaeef13a0542f6e0617c6b5d2d109ea9d3c58619f85acae61a51</x:v>
      </x:c>
      <x:c r="F150" s="12" t="str">
        <x:v>True</x:v>
      </x:c>
      <x:c r="G150" s="12" t="str">
        <x:v>48</x:v>
      </x:c>
      <x:c r="H150" s="12" t="str">
        <x:v>48</x:v>
      </x:c>
      <x:c r="I150" s="12" t="str">
        <x:v>0.0</x:v>
      </x:c>
      <x:c r="J150" s="12" t="str">
        <x:v>0.0</x:v>
      </x:c>
      <x:c r="K150" s="12" t="str">
        <x:v>47.0</x:v>
      </x:c>
      <x:c r="L150" s="12" t="str">
        <x:v>47.0</x:v>
      </x:c>
      <x:c r="M150" s="12" t="str">
        <x:v>True</x:v>
      </x:c>
      <x:c r="N150" s="12" t="str">
        <x:v>68</x:v>
      </x:c>
      <x:c r="O150" s="12" t="str">
        <x:v>68</x:v>
      </x:c>
      <x:c r="P150" s="16" t="str">
        <x:v>1.0</x:v>
      </x:c>
      <x:c r="Q150" s="12" t="str">
        <x:v>68</x:v>
      </x:c>
      <x:c r="R150" s="16" t="str">
        <x:v>1.0</x:v>
      </x:c>
      <x:c r="S150" s="12" t="str">
        <x:v>0.2</x:v>
      </x:c>
      <x:c r="T150" s="12" t="str">
        <x:v>68</x:v>
      </x:c>
      <x:c r="U150" s="16" t="str">
        <x:v>1.0</x:v>
      </x:c>
      <x:c r="V150" s="18" t="str">
        <x:v>0.33488407731056213</x:v>
      </x:c>
      <x:c r="W150" s="18" t="str">
        <x:v>0.4752036690711975</x:v>
      </x:c>
      <x:c r="X150" s="18" t="str">
        <x:v>0.7442070245742798</x:v>
      </x:c>
      <x:c r="Y150" s="18" t="str">
        <x:v>0.8030369281768799</x:v>
      </x:c>
      <x:c r="Z150" s="18" t="str">
        <x:v>0.8623219966888428</x:v>
      </x:c>
      <x:c r="AA150" s="18" t="str">
        <x:v>0.8963831067085266</x:v>
      </x:c>
      <x:c r="AB150" s="20" t="str">
        <x:v>152.9489000022295</x:v>
      </x:c>
      <x:c r="AC150" s="12" t="str">
        <x:v>overlays\fear_049.png</x:v>
      </x:c>
      <x:c r="AD150" s="12" t="str"/>
      <x:c r="AE150" s="12" t="str"/>
      <x:c r="AF150" s="12" t="str">
        <x:v>good</x:v>
      </x:c>
      <x:c r="AG150" s="12" t="n">
        <x:v>1</x:v>
      </x:c>
      <x:c r="AH150" s="12" t="str">
        <x:v>good</x:v>
      </x:c>
      <x:c r="AI150" s="12" t="str">
        <x:v>good</x:v>
      </x:c>
      <x:c r="AJ150" s="12" t="str">
        <x:v>good</x:v>
      </x:c>
      <x:c r="AK150" s="12" t="str">
        <x:v>good</x:v>
      </x:c>
      <x:c r="AL150" s="12" t="str">
        <x:v>none</x:v>
      </x:c>
      <x:c r="AM150" s="14" t="str">
        <x:v>Clear and well-aligned facial landmarks with no major pose, crop, or occlusion issue.</x:v>
      </x:c>
    </x:row>
    <x:row r="151" ht="28" customHeight="1">
      <x:c r="A151" s="12" t="str">
        <x:v>fear_050</x:v>
      </x:c>
      <x:c r="B151" s="12" t="str">
        <x:v>fear</x:v>
      </x:c>
      <x:c r="C151" s="14" t="str">
        <x:v>fear/Training_88831227.jpg</x:v>
      </x:c>
      <x:c r="D151" s="12" t="str">
        <x:v>5a340047bd2c3cbdc7732863e746fedc639f3cce0ecd04bed0f8472f548e2cc6</x:v>
      </x:c>
      <x:c r="E151" s="12" t="str">
        <x:v>5a340047bd2c3cbdc7732863e746fedc639f3cce0ecd04bed0f8472f548e2cc6</x:v>
      </x:c>
      <x:c r="F151" s="12" t="str">
        <x:v>True</x:v>
      </x:c>
      <x:c r="G151" s="12" t="str">
        <x:v>48</x:v>
      </x:c>
      <x:c r="H151" s="12" t="str">
        <x:v>48</x:v>
      </x:c>
      <x:c r="I151" s="12" t="str">
        <x:v>0.0</x:v>
      </x:c>
      <x:c r="J151" s="12" t="str">
        <x:v>0.0</x:v>
      </x:c>
      <x:c r="K151" s="12" t="str">
        <x:v>47.0</x:v>
      </x:c>
      <x:c r="L151" s="12" t="str">
        <x:v>47.0</x:v>
      </x:c>
      <x:c r="M151" s="12" t="str">
        <x:v>True</x:v>
      </x:c>
      <x:c r="N151" s="12" t="str">
        <x:v>68</x:v>
      </x:c>
      <x:c r="O151" s="12" t="str">
        <x:v>68</x:v>
      </x:c>
      <x:c r="P151" s="16" t="str">
        <x:v>1.0</x:v>
      </x:c>
      <x:c r="Q151" s="12" t="str">
        <x:v>68</x:v>
      </x:c>
      <x:c r="R151" s="16" t="str">
        <x:v>1.0</x:v>
      </x:c>
      <x:c r="S151" s="12" t="str">
        <x:v>0.2</x:v>
      </x:c>
      <x:c r="T151" s="12" t="str">
        <x:v>68</x:v>
      </x:c>
      <x:c r="U151" s="16" t="str">
        <x:v>1.0</x:v>
      </x:c>
      <x:c r="V151" s="18" t="str">
        <x:v>0.7650392055511475</x:v>
      </x:c>
      <x:c r="W151" s="18" t="str">
        <x:v>0.8049945950508117</x:v>
      </x:c>
      <x:c r="X151" s="18" t="str">
        <x:v>0.8479437828063965</x:v>
      </x:c>
      <x:c r="Y151" s="18" t="str">
        <x:v>0.8510229587554932</x:v>
      </x:c>
      <x:c r="Z151" s="18" t="str">
        <x:v>0.8867383778095246</x:v>
      </x:c>
      <x:c r="AA151" s="18" t="str">
        <x:v>0.9133986830711365</x:v>
      </x:c>
      <x:c r="AB151" s="20" t="str">
        <x:v>152.75909999763826</x:v>
      </x:c>
      <x:c r="AC151" s="12" t="str">
        <x:v>overlays\fear_050.png</x:v>
      </x:c>
      <x:c r="AD151" s="12" t="str"/>
      <x:c r="AE151" s="12" t="str"/>
      <x:c r="AF151" s="12" t="str">
        <x:v>good</x:v>
      </x:c>
      <x:c r="AG151" s="12" t="n">
        <x:v>1</x:v>
      </x:c>
      <x:c r="AH151" s="12" t="str">
        <x:v>good</x:v>
      </x:c>
      <x:c r="AI151" s="12" t="str">
        <x:v>good</x:v>
      </x:c>
      <x:c r="AJ151" s="12" t="str">
        <x:v>good</x:v>
      </x:c>
      <x:c r="AK151" s="12" t="str">
        <x:v>not_applicable</x:v>
      </x:c>
      <x:c r="AL151" s="12" t="str">
        <x:v>none</x:v>
      </x:c>
      <x:c r="AM151" s="14" t="str">
        <x:v>Clear and well-aligned facial landmarks with no major pose, crop, or occlusion issue.</x:v>
      </x:c>
    </x:row>
    <x:row r="152" ht="28" customHeight="1">
      <x:c r="A152" s="12" t="str">
        <x:v>happy_001</x:v>
      </x:c>
      <x:c r="B152" s="12" t="str">
        <x:v>happy</x:v>
      </x:c>
      <x:c r="C152" s="14" t="str">
        <x:v>happy/Training_25566250.jpg</x:v>
      </x:c>
      <x:c r="D152" s="12" t="str">
        <x:v>5adb8c6ee17f40d912bb9a3ee94e22adbf34f21537ff404106d5f10385c8da8a</x:v>
      </x:c>
      <x:c r="E152" s="12" t="str">
        <x:v>5adb8c6ee17f40d912bb9a3ee94e22adbf34f21537ff404106d5f10385c8da8a</x:v>
      </x:c>
      <x:c r="F152" s="12" t="str">
        <x:v>True</x:v>
      </x:c>
      <x:c r="G152" s="12" t="str">
        <x:v>48</x:v>
      </x:c>
      <x:c r="H152" s="12" t="str">
        <x:v>48</x:v>
      </x:c>
      <x:c r="I152" s="12" t="str">
        <x:v>0.0</x:v>
      </x:c>
      <x:c r="J152" s="12" t="str">
        <x:v>0.0</x:v>
      </x:c>
      <x:c r="K152" s="12" t="str">
        <x:v>47.0</x:v>
      </x:c>
      <x:c r="L152" s="12" t="str">
        <x:v>47.0</x:v>
      </x:c>
      <x:c r="M152" s="12" t="str">
        <x:v>True</x:v>
      </x:c>
      <x:c r="N152" s="12" t="str">
        <x:v>68</x:v>
      </x:c>
      <x:c r="O152" s="12" t="str">
        <x:v>68</x:v>
      </x:c>
      <x:c r="P152" s="16" t="str">
        <x:v>1.0</x:v>
      </x:c>
      <x:c r="Q152" s="12" t="str">
        <x:v>68</x:v>
      </x:c>
      <x:c r="R152" s="16" t="str">
        <x:v>1.0</x:v>
      </x:c>
      <x:c r="S152" s="12" t="str">
        <x:v>0.2</x:v>
      </x:c>
      <x:c r="T152" s="12" t="str">
        <x:v>68</x:v>
      </x:c>
      <x:c r="U152" s="16" t="str">
        <x:v>1.0</x:v>
      </x:c>
      <x:c r="V152" s="18" t="str">
        <x:v>0.24379488825798035</x:v>
      </x:c>
      <x:c r="W152" s="18" t="str">
        <x:v>0.5567171275615692</x:v>
      </x:c>
      <x:c r="X152" s="18" t="str">
        <x:v>0.7385241389274597</x:v>
      </x:c>
      <x:c r="Y152" s="18" t="str">
        <x:v>0.7878416776657104</x:v>
      </x:c>
      <x:c r="Z152" s="18" t="str">
        <x:v>0.8719996452331543</x:v>
      </x:c>
      <x:c r="AA152" s="18" t="str">
        <x:v>0.9035791754722595</x:v>
      </x:c>
      <x:c r="AB152" s="20" t="str">
        <x:v>208.89960000204155</x:v>
      </x:c>
      <x:c r="AC152" s="12" t="str">
        <x:v>overlays\happy_001.png</x:v>
      </x:c>
      <x:c r="AD152" s="12" t="str"/>
      <x:c r="AE152" s="12" t="str"/>
      <x:c r="AF152" s="12" t="str">
        <x:v>acceptable</x:v>
      </x:c>
      <x:c r="AG152" s="12" t="n">
        <x:v>1</x:v>
      </x:c>
      <x:c r="AH152" s="12" t="str">
        <x:v>acceptable</x:v>
      </x:c>
      <x:c r="AI152" s="12" t="str">
        <x:v>acceptable</x:v>
      </x:c>
      <x:c r="AJ152" s="12" t="str">
        <x:v>acceptable</x:v>
      </x:c>
      <x:c r="AK152" s="12" t="str">
        <x:v>acceptable</x:v>
      </x:c>
      <x:c r="AL152" s="12" t="str">
        <x:v>mild</x:v>
      </x:c>
      <x:c r="AM152" s="14" t="str">
        <x:v>Large pose or profile; visible landmarks remain useful, while hidden-side and contour points are inferred.</x:v>
      </x:c>
    </x:row>
    <x:row r="153" ht="28" customHeight="1">
      <x:c r="A153" s="12" t="str">
        <x:v>happy_002</x:v>
      </x:c>
      <x:c r="B153" s="12" t="str">
        <x:v>happy</x:v>
      </x:c>
      <x:c r="C153" s="14" t="str">
        <x:v>happy/Training_56416885.jpg</x:v>
      </x:c>
      <x:c r="D153" s="12" t="str">
        <x:v>273a9b0c1191533de1be4155283c886e654cbf29bf53b76d68be7ce95679d97e</x:v>
      </x:c>
      <x:c r="E153" s="12" t="str">
        <x:v>273a9b0c1191533de1be4155283c886e654cbf29bf53b76d68be7ce95679d97e</x:v>
      </x:c>
      <x:c r="F153" s="12" t="str">
        <x:v>True</x:v>
      </x:c>
      <x:c r="G153" s="12" t="str">
        <x:v>48</x:v>
      </x:c>
      <x:c r="H153" s="12" t="str">
        <x:v>48</x:v>
      </x:c>
      <x:c r="I153" s="12" t="str">
        <x:v>0.0</x:v>
      </x:c>
      <x:c r="J153" s="12" t="str">
        <x:v>0.0</x:v>
      </x:c>
      <x:c r="K153" s="12" t="str">
        <x:v>47.0</x:v>
      </x:c>
      <x:c r="L153" s="12" t="str">
        <x:v>47.0</x:v>
      </x:c>
      <x:c r="M153" s="12" t="str">
        <x:v>True</x:v>
      </x:c>
      <x:c r="N153" s="12" t="str">
        <x:v>68</x:v>
      </x:c>
      <x:c r="O153" s="12" t="str">
        <x:v>68</x:v>
      </x:c>
      <x:c r="P153" s="16" t="str">
        <x:v>1.0</x:v>
      </x:c>
      <x:c r="Q153" s="12" t="str">
        <x:v>68</x:v>
      </x:c>
      <x:c r="R153" s="16" t="str">
        <x:v>1.0</x:v>
      </x:c>
      <x:c r="S153" s="12" t="str">
        <x:v>0.2</x:v>
      </x:c>
      <x:c r="T153" s="12" t="str">
        <x:v>68</x:v>
      </x:c>
      <x:c r="U153" s="16" t="str">
        <x:v>1.0</x:v>
      </x:c>
      <x:c r="V153" s="18" t="str">
        <x:v>0.7085938453674316</x:v>
      </x:c>
      <x:c r="W153" s="18" t="str">
        <x:v>0.7818939208984375</x:v>
      </x:c>
      <x:c r="X153" s="18" t="str">
        <x:v>0.8398776054382324</x:v>
      </x:c>
      <x:c r="Y153" s="18" t="str">
        <x:v>0.8435968160629272</x:v>
      </x:c>
      <x:c r="Z153" s="18" t="str">
        <x:v>0.8817180216312408</x:v>
      </x:c>
      <x:c r="AA153" s="18" t="str">
        <x:v>0.9213830232620239</x:v>
      </x:c>
      <x:c r="AB153" s="20" t="str">
        <x:v>165.29499999887776</x:v>
      </x:c>
      <x:c r="AC153" s="12" t="str">
        <x:v>overlays\happy_002.png</x:v>
      </x:c>
      <x:c r="AD153" s="12" t="str"/>
      <x:c r="AE153" s="12" t="str"/>
      <x:c r="AF153" s="12" t="str">
        <x:v>good</x:v>
      </x:c>
      <x:c r="AG153" s="12" t="n">
        <x:v>1</x:v>
      </x:c>
      <x:c r="AH153" s="12" t="str">
        <x:v>good</x:v>
      </x:c>
      <x:c r="AI153" s="12" t="str">
        <x:v>good</x:v>
      </x:c>
      <x:c r="AJ153" s="12" t="str">
        <x:v>good</x:v>
      </x:c>
      <x:c r="AK153" s="12" t="str">
        <x:v>not_applicable</x:v>
      </x:c>
      <x:c r="AL153" s="12" t="str">
        <x:v>none</x:v>
      </x:c>
      <x:c r="AM153" s="14" t="str">
        <x:v>Clear and well-aligned facial landmarks with no major pose, crop, or occlusion issue.</x:v>
      </x:c>
    </x:row>
    <x:row r="154" ht="28" customHeight="1">
      <x:c r="A154" s="12" t="str">
        <x:v>happy_003</x:v>
      </x:c>
      <x:c r="B154" s="12" t="str">
        <x:v>happy</x:v>
      </x:c>
      <x:c r="C154" s="14" t="str">
        <x:v>happy/Training_1027250.jpg</x:v>
      </x:c>
      <x:c r="D154" s="12" t="str">
        <x:v>60d0da158e9e0ce2b8f03a3c2feac99f0605c7cabcd8f4e3de084d4b3beca46a</x:v>
      </x:c>
      <x:c r="E154" s="12" t="str">
        <x:v>60d0da158e9e0ce2b8f03a3c2feac99f0605c7cabcd8f4e3de084d4b3beca46a</x:v>
      </x:c>
      <x:c r="F154" s="12" t="str">
        <x:v>True</x:v>
      </x:c>
      <x:c r="G154" s="12" t="str">
        <x:v>48</x:v>
      </x:c>
      <x:c r="H154" s="12" t="str">
        <x:v>48</x:v>
      </x:c>
      <x:c r="I154" s="12" t="str">
        <x:v>0.0</x:v>
      </x:c>
      <x:c r="J154" s="12" t="str">
        <x:v>0.0</x:v>
      </x:c>
      <x:c r="K154" s="12" t="str">
        <x:v>47.0</x:v>
      </x:c>
      <x:c r="L154" s="12" t="str">
        <x:v>47.0</x:v>
      </x:c>
      <x:c r="M154" s="12" t="str">
        <x:v>True</x:v>
      </x:c>
      <x:c r="N154" s="12" t="str">
        <x:v>68</x:v>
      </x:c>
      <x:c r="O154" s="12" t="str">
        <x:v>68</x:v>
      </x:c>
      <x:c r="P154" s="16" t="str">
        <x:v>1.0</x:v>
      </x:c>
      <x:c r="Q154" s="12" t="str">
        <x:v>68</x:v>
      </x:c>
      <x:c r="R154" s="16" t="str">
        <x:v>1.0</x:v>
      </x:c>
      <x:c r="S154" s="12" t="str">
        <x:v>0.2</x:v>
      </x:c>
      <x:c r="T154" s="12" t="str">
        <x:v>68</x:v>
      </x:c>
      <x:c r="U154" s="16" t="str">
        <x:v>1.0</x:v>
      </x:c>
      <x:c r="V154" s="18" t="str">
        <x:v>0.7430474758148193</x:v>
      </x:c>
      <x:c r="W154" s="18" t="str">
        <x:v>0.7886768519878388</x:v>
      </x:c>
      <x:c r="X154" s="18" t="str">
        <x:v>0.8515877723693848</x:v>
      </x:c>
      <x:c r="Y154" s="18" t="str">
        <x:v>0.862732470035553</x:v>
      </x:c>
      <x:c r="Z154" s="18" t="str">
        <x:v>0.8964078247547149</x:v>
      </x:c>
      <x:c r="AA154" s="18" t="str">
        <x:v>0.9224328994750977</x:v>
      </x:c>
      <x:c r="AB154" s="20" t="str">
        <x:v>218.95179999410175</x:v>
      </x:c>
      <x:c r="AC154" s="12" t="str">
        <x:v>overlays\happy_003.png</x:v>
      </x:c>
      <x:c r="AD154" s="12" t="str"/>
      <x:c r="AE154" s="12" t="str"/>
      <x:c r="AF154" s="12" t="str">
        <x:v>good</x:v>
      </x:c>
      <x:c r="AG154" s="12" t="n">
        <x:v>1</x:v>
      </x:c>
      <x:c r="AH154" s="12" t="str">
        <x:v>good</x:v>
      </x:c>
      <x:c r="AI154" s="12" t="str">
        <x:v>good</x:v>
      </x:c>
      <x:c r="AJ154" s="12" t="str">
        <x:v>good</x:v>
      </x:c>
      <x:c r="AK154" s="12" t="str">
        <x:v>good</x:v>
      </x:c>
      <x:c r="AL154" s="12" t="str">
        <x:v>none</x:v>
      </x:c>
      <x:c r="AM154" s="14" t="str">
        <x:v>Large pose or profile; visible landmarks remain useful, while hidden-side and contour points are inferred.</x:v>
      </x:c>
    </x:row>
    <x:row r="155" ht="28" customHeight="1">
      <x:c r="A155" s="12" t="str">
        <x:v>happy_004</x:v>
      </x:c>
      <x:c r="B155" s="12" t="str">
        <x:v>happy</x:v>
      </x:c>
      <x:c r="C155" s="14" t="str">
        <x:v>happy/Training_83878071.jpg</x:v>
      </x:c>
      <x:c r="D155" s="12" t="str">
        <x:v>efb9b8896f320c18046c1831bae2d47e9619ed2cf810cbb2c22f93e5b9d4146a</x:v>
      </x:c>
      <x:c r="E155" s="12" t="str">
        <x:v>efb9b8896f320c18046c1831bae2d47e9619ed2cf810cbb2c22f93e5b9d4146a</x:v>
      </x:c>
      <x:c r="F155" s="12" t="str">
        <x:v>True</x:v>
      </x:c>
      <x:c r="G155" s="12" t="str">
        <x:v>48</x:v>
      </x:c>
      <x:c r="H155" s="12" t="str">
        <x:v>48</x:v>
      </x:c>
      <x:c r="I155" s="12" t="str">
        <x:v>0.0</x:v>
      </x:c>
      <x:c r="J155" s="12" t="str">
        <x:v>0.0</x:v>
      </x:c>
      <x:c r="K155" s="12" t="str">
        <x:v>47.0</x:v>
      </x:c>
      <x:c r="L155" s="12" t="str">
        <x:v>47.0</x:v>
      </x:c>
      <x:c r="M155" s="12" t="str">
        <x:v>True</x:v>
      </x:c>
      <x:c r="N155" s="12" t="str">
        <x:v>68</x:v>
      </x:c>
      <x:c r="O155" s="12" t="str">
        <x:v>68</x:v>
      </x:c>
      <x:c r="P155" s="16" t="str">
        <x:v>1.0</x:v>
      </x:c>
      <x:c r="Q155" s="12" t="str">
        <x:v>68</x:v>
      </x:c>
      <x:c r="R155" s="16" t="str">
        <x:v>1.0</x:v>
      </x:c>
      <x:c r="S155" s="12" t="str">
        <x:v>0.2</x:v>
      </x:c>
      <x:c r="T155" s="12" t="str">
        <x:v>68</x:v>
      </x:c>
      <x:c r="U155" s="16" t="str">
        <x:v>1.0</x:v>
      </x:c>
      <x:c r="V155" s="18" t="str">
        <x:v>0.6666280627250671</x:v>
      </x:c>
      <x:c r="W155" s="18" t="str">
        <x:v>0.7629498183727265</x:v>
      </x:c>
      <x:c r="X155" s="18" t="str">
        <x:v>0.8261092901229858</x:v>
      </x:c>
      <x:c r="Y155" s="18" t="str">
        <x:v>0.8357782959938049</x:v>
      </x:c>
      <x:c r="Z155" s="18" t="str">
        <x:v>0.8760761678218841</x:v>
      </x:c>
      <x:c r="AA155" s="18" t="str">
        <x:v>0.919624388217926</x:v>
      </x:c>
      <x:c r="AB155" s="20" t="str">
        <x:v>152.39869999641087</x:v>
      </x:c>
      <x:c r="AC155" s="12" t="str">
        <x:v>overlays\happy_004.png</x:v>
      </x:c>
      <x:c r="AD155" s="12" t="str"/>
      <x:c r="AE155" s="12" t="str"/>
      <x:c r="AF155" s="12" t="str">
        <x:v>good</x:v>
      </x:c>
      <x:c r="AG155" s="12" t="n">
        <x:v>1</x:v>
      </x:c>
      <x:c r="AH155" s="12" t="str">
        <x:v>good</x:v>
      </x:c>
      <x:c r="AI155" s="12" t="str">
        <x:v>good</x:v>
      </x:c>
      <x:c r="AJ155" s="12" t="str">
        <x:v>good</x:v>
      </x:c>
      <x:c r="AK155" s="12" t="str">
        <x:v>not_applicable</x:v>
      </x:c>
      <x:c r="AL155" s="12" t="str">
        <x:v>none</x:v>
      </x:c>
      <x:c r="AM155" s="14" t="str">
        <x:v>Clear and well-aligned facial landmarks with no major pose, crop, or occlusion issue.</x:v>
      </x:c>
    </x:row>
    <x:row r="156" ht="28" customHeight="1">
      <x:c r="A156" s="12" t="str">
        <x:v>happy_005</x:v>
      </x:c>
      <x:c r="B156" s="12" t="str">
        <x:v>happy</x:v>
      </x:c>
      <x:c r="C156" s="14" t="str">
        <x:v>happy/Training_99396547.jpg</x:v>
      </x:c>
      <x:c r="D156" s="12" t="str">
        <x:v>3de241f1e55e801a13dfea25575e0c54d4c88864a28380e20d63f2345995e5ee</x:v>
      </x:c>
      <x:c r="E156" s="12" t="str">
        <x:v>3de241f1e55e801a13dfea25575e0c54d4c88864a28380e20d63f2345995e5ee</x:v>
      </x:c>
      <x:c r="F156" s="12" t="str">
        <x:v>True</x:v>
      </x:c>
      <x:c r="G156" s="12" t="str">
        <x:v>48</x:v>
      </x:c>
      <x:c r="H156" s="12" t="str">
        <x:v>48</x:v>
      </x:c>
      <x:c r="I156" s="12" t="str">
        <x:v>0.0</x:v>
      </x:c>
      <x:c r="J156" s="12" t="str">
        <x:v>0.0</x:v>
      </x:c>
      <x:c r="K156" s="12" t="str">
        <x:v>47.0</x:v>
      </x:c>
      <x:c r="L156" s="12" t="str">
        <x:v>47.0</x:v>
      </x:c>
      <x:c r="M156" s="12" t="str">
        <x:v>True</x:v>
      </x:c>
      <x:c r="N156" s="12" t="str">
        <x:v>68</x:v>
      </x:c>
      <x:c r="O156" s="12" t="str">
        <x:v>68</x:v>
      </x:c>
      <x:c r="P156" s="16" t="str">
        <x:v>1.0</x:v>
      </x:c>
      <x:c r="Q156" s="12" t="str">
        <x:v>68</x:v>
      </x:c>
      <x:c r="R156" s="16" t="str">
        <x:v>1.0</x:v>
      </x:c>
      <x:c r="S156" s="12" t="str">
        <x:v>0.2</x:v>
      </x:c>
      <x:c r="T156" s="12" t="str">
        <x:v>68</x:v>
      </x:c>
      <x:c r="U156" s="16" t="str">
        <x:v>1.0</x:v>
      </x:c>
      <x:c r="V156" s="18" t="str">
        <x:v>0.702522873878479</x:v>
      </x:c>
      <x:c r="W156" s="18" t="str">
        <x:v>0.7754197895526886</x:v>
      </x:c>
      <x:c r="X156" s="18" t="str">
        <x:v>0.8239330649375916</x:v>
      </x:c>
      <x:c r="Y156" s="18" t="str">
        <x:v>0.8276301622390747</x:v>
      </x:c>
      <x:c r="Z156" s="18" t="str">
        <x:v>0.8671888530254365</x:v>
      </x:c>
      <x:c r="AA156" s="18" t="str">
        <x:v>0.8929741382598877</x:v>
      </x:c>
      <x:c r="AB156" s="20" t="str">
        <x:v>155.70790000492707</x:v>
      </x:c>
      <x:c r="AC156" s="12" t="str">
        <x:v>overlays\happy_005.png</x:v>
      </x:c>
      <x:c r="AD156" s="12" t="str"/>
      <x:c r="AE156" s="12" t="str"/>
      <x:c r="AF156" s="12" t="str">
        <x:v>good</x:v>
      </x:c>
      <x:c r="AG156" s="12" t="n">
        <x:v>1</x:v>
      </x:c>
      <x:c r="AH156" s="12" t="str">
        <x:v>good</x:v>
      </x:c>
      <x:c r="AI156" s="12" t="str">
        <x:v>good</x:v>
      </x:c>
      <x:c r="AJ156" s="12" t="str">
        <x:v>good</x:v>
      </x:c>
      <x:c r="AK156" s="12" t="str">
        <x:v>not_applicable</x:v>
      </x:c>
      <x:c r="AL156" s="12" t="str">
        <x:v>none</x:v>
      </x:c>
      <x:c r="AM156" s="14" t="str">
        <x:v>Clear and well-aligned facial landmarks with no major pose, crop, or occlusion issue.</x:v>
      </x:c>
    </x:row>
    <x:row r="157" ht="28" customHeight="1">
      <x:c r="A157" s="12" t="str">
        <x:v>happy_006</x:v>
      </x:c>
      <x:c r="B157" s="12" t="str">
        <x:v>happy</x:v>
      </x:c>
      <x:c r="C157" s="14" t="str">
        <x:v>happy/Training_83686207.jpg</x:v>
      </x:c>
      <x:c r="D157" s="12" t="str">
        <x:v>fb0e6ae14cef3f1f4694113ce6c9112c45ad0c5f4645b385c98231076df85afe</x:v>
      </x:c>
      <x:c r="E157" s="12" t="str">
        <x:v>fb0e6ae14cef3f1f4694113ce6c9112c45ad0c5f4645b385c98231076df85afe</x:v>
      </x:c>
      <x:c r="F157" s="12" t="str">
        <x:v>True</x:v>
      </x:c>
      <x:c r="G157" s="12" t="str">
        <x:v>48</x:v>
      </x:c>
      <x:c r="H157" s="12" t="str">
        <x:v>48</x:v>
      </x:c>
      <x:c r="I157" s="12" t="str">
        <x:v>0.0</x:v>
      </x:c>
      <x:c r="J157" s="12" t="str">
        <x:v>0.0</x:v>
      </x:c>
      <x:c r="K157" s="12" t="str">
        <x:v>47.0</x:v>
      </x:c>
      <x:c r="L157" s="12" t="str">
        <x:v>47.0</x:v>
      </x:c>
      <x:c r="M157" s="12" t="str">
        <x:v>True</x:v>
      </x:c>
      <x:c r="N157" s="12" t="str">
        <x:v>68</x:v>
      </x:c>
      <x:c r="O157" s="12" t="str">
        <x:v>68</x:v>
      </x:c>
      <x:c r="P157" s="16" t="str">
        <x:v>1.0</x:v>
      </x:c>
      <x:c r="Q157" s="12" t="str">
        <x:v>68</x:v>
      </x:c>
      <x:c r="R157" s="16" t="str">
        <x:v>1.0</x:v>
      </x:c>
      <x:c r="S157" s="12" t="str">
        <x:v>0.2</x:v>
      </x:c>
      <x:c r="T157" s="12" t="str">
        <x:v>68</x:v>
      </x:c>
      <x:c r="U157" s="16" t="str">
        <x:v>1.0</x:v>
      </x:c>
      <x:c r="V157" s="18" t="str">
        <x:v>0.6878769993782043</x:v>
      </x:c>
      <x:c r="W157" s="18" t="str">
        <x:v>0.739249712228775</x:v>
      </x:c>
      <x:c r="X157" s="18" t="str">
        <x:v>0.8036928772926331</x:v>
      </x:c>
      <x:c r="Y157" s="18" t="str">
        <x:v>0.8166735172271729</x:v>
      </x:c>
      <x:c r="Z157" s="18" t="str">
        <x:v>0.8519974052906036</x:v>
      </x:c>
      <x:c r="AA157" s="18" t="str">
        <x:v>0.8669479489326477</x:v>
      </x:c>
      <x:c r="AB157" s="20" t="str">
        <x:v>212.49779999925522</x:v>
      </x:c>
      <x:c r="AC157" s="12" t="str">
        <x:v>overlays\happy_006.png</x:v>
      </x:c>
      <x:c r="AD157" s="12" t="str"/>
      <x:c r="AE157" s="12" t="str"/>
      <x:c r="AF157" s="12" t="str">
        <x:v>acceptable</x:v>
      </x:c>
      <x:c r="AG157" s="12" t="n">
        <x:v>1</x:v>
      </x:c>
      <x:c r="AH157" s="12" t="str">
        <x:v>acceptable</x:v>
      </x:c>
      <x:c r="AI157" s="12" t="str">
        <x:v>acceptable</x:v>
      </x:c>
      <x:c r="AJ157" s="12" t="str">
        <x:v>acceptable</x:v>
      </x:c>
      <x:c r="AK157" s="12" t="str">
        <x:v>acceptable</x:v>
      </x:c>
      <x:c r="AL157" s="12" t="str">
        <x:v>mild</x:v>
      </x:c>
      <x:c r="AM157" s="14" t="str">
        <x:v>Moderate pose, crop, blur, or facial texture causes minor landmark uncertainty; the result remains usable.</x:v>
      </x:c>
    </x:row>
    <x:row r="158" ht="28" customHeight="1">
      <x:c r="A158" s="12" t="str">
        <x:v>happy_007</x:v>
      </x:c>
      <x:c r="B158" s="12" t="str">
        <x:v>happy</x:v>
      </x:c>
      <x:c r="C158" s="14" t="str">
        <x:v>happy/Training_3661380.jpg</x:v>
      </x:c>
      <x:c r="D158" s="12" t="str">
        <x:v>7c28301606a180c811b850ebafad830c2bff50c1e51a1eb3ccd760b530c049be</x:v>
      </x:c>
      <x:c r="E158" s="12" t="str">
        <x:v>7c28301606a180c811b850ebafad830c2bff50c1e51a1eb3ccd760b530c049be</x:v>
      </x:c>
      <x:c r="F158" s="12" t="str">
        <x:v>True</x:v>
      </x:c>
      <x:c r="G158" s="12" t="str">
        <x:v>48</x:v>
      </x:c>
      <x:c r="H158" s="12" t="str">
        <x:v>48</x:v>
      </x:c>
      <x:c r="I158" s="12" t="str">
        <x:v>0.0</x:v>
      </x:c>
      <x:c r="J158" s="12" t="str">
        <x:v>0.0</x:v>
      </x:c>
      <x:c r="K158" s="12" t="str">
        <x:v>47.0</x:v>
      </x:c>
      <x:c r="L158" s="12" t="str">
        <x:v>47.0</x:v>
      </x:c>
      <x:c r="M158" s="12" t="str">
        <x:v>True</x:v>
      </x:c>
      <x:c r="N158" s="12" t="str">
        <x:v>68</x:v>
      </x:c>
      <x:c r="O158" s="12" t="str">
        <x:v>68</x:v>
      </x:c>
      <x:c r="P158" s="16" t="str">
        <x:v>1.0</x:v>
      </x:c>
      <x:c r="Q158" s="12" t="str">
        <x:v>68</x:v>
      </x:c>
      <x:c r="R158" s="16" t="str">
        <x:v>1.0</x:v>
      </x:c>
      <x:c r="S158" s="12" t="str">
        <x:v>0.2</x:v>
      </x:c>
      <x:c r="T158" s="12" t="str">
        <x:v>68</x:v>
      </x:c>
      <x:c r="U158" s="16" t="str">
        <x:v>1.0</x:v>
      </x:c>
      <x:c r="V158" s="18" t="str">
        <x:v>0.7605998516082764</x:v>
      </x:c>
      <x:c r="W158" s="18" t="str">
        <x:v>0.7931914746761322</x:v>
      </x:c>
      <x:c r="X158" s="18" t="str">
        <x:v>0.8391910195350647</x:v>
      </x:c>
      <x:c r="Y158" s="18" t="str">
        <x:v>0.8418010473251343</x:v>
      </x:c>
      <x:c r="Z158" s="18" t="str">
        <x:v>0.8796567022800446</x:v>
      </x:c>
      <x:c r="AA158" s="18" t="str">
        <x:v>0.9111425280570984</x:v>
      </x:c>
      <x:c r="AB158" s="20" t="str">
        <x:v>183.16970000159927</x:v>
      </x:c>
      <x:c r="AC158" s="12" t="str">
        <x:v>overlays\happy_007.png</x:v>
      </x:c>
      <x:c r="AD158" s="12" t="str"/>
      <x:c r="AE158" s="12" t="str"/>
      <x:c r="AF158" s="12" t="str">
        <x:v>good</x:v>
      </x:c>
      <x:c r="AG158" s="12" t="n">
        <x:v>1</x:v>
      </x:c>
      <x:c r="AH158" s="12" t="str">
        <x:v>good</x:v>
      </x:c>
      <x:c r="AI158" s="12" t="str">
        <x:v>good</x:v>
      </x:c>
      <x:c r="AJ158" s="12" t="str">
        <x:v>good</x:v>
      </x:c>
      <x:c r="AK158" s="12" t="str">
        <x:v>good</x:v>
      </x:c>
      <x:c r="AL158" s="12" t="str">
        <x:v>none</x:v>
      </x:c>
      <x:c r="AM158" s="14" t="str">
        <x:v>Clear and well-aligned facial landmarks with no major pose, crop, or occlusion issue.</x:v>
      </x:c>
    </x:row>
    <x:row r="159" ht="28" customHeight="1">
      <x:c r="A159" s="12" t="str">
        <x:v>happy_008</x:v>
      </x:c>
      <x:c r="B159" s="12" t="str">
        <x:v>happy</x:v>
      </x:c>
      <x:c r="C159" s="14" t="str">
        <x:v>happy/Training_6152578.jpg</x:v>
      </x:c>
      <x:c r="D159" s="12" t="str">
        <x:v>bbb218a11ed2139b14f85ba064ee5a9b7a8133b60ff70c741121c3a6515a979c</x:v>
      </x:c>
      <x:c r="E159" s="12" t="str">
        <x:v>bbb218a11ed2139b14f85ba064ee5a9b7a8133b60ff70c741121c3a6515a979c</x:v>
      </x:c>
      <x:c r="F159" s="12" t="str">
        <x:v>True</x:v>
      </x:c>
      <x:c r="G159" s="12" t="str">
        <x:v>48</x:v>
      </x:c>
      <x:c r="H159" s="12" t="str">
        <x:v>48</x:v>
      </x:c>
      <x:c r="I159" s="12" t="str">
        <x:v>0.0</x:v>
      </x:c>
      <x:c r="J159" s="12" t="str">
        <x:v>0.0</x:v>
      </x:c>
      <x:c r="K159" s="12" t="str">
        <x:v>47.0</x:v>
      </x:c>
      <x:c r="L159" s="12" t="str">
        <x:v>47.0</x:v>
      </x:c>
      <x:c r="M159" s="12" t="str">
        <x:v>True</x:v>
      </x:c>
      <x:c r="N159" s="12" t="str">
        <x:v>68</x:v>
      </x:c>
      <x:c r="O159" s="12" t="str">
        <x:v>68</x:v>
      </x:c>
      <x:c r="P159" s="16" t="str">
        <x:v>1.0</x:v>
      </x:c>
      <x:c r="Q159" s="12" t="str">
        <x:v>68</x:v>
      </x:c>
      <x:c r="R159" s="16" t="str">
        <x:v>1.0</x:v>
      </x:c>
      <x:c r="S159" s="12" t="str">
        <x:v>0.2</x:v>
      </x:c>
      <x:c r="T159" s="12" t="str">
        <x:v>68</x:v>
      </x:c>
      <x:c r="U159" s="16" t="str">
        <x:v>1.0</x:v>
      </x:c>
      <x:c r="V159" s="18" t="str">
        <x:v>0.6955553293228149</x:v>
      </x:c>
      <x:c r="W159" s="18" t="str">
        <x:v>0.7811376988887787</x:v>
      </x:c>
      <x:c r="X159" s="18" t="str">
        <x:v>0.8400107026100159</x:v>
      </x:c>
      <x:c r="Y159" s="18" t="str">
        <x:v>0.8522697687149048</x:v>
      </x:c>
      <x:c r="Z159" s="18" t="str">
        <x:v>0.8832963585853577</x:v>
      </x:c>
      <x:c r="AA159" s="18" t="str">
        <x:v>0.9368056058883667</x:v>
      </x:c>
      <x:c r="AB159" s="20" t="str">
        <x:v>173.9409000001615</x:v>
      </x:c>
      <x:c r="AC159" s="12" t="str">
        <x:v>overlays\happy_008.png</x:v>
      </x:c>
      <x:c r="AD159" s="12" t="str"/>
      <x:c r="AE159" s="12" t="str"/>
      <x:c r="AF159" s="12" t="str">
        <x:v>good</x:v>
      </x:c>
      <x:c r="AG159" s="12" t="n">
        <x:v>1</x:v>
      </x:c>
      <x:c r="AH159" s="12" t="str">
        <x:v>good</x:v>
      </x:c>
      <x:c r="AI159" s="12" t="str">
        <x:v>good</x:v>
      </x:c>
      <x:c r="AJ159" s="12" t="str">
        <x:v>good</x:v>
      </x:c>
      <x:c r="AK159" s="12" t="str">
        <x:v>good</x:v>
      </x:c>
      <x:c r="AL159" s="12" t="str">
        <x:v>none</x:v>
      </x:c>
      <x:c r="AM159" s="14" t="str">
        <x:v>Clear and well-aligned facial landmarks with no major pose, crop, or occlusion issue.</x:v>
      </x:c>
    </x:row>
    <x:row r="160" ht="28" customHeight="1">
      <x:c r="A160" s="12" t="str">
        <x:v>happy_009</x:v>
      </x:c>
      <x:c r="B160" s="12" t="str">
        <x:v>happy</x:v>
      </x:c>
      <x:c r="C160" s="14" t="str">
        <x:v>happy/Training_8782744.jpg</x:v>
      </x:c>
      <x:c r="D160" s="12" t="str">
        <x:v>2cc1db749109102cad78124e3262708daae497a160bca515d800dbff27ac4aee</x:v>
      </x:c>
      <x:c r="E160" s="12" t="str">
        <x:v>2cc1db749109102cad78124e3262708daae497a160bca515d800dbff27ac4aee</x:v>
      </x:c>
      <x:c r="F160" s="12" t="str">
        <x:v>True</x:v>
      </x:c>
      <x:c r="G160" s="12" t="str">
        <x:v>48</x:v>
      </x:c>
      <x:c r="H160" s="12" t="str">
        <x:v>48</x:v>
      </x:c>
      <x:c r="I160" s="12" t="str">
        <x:v>0.0</x:v>
      </x:c>
      <x:c r="J160" s="12" t="str">
        <x:v>0.0</x:v>
      </x:c>
      <x:c r="K160" s="12" t="str">
        <x:v>47.0</x:v>
      </x:c>
      <x:c r="L160" s="12" t="str">
        <x:v>47.0</x:v>
      </x:c>
      <x:c r="M160" s="12" t="str">
        <x:v>True</x:v>
      </x:c>
      <x:c r="N160" s="12" t="str">
        <x:v>68</x:v>
      </x:c>
      <x:c r="O160" s="12" t="str">
        <x:v>68</x:v>
      </x:c>
      <x:c r="P160" s="16" t="str">
        <x:v>1.0</x:v>
      </x:c>
      <x:c r="Q160" s="12" t="str">
        <x:v>68</x:v>
      </x:c>
      <x:c r="R160" s="16" t="str">
        <x:v>1.0</x:v>
      </x:c>
      <x:c r="S160" s="12" t="str">
        <x:v>0.2</x:v>
      </x:c>
      <x:c r="T160" s="12" t="str">
        <x:v>68</x:v>
      </x:c>
      <x:c r="U160" s="16" t="str">
        <x:v>1.0</x:v>
      </x:c>
      <x:c r="V160" s="18" t="str">
        <x:v>0.2892840802669525</x:v>
      </x:c>
      <x:c r="W160" s="18" t="str">
        <x:v>0.6100227773189545</x:v>
      </x:c>
      <x:c r="X160" s="18" t="str">
        <x:v>0.7626839876174927</x:v>
      </x:c>
      <x:c r="Y160" s="18" t="str">
        <x:v>0.8023428916931152</x:v>
      </x:c>
      <x:c r="Z160" s="18" t="str">
        <x:v>0.868322741985321</x:v>
      </x:c>
      <x:c r="AA160" s="18" t="str">
        <x:v>0.8961135149002075</x:v>
      </x:c>
      <x:c r="AB160" s="20" t="str">
        <x:v>161.71100000065053</x:v>
      </x:c>
      <x:c r="AC160" s="12" t="str">
        <x:v>overlays\happy_009.png</x:v>
      </x:c>
      <x:c r="AD160" s="12" t="str"/>
      <x:c r="AE160" s="12" t="str"/>
      <x:c r="AF160" s="12" t="str">
        <x:v>good</x:v>
      </x:c>
      <x:c r="AG160" s="12" t="n">
        <x:v>1</x:v>
      </x:c>
      <x:c r="AH160" s="12" t="str">
        <x:v>good</x:v>
      </x:c>
      <x:c r="AI160" s="12" t="str">
        <x:v>good</x:v>
      </x:c>
      <x:c r="AJ160" s="12" t="str">
        <x:v>good</x:v>
      </x:c>
      <x:c r="AK160" s="12" t="str">
        <x:v>good</x:v>
      </x:c>
      <x:c r="AL160" s="12" t="str">
        <x:v>none</x:v>
      </x:c>
      <x:c r="AM160" s="14" t="str">
        <x:v>Clear and well-aligned facial landmarks with no major pose, crop, or occlusion issue.</x:v>
      </x:c>
    </x:row>
    <x:row r="161" ht="28" customHeight="1">
      <x:c r="A161" s="12" t="str">
        <x:v>happy_010</x:v>
      </x:c>
      <x:c r="B161" s="12" t="str">
        <x:v>happy</x:v>
      </x:c>
      <x:c r="C161" s="14" t="str">
        <x:v>happy/Training_27676856.jpg</x:v>
      </x:c>
      <x:c r="D161" s="12" t="str">
        <x:v>ef8664b47f350719b0516ef32a03ee74b202881b1343ce1b84acc7c9cf702788</x:v>
      </x:c>
      <x:c r="E161" s="12" t="str">
        <x:v>ef8664b47f350719b0516ef32a03ee74b202881b1343ce1b84acc7c9cf702788</x:v>
      </x:c>
      <x:c r="F161" s="12" t="str">
        <x:v>True</x:v>
      </x:c>
      <x:c r="G161" s="12" t="str">
        <x:v>48</x:v>
      </x:c>
      <x:c r="H161" s="12" t="str">
        <x:v>48</x:v>
      </x:c>
      <x:c r="I161" s="12" t="str">
        <x:v>0.0</x:v>
      </x:c>
      <x:c r="J161" s="12" t="str">
        <x:v>0.0</x:v>
      </x:c>
      <x:c r="K161" s="12" t="str">
        <x:v>47.0</x:v>
      </x:c>
      <x:c r="L161" s="12" t="str">
        <x:v>47.0</x:v>
      </x:c>
      <x:c r="M161" s="12" t="str">
        <x:v>True</x:v>
      </x:c>
      <x:c r="N161" s="12" t="str">
        <x:v>68</x:v>
      </x:c>
      <x:c r="O161" s="12" t="str">
        <x:v>68</x:v>
      </x:c>
      <x:c r="P161" s="16" t="str">
        <x:v>1.0</x:v>
      </x:c>
      <x:c r="Q161" s="12" t="str">
        <x:v>68</x:v>
      </x:c>
      <x:c r="R161" s="16" t="str">
        <x:v>1.0</x:v>
      </x:c>
      <x:c r="S161" s="12" t="str">
        <x:v>0.2</x:v>
      </x:c>
      <x:c r="T161" s="12" t="str">
        <x:v>68</x:v>
      </x:c>
      <x:c r="U161" s="16" t="str">
        <x:v>1.0</x:v>
      </x:c>
      <x:c r="V161" s="18" t="str">
        <x:v>0.4876401424407959</x:v>
      </x:c>
      <x:c r="W161" s="18" t="str">
        <x:v>0.6723888158798218</x:v>
      </x:c>
      <x:c r="X161" s="18" t="str">
        <x:v>0.7832847833633423</x:v>
      </x:c>
      <x:c r="Y161" s="18" t="str">
        <x:v>0.8094388842582703</x:v>
      </x:c>
      <x:c r="Z161" s="18" t="str">
        <x:v>0.8629468023777008</x:v>
      </x:c>
      <x:c r="AA161" s="18" t="str">
        <x:v>0.8852443695068359</x:v>
      </x:c>
      <x:c r="AB161" s="20" t="str">
        <x:v>156.65659999649506</x:v>
      </x:c>
      <x:c r="AC161" s="12" t="str">
        <x:v>overlays\happy_010.png</x:v>
      </x:c>
      <x:c r="AD161" s="12" t="str"/>
      <x:c r="AE161" s="12" t="str"/>
      <x:c r="AF161" s="12" t="str">
        <x:v>good</x:v>
      </x:c>
      <x:c r="AG161" s="12" t="n">
        <x:v>1</x:v>
      </x:c>
      <x:c r="AH161" s="12" t="str">
        <x:v>good</x:v>
      </x:c>
      <x:c r="AI161" s="12" t="str">
        <x:v>good</x:v>
      </x:c>
      <x:c r="AJ161" s="12" t="str">
        <x:v>good</x:v>
      </x:c>
      <x:c r="AK161" s="12" t="str">
        <x:v>good</x:v>
      </x:c>
      <x:c r="AL161" s="12" t="str">
        <x:v>none</x:v>
      </x:c>
      <x:c r="AM161" s="14" t="str">
        <x:v>Clear and well-aligned facial landmarks with no major pose, crop, or occlusion issue.</x:v>
      </x:c>
    </x:row>
    <x:row r="162" ht="28" customHeight="1">
      <x:c r="A162" s="12" t="str">
        <x:v>happy_011</x:v>
      </x:c>
      <x:c r="B162" s="12" t="str">
        <x:v>happy</x:v>
      </x:c>
      <x:c r="C162" s="14" t="str">
        <x:v>happy/Training_62188248.jpg</x:v>
      </x:c>
      <x:c r="D162" s="12" t="str">
        <x:v>b9de524f06645b55d388b3fcddc908c8aba0ad3a11c641f44184347c387d5975</x:v>
      </x:c>
      <x:c r="E162" s="12" t="str">
        <x:v>b9de524f06645b55d388b3fcddc908c8aba0ad3a11c641f44184347c387d5975</x:v>
      </x:c>
      <x:c r="F162" s="12" t="str">
        <x:v>True</x:v>
      </x:c>
      <x:c r="G162" s="12" t="str">
        <x:v>48</x:v>
      </x:c>
      <x:c r="H162" s="12" t="str">
        <x:v>48</x:v>
      </x:c>
      <x:c r="I162" s="12" t="str">
        <x:v>0.0</x:v>
      </x:c>
      <x:c r="J162" s="12" t="str">
        <x:v>0.0</x:v>
      </x:c>
      <x:c r="K162" s="12" t="str">
        <x:v>47.0</x:v>
      </x:c>
      <x:c r="L162" s="12" t="str">
        <x:v>47.0</x:v>
      </x:c>
      <x:c r="M162" s="12" t="str">
        <x:v>True</x:v>
      </x:c>
      <x:c r="N162" s="12" t="str">
        <x:v>68</x:v>
      </x:c>
      <x:c r="O162" s="12" t="str">
        <x:v>68</x:v>
      </x:c>
      <x:c r="P162" s="16" t="str">
        <x:v>1.0</x:v>
      </x:c>
      <x:c r="Q162" s="12" t="str">
        <x:v>68</x:v>
      </x:c>
      <x:c r="R162" s="16" t="str">
        <x:v>1.0</x:v>
      </x:c>
      <x:c r="S162" s="12" t="str">
        <x:v>0.2</x:v>
      </x:c>
      <x:c r="T162" s="12" t="str">
        <x:v>68</x:v>
      </x:c>
      <x:c r="U162" s="16" t="str">
        <x:v>1.0</x:v>
      </x:c>
      <x:c r="V162" s="18" t="str">
        <x:v>0.6592783331871033</x:v>
      </x:c>
      <x:c r="W162" s="18" t="str">
        <x:v>0.7611974775791168</x:v>
      </x:c>
      <x:c r="X162" s="18" t="str">
        <x:v>0.8358351588249207</x:v>
      </x:c>
      <x:c r="Y162" s="18" t="str">
        <x:v>0.8422233462333679</x:v>
      </x:c>
      <x:c r="Z162" s="18" t="str">
        <x:v>0.888012820482254</x:v>
      </x:c>
      <x:c r="AA162" s="18" t="str">
        <x:v>0.9154329299926758</x:v>
      </x:c>
      <x:c r="AB162" s="20" t="str">
        <x:v>190.40169999789214</x:v>
      </x:c>
      <x:c r="AC162" s="12" t="str">
        <x:v>overlays\happy_011.png</x:v>
      </x:c>
      <x:c r="AD162" s="12" t="str"/>
      <x:c r="AE162" s="12" t="str"/>
      <x:c r="AF162" s="12" t="str">
        <x:v>good</x:v>
      </x:c>
      <x:c r="AG162" s="12" t="n">
        <x:v>1</x:v>
      </x:c>
      <x:c r="AH162" s="12" t="str">
        <x:v>good</x:v>
      </x:c>
      <x:c r="AI162" s="12" t="str">
        <x:v>good</x:v>
      </x:c>
      <x:c r="AJ162" s="12" t="str">
        <x:v>good</x:v>
      </x:c>
      <x:c r="AK162" s="12" t="str">
        <x:v>good</x:v>
      </x:c>
      <x:c r="AL162" s="12" t="str">
        <x:v>none</x:v>
      </x:c>
      <x:c r="AM162" s="14" t="str">
        <x:v>Clear and well-aligned facial landmarks with no major pose, crop, or occlusion issue.</x:v>
      </x:c>
    </x:row>
    <x:row r="163" ht="28" customHeight="1">
      <x:c r="A163" s="12" t="str">
        <x:v>happy_012</x:v>
      </x:c>
      <x:c r="B163" s="12" t="str">
        <x:v>happy</x:v>
      </x:c>
      <x:c r="C163" s="14" t="str">
        <x:v>happy/Training_20567352.jpg</x:v>
      </x:c>
      <x:c r="D163" s="12" t="str">
        <x:v>6a6053932b8a6cc6bf8400a1c64080b41ee3e2676aa2a5b386e2b4e7b9c4ba67</x:v>
      </x:c>
      <x:c r="E163" s="12" t="str">
        <x:v>6a6053932b8a6cc6bf8400a1c64080b41ee3e2676aa2a5b386e2b4e7b9c4ba67</x:v>
      </x:c>
      <x:c r="F163" s="12" t="str">
        <x:v>True</x:v>
      </x:c>
      <x:c r="G163" s="12" t="str">
        <x:v>48</x:v>
      </x:c>
      <x:c r="H163" s="12" t="str">
        <x:v>48</x:v>
      </x:c>
      <x:c r="I163" s="12" t="str">
        <x:v>0.0</x:v>
      </x:c>
      <x:c r="J163" s="12" t="str">
        <x:v>0.0</x:v>
      </x:c>
      <x:c r="K163" s="12" t="str">
        <x:v>47.0</x:v>
      </x:c>
      <x:c r="L163" s="12" t="str">
        <x:v>47.0</x:v>
      </x:c>
      <x:c r="M163" s="12" t="str">
        <x:v>True</x:v>
      </x:c>
      <x:c r="N163" s="12" t="str">
        <x:v>68</x:v>
      </x:c>
      <x:c r="O163" s="12" t="str">
        <x:v>68</x:v>
      </x:c>
      <x:c r="P163" s="16" t="str">
        <x:v>1.0</x:v>
      </x:c>
      <x:c r="Q163" s="12" t="str">
        <x:v>68</x:v>
      </x:c>
      <x:c r="R163" s="16" t="str">
        <x:v>1.0</x:v>
      </x:c>
      <x:c r="S163" s="12" t="str">
        <x:v>0.2</x:v>
      </x:c>
      <x:c r="T163" s="12" t="str">
        <x:v>68</x:v>
      </x:c>
      <x:c r="U163" s="16" t="str">
        <x:v>1.0</x:v>
      </x:c>
      <x:c r="V163" s="18" t="str">
        <x:v>0.7422060966491699</x:v>
      </x:c>
      <x:c r="W163" s="18" t="str">
        <x:v>0.7774539768695832</x:v>
      </x:c>
      <x:c r="X163" s="18" t="str">
        <x:v>0.8284922242164612</x:v>
      </x:c>
      <x:c r="Y163" s="18" t="str">
        <x:v>0.8324307203292847</x:v>
      </x:c>
      <x:c r="Z163" s="18" t="str">
        <x:v>0.8692607820034027</x:v>
      </x:c>
      <x:c r="AA163" s="18" t="str">
        <x:v>0.9241181015968323</x:v>
      </x:c>
      <x:c r="AB163" s="20" t="str">
        <x:v>177.1022000029916</x:v>
      </x:c>
      <x:c r="AC163" s="12" t="str">
        <x:v>overlays\happy_012.png</x:v>
      </x:c>
      <x:c r="AD163" s="12" t="str"/>
      <x:c r="AE163" s="12" t="str"/>
      <x:c r="AF163" s="12" t="str">
        <x:v>good</x:v>
      </x:c>
      <x:c r="AG163" s="12" t="n">
        <x:v>1</x:v>
      </x:c>
      <x:c r="AH163" s="12" t="str">
        <x:v>good</x:v>
      </x:c>
      <x:c r="AI163" s="12" t="str">
        <x:v>good</x:v>
      </x:c>
      <x:c r="AJ163" s="12" t="str">
        <x:v>good</x:v>
      </x:c>
      <x:c r="AK163" s="12" t="str">
        <x:v>not_applicable</x:v>
      </x:c>
      <x:c r="AL163" s="12" t="str">
        <x:v>none</x:v>
      </x:c>
      <x:c r="AM163" s="14" t="str">
        <x:v>Clear and well-aligned facial landmarks with no major pose, crop, or occlusion issue.</x:v>
      </x:c>
    </x:row>
    <x:row r="164" ht="28" customHeight="1">
      <x:c r="A164" s="12" t="str">
        <x:v>happy_013</x:v>
      </x:c>
      <x:c r="B164" s="12" t="str">
        <x:v>happy</x:v>
      </x:c>
      <x:c r="C164" s="14" t="str">
        <x:v>happy/Training_98862396.jpg</x:v>
      </x:c>
      <x:c r="D164" s="12" t="str">
        <x:v>1764714bfeba7beae92537d7741c29741275bf17f6f128d218f30cb534572beb</x:v>
      </x:c>
      <x:c r="E164" s="12" t="str">
        <x:v>1764714bfeba7beae92537d7741c29741275bf17f6f128d218f30cb534572beb</x:v>
      </x:c>
      <x:c r="F164" s="12" t="str">
        <x:v>True</x:v>
      </x:c>
      <x:c r="G164" s="12" t="str">
        <x:v>48</x:v>
      </x:c>
      <x:c r="H164" s="12" t="str">
        <x:v>48</x:v>
      </x:c>
      <x:c r="I164" s="12" t="str">
        <x:v>0.0</x:v>
      </x:c>
      <x:c r="J164" s="12" t="str">
        <x:v>0.0</x:v>
      </x:c>
      <x:c r="K164" s="12" t="str">
        <x:v>47.0</x:v>
      </x:c>
      <x:c r="L164" s="12" t="str">
        <x:v>47.0</x:v>
      </x:c>
      <x:c r="M164" s="12" t="str">
        <x:v>True</x:v>
      </x:c>
      <x:c r="N164" s="12" t="str">
        <x:v>68</x:v>
      </x:c>
      <x:c r="O164" s="12" t="str">
        <x:v>68</x:v>
      </x:c>
      <x:c r="P164" s="16" t="str">
        <x:v>1.0</x:v>
      </x:c>
      <x:c r="Q164" s="12" t="str">
        <x:v>66</x:v>
      </x:c>
      <x:c r="R164" s="16" t="str">
        <x:v>0.9705882352941176</x:v>
      </x:c>
      <x:c r="S164" s="12" t="str">
        <x:v>0.2</x:v>
      </x:c>
      <x:c r="T164" s="12" t="str">
        <x:v>68</x:v>
      </x:c>
      <x:c r="U164" s="16" t="str">
        <x:v>1.0</x:v>
      </x:c>
      <x:c r="V164" s="18" t="str">
        <x:v>0.733586311340332</x:v>
      </x:c>
      <x:c r="W164" s="18" t="str">
        <x:v>0.7889432966709137</x:v>
      </x:c>
      <x:c r="X164" s="18" t="str">
        <x:v>0.8411413431167603</x:v>
      </x:c>
      <x:c r="Y164" s="18" t="str">
        <x:v>0.8504241108894348</x:v>
      </x:c>
      <x:c r="Z164" s="18" t="str">
        <x:v>0.8847679734230042</x:v>
      </x:c>
      <x:c r="AA164" s="18" t="str">
        <x:v>0.9230034947395325</x:v>
      </x:c>
      <x:c r="AB164" s="20" t="str">
        <x:v>157.96830000181217</x:v>
      </x:c>
      <x:c r="AC164" s="12" t="str">
        <x:v>overlays\happy_013.png</x:v>
      </x:c>
      <x:c r="AD164" s="12" t="str"/>
      <x:c r="AE164" s="12" t="str"/>
      <x:c r="AF164" s="12" t="str">
        <x:v>good</x:v>
      </x:c>
      <x:c r="AG164" s="12" t="n">
        <x:v>1</x:v>
      </x:c>
      <x:c r="AH164" s="12" t="str">
        <x:v>good</x:v>
      </x:c>
      <x:c r="AI164" s="12" t="str">
        <x:v>good</x:v>
      </x:c>
      <x:c r="AJ164" s="12" t="str">
        <x:v>good</x:v>
      </x:c>
      <x:c r="AK164" s="12" t="str">
        <x:v>not_applicable</x:v>
      </x:c>
      <x:c r="AL164" s="12" t="str">
        <x:v>none</x:v>
      </x:c>
      <x:c r="AM164" s="14" t="str">
        <x:v>Clear and well-aligned facial landmarks with no major pose, crop, or occlusion issue.</x:v>
      </x:c>
    </x:row>
    <x:row r="165" ht="28" customHeight="1">
      <x:c r="A165" s="12" t="str">
        <x:v>happy_014</x:v>
      </x:c>
      <x:c r="B165" s="12" t="str">
        <x:v>happy</x:v>
      </x:c>
      <x:c r="C165" s="14" t="str">
        <x:v>happy/Training_74006160.jpg</x:v>
      </x:c>
      <x:c r="D165" s="12" t="str">
        <x:v>d5fb12d7c5be20dabc04eb967186b6e673ca44c2ff07ed1822ca110f30eaebbf</x:v>
      </x:c>
      <x:c r="E165" s="12" t="str">
        <x:v>d5fb12d7c5be20dabc04eb967186b6e673ca44c2ff07ed1822ca110f30eaebbf</x:v>
      </x:c>
      <x:c r="F165" s="12" t="str">
        <x:v>True</x:v>
      </x:c>
      <x:c r="G165" s="12" t="str">
        <x:v>48</x:v>
      </x:c>
      <x:c r="H165" s="12" t="str">
        <x:v>48</x:v>
      </x:c>
      <x:c r="I165" s="12" t="str">
        <x:v>0.0</x:v>
      </x:c>
      <x:c r="J165" s="12" t="str">
        <x:v>0.0</x:v>
      </x:c>
      <x:c r="K165" s="12" t="str">
        <x:v>47.0</x:v>
      </x:c>
      <x:c r="L165" s="12" t="str">
        <x:v>47.0</x:v>
      </x:c>
      <x:c r="M165" s="12" t="str">
        <x:v>True</x:v>
      </x:c>
      <x:c r="N165" s="12" t="str">
        <x:v>68</x:v>
      </x:c>
      <x:c r="O165" s="12" t="str">
        <x:v>68</x:v>
      </x:c>
      <x:c r="P165" s="16" t="str">
        <x:v>1.0</x:v>
      </x:c>
      <x:c r="Q165" s="12" t="str">
        <x:v>67</x:v>
      </x:c>
      <x:c r="R165" s="16" t="str">
        <x:v>0.9852941176470589</x:v>
      </x:c>
      <x:c r="S165" s="12" t="str">
        <x:v>0.2</x:v>
      </x:c>
      <x:c r="T165" s="12" t="str">
        <x:v>68</x:v>
      </x:c>
      <x:c r="U165" s="16" t="str">
        <x:v>1.0</x:v>
      </x:c>
      <x:c r="V165" s="18" t="str">
        <x:v>0.6517911553382874</x:v>
      </x:c>
      <x:c r="W165" s="18" t="str">
        <x:v>0.7088252186775208</x:v>
      </x:c>
      <x:c r="X165" s="18" t="str">
        <x:v>0.8113055229187012</x:v>
      </x:c>
      <x:c r="Y165" s="18" t="str">
        <x:v>0.8294128179550171</x:v>
      </x:c>
      <x:c r="Z165" s="18" t="str">
        <x:v>0.8799059331417084</x:v>
      </x:c>
      <x:c r="AA165" s="18" t="str">
        <x:v>0.9121843576431274</x:v>
      </x:c>
      <x:c r="AB165" s="20" t="str">
        <x:v>192.89750000461936</x:v>
      </x:c>
      <x:c r="AC165" s="12" t="str">
        <x:v>overlays\happy_014.png</x:v>
      </x:c>
      <x:c r="AD165" s="12" t="str"/>
      <x:c r="AE165" s="12" t="str"/>
      <x:c r="AF165" s="12" t="str">
        <x:v>good</x:v>
      </x:c>
      <x:c r="AG165" s="12" t="n">
        <x:v>1</x:v>
      </x:c>
      <x:c r="AH165" s="12" t="str">
        <x:v>good</x:v>
      </x:c>
      <x:c r="AI165" s="12" t="str">
        <x:v>good</x:v>
      </x:c>
      <x:c r="AJ165" s="12" t="str">
        <x:v>good</x:v>
      </x:c>
      <x:c r="AK165" s="12" t="str">
        <x:v>good</x:v>
      </x:c>
      <x:c r="AL165" s="12" t="str">
        <x:v>none</x:v>
      </x:c>
      <x:c r="AM165" s="14" t="str">
        <x:v>Large pose or profile; visible landmarks remain useful, while hidden-side and contour points are inferred.</x:v>
      </x:c>
    </x:row>
    <x:row r="166" ht="28" customHeight="1">
      <x:c r="A166" s="12" t="str">
        <x:v>happy_015</x:v>
      </x:c>
      <x:c r="B166" s="12" t="str">
        <x:v>happy</x:v>
      </x:c>
      <x:c r="C166" s="14" t="str">
        <x:v>happy/Training_40467308.jpg</x:v>
      </x:c>
      <x:c r="D166" s="12" t="str">
        <x:v>b6f4ad47ce1f2f0e731950d8908e15f8bdb7721486c96a5a9a65bed7a1cc2bbf</x:v>
      </x:c>
      <x:c r="E166" s="12" t="str">
        <x:v>b6f4ad47ce1f2f0e731950d8908e15f8bdb7721486c96a5a9a65bed7a1cc2bbf</x:v>
      </x:c>
      <x:c r="F166" s="12" t="str">
        <x:v>True</x:v>
      </x:c>
      <x:c r="G166" s="12" t="str">
        <x:v>48</x:v>
      </x:c>
      <x:c r="H166" s="12" t="str">
        <x:v>48</x:v>
      </x:c>
      <x:c r="I166" s="12" t="str">
        <x:v>0.0</x:v>
      </x:c>
      <x:c r="J166" s="12" t="str">
        <x:v>0.0</x:v>
      </x:c>
      <x:c r="K166" s="12" t="str">
        <x:v>47.0</x:v>
      </x:c>
      <x:c r="L166" s="12" t="str">
        <x:v>47.0</x:v>
      </x:c>
      <x:c r="M166" s="12" t="str">
        <x:v>True</x:v>
      </x:c>
      <x:c r="N166" s="12" t="str">
        <x:v>68</x:v>
      </x:c>
      <x:c r="O166" s="12" t="str">
        <x:v>68</x:v>
      </x:c>
      <x:c r="P166" s="16" t="str">
        <x:v>1.0</x:v>
      </x:c>
      <x:c r="Q166" s="12" t="str">
        <x:v>68</x:v>
      </x:c>
      <x:c r="R166" s="16" t="str">
        <x:v>1.0</x:v>
      </x:c>
      <x:c r="S166" s="12" t="str">
        <x:v>0.2</x:v>
      </x:c>
      <x:c r="T166" s="12" t="str">
        <x:v>68</x:v>
      </x:c>
      <x:c r="U166" s="16" t="str">
        <x:v>1.0</x:v>
      </x:c>
      <x:c r="V166" s="18" t="str">
        <x:v>0.5371958017349243</x:v>
      </x:c>
      <x:c r="W166" s="18" t="str">
        <x:v>0.7139444708824157</x:v>
      </x:c>
      <x:c r="X166" s="18" t="str">
        <x:v>0.8038422465324402</x:v>
      </x:c>
      <x:c r="Y166" s="18" t="str">
        <x:v>0.812226414680481</x:v>
      </x:c>
      <x:c r="Z166" s="18" t="str">
        <x:v>0.8805573940277099</x:v>
      </x:c>
      <x:c r="AA166" s="18" t="str">
        <x:v>0.940795361995697</x:v>
      </x:c>
      <x:c r="AB166" s="20" t="str">
        <x:v>187.8186999965692</x:v>
      </x:c>
      <x:c r="AC166" s="12" t="str">
        <x:v>overlays\happy_015.png</x:v>
      </x:c>
      <x:c r="AD166" s="12" t="str"/>
      <x:c r="AE166" s="12" t="str"/>
      <x:c r="AF166" s="12" t="str">
        <x:v>good</x:v>
      </x:c>
      <x:c r="AG166" s="12" t="n">
        <x:v>1</x:v>
      </x:c>
      <x:c r="AH166" s="12" t="str">
        <x:v>good</x:v>
      </x:c>
      <x:c r="AI166" s="12" t="str">
        <x:v>good</x:v>
      </x:c>
      <x:c r="AJ166" s="12" t="str">
        <x:v>good</x:v>
      </x:c>
      <x:c r="AK166" s="12" t="str">
        <x:v>good</x:v>
      </x:c>
      <x:c r="AL166" s="12" t="str">
        <x:v>none</x:v>
      </x:c>
      <x:c r="AM166" s="14" t="str">
        <x:v>Clear and well-aligned facial landmarks with no major pose, crop, or occlusion issue.</x:v>
      </x:c>
    </x:row>
    <x:row r="167" ht="28" customHeight="1">
      <x:c r="A167" s="12" t="str">
        <x:v>happy_016</x:v>
      </x:c>
      <x:c r="B167" s="12" t="str">
        <x:v>happy</x:v>
      </x:c>
      <x:c r="C167" s="14" t="str">
        <x:v>happy/Training_95843052.jpg</x:v>
      </x:c>
      <x:c r="D167" s="12" t="str">
        <x:v>2c615726a1546644030fbebf98954b6740884bbd7fb438f4fc0d1e81b610ff6b</x:v>
      </x:c>
      <x:c r="E167" s="12" t="str">
        <x:v>2c615726a1546644030fbebf98954b6740884bbd7fb438f4fc0d1e81b610ff6b</x:v>
      </x:c>
      <x:c r="F167" s="12" t="str">
        <x:v>True</x:v>
      </x:c>
      <x:c r="G167" s="12" t="str">
        <x:v>48</x:v>
      </x:c>
      <x:c r="H167" s="12" t="str">
        <x:v>48</x:v>
      </x:c>
      <x:c r="I167" s="12" t="str">
        <x:v>0.0</x:v>
      </x:c>
      <x:c r="J167" s="12" t="str">
        <x:v>0.0</x:v>
      </x:c>
      <x:c r="K167" s="12" t="str">
        <x:v>47.0</x:v>
      </x:c>
      <x:c r="L167" s="12" t="str">
        <x:v>47.0</x:v>
      </x:c>
      <x:c r="M167" s="12" t="str">
        <x:v>True</x:v>
      </x:c>
      <x:c r="N167" s="12" t="str">
        <x:v>68</x:v>
      </x:c>
      <x:c r="O167" s="12" t="str">
        <x:v>68</x:v>
      </x:c>
      <x:c r="P167" s="16" t="str">
        <x:v>1.0</x:v>
      </x:c>
      <x:c r="Q167" s="12" t="str">
        <x:v>68</x:v>
      </x:c>
      <x:c r="R167" s="16" t="str">
        <x:v>1.0</x:v>
      </x:c>
      <x:c r="S167" s="12" t="str">
        <x:v>0.2</x:v>
      </x:c>
      <x:c r="T167" s="12" t="str">
        <x:v>68</x:v>
      </x:c>
      <x:c r="U167" s="16" t="str">
        <x:v>1.0</x:v>
      </x:c>
      <x:c r="V167" s="18" t="str">
        <x:v>0.5743740200996399</x:v>
      </x:c>
      <x:c r="W167" s="18" t="str">
        <x:v>0.6584435164928436</x:v>
      </x:c>
      <x:c r="X167" s="18" t="str">
        <x:v>0.787630021572113</x:v>
      </x:c>
      <x:c r="Y167" s="18" t="str">
        <x:v>0.8161945343017578</x:v>
      </x:c>
      <x:c r="Z167" s="18" t="str">
        <x:v>0.8512317776679993</x:v>
      </x:c>
      <x:c r="AA167" s="18" t="str">
        <x:v>0.8755200505256653</x:v>
      </x:c>
      <x:c r="AB167" s="20" t="str">
        <x:v>152.43829999963054</x:v>
      </x:c>
      <x:c r="AC167" s="12" t="str">
        <x:v>overlays\happy_016.png</x:v>
      </x:c>
      <x:c r="AD167" s="12" t="str"/>
      <x:c r="AE167" s="12" t="str"/>
      <x:c r="AF167" s="12" t="str">
        <x:v>acceptable</x:v>
      </x:c>
      <x:c r="AG167" s="12" t="n">
        <x:v>1</x:v>
      </x:c>
      <x:c r="AH167" s="12" t="str">
        <x:v>acceptable</x:v>
      </x:c>
      <x:c r="AI167" s="12" t="str">
        <x:v>acceptable</x:v>
      </x:c>
      <x:c r="AJ167" s="12" t="str">
        <x:v>acceptable</x:v>
      </x:c>
      <x:c r="AK167" s="12" t="str">
        <x:v>not_applicable</x:v>
      </x:c>
      <x:c r="AL167" s="12" t="str">
        <x:v>mild</x:v>
      </x:c>
      <x:c r="AM167" s="14" t="str">
        <x:v>Large pose or profile; visible landmarks remain useful, while hidden-side and contour points are inferred.</x:v>
      </x:c>
    </x:row>
    <x:row r="168" ht="28" customHeight="1">
      <x:c r="A168" s="12" t="str">
        <x:v>happy_017</x:v>
      </x:c>
      <x:c r="B168" s="12" t="str">
        <x:v>happy</x:v>
      </x:c>
      <x:c r="C168" s="14" t="str">
        <x:v>happy/Training_75417506.jpg</x:v>
      </x:c>
      <x:c r="D168" s="12" t="str">
        <x:v>671ff4e63b6a470b013cfb5abb98de42556394322aec6ae7a1b70c63f9d02b68</x:v>
      </x:c>
      <x:c r="E168" s="12" t="str">
        <x:v>671ff4e63b6a470b013cfb5abb98de42556394322aec6ae7a1b70c63f9d02b68</x:v>
      </x:c>
      <x:c r="F168" s="12" t="str">
        <x:v>True</x:v>
      </x:c>
      <x:c r="G168" s="12" t="str">
        <x:v>48</x:v>
      </x:c>
      <x:c r="H168" s="12" t="str">
        <x:v>48</x:v>
      </x:c>
      <x:c r="I168" s="12" t="str">
        <x:v>0.0</x:v>
      </x:c>
      <x:c r="J168" s="12" t="str">
        <x:v>0.0</x:v>
      </x:c>
      <x:c r="K168" s="12" t="str">
        <x:v>47.0</x:v>
      </x:c>
      <x:c r="L168" s="12" t="str">
        <x:v>47.0</x:v>
      </x:c>
      <x:c r="M168" s="12" t="str">
        <x:v>True</x:v>
      </x:c>
      <x:c r="N168" s="12" t="str">
        <x:v>68</x:v>
      </x:c>
      <x:c r="O168" s="12" t="str">
        <x:v>68</x:v>
      </x:c>
      <x:c r="P168" s="16" t="str">
        <x:v>1.0</x:v>
      </x:c>
      <x:c r="Q168" s="12" t="str">
        <x:v>66</x:v>
      </x:c>
      <x:c r="R168" s="16" t="str">
        <x:v>0.9705882352941176</x:v>
      </x:c>
      <x:c r="S168" s="12" t="str">
        <x:v>0.2</x:v>
      </x:c>
      <x:c r="T168" s="12" t="str">
        <x:v>68</x:v>
      </x:c>
      <x:c r="U168" s="16" t="str">
        <x:v>1.0</x:v>
      </x:c>
      <x:c r="V168" s="18" t="str">
        <x:v>0.6215767860412598</x:v>
      </x:c>
      <x:c r="W168" s="18" t="str">
        <x:v>0.7237870275974274</x:v>
      </x:c>
      <x:c r="X168" s="18" t="str">
        <x:v>0.8123531341552734</x:v>
      </x:c>
      <x:c r="Y168" s="18" t="str">
        <x:v>0.8294116258621216</x:v>
      </x:c>
      <x:c r="Z168" s="18" t="str">
        <x:v>0.8783805072307587</x:v>
      </x:c>
      <x:c r="AA168" s="18" t="str">
        <x:v>0.9094864726066589</x:v>
      </x:c>
      <x:c r="AB168" s="20" t="str">
        <x:v>153.08530000038445</x:v>
      </x:c>
      <x:c r="AC168" s="12" t="str">
        <x:v>overlays\happy_017.png</x:v>
      </x:c>
      <x:c r="AD168" s="12" t="str"/>
      <x:c r="AE168" s="12" t="str"/>
      <x:c r="AF168" s="12" t="str">
        <x:v>good</x:v>
      </x:c>
      <x:c r="AG168" s="12" t="n">
        <x:v>1</x:v>
      </x:c>
      <x:c r="AH168" s="12" t="str">
        <x:v>good</x:v>
      </x:c>
      <x:c r="AI168" s="12" t="str">
        <x:v>good</x:v>
      </x:c>
      <x:c r="AJ168" s="12" t="str">
        <x:v>good</x:v>
      </x:c>
      <x:c r="AK168" s="12" t="str">
        <x:v>not_applicable</x:v>
      </x:c>
      <x:c r="AL168" s="12" t="str">
        <x:v>none</x:v>
      </x:c>
      <x:c r="AM168" s="14" t="str">
        <x:v>Clear and well-aligned facial landmarks with no major pose, crop, or occlusion issue.</x:v>
      </x:c>
    </x:row>
    <x:row r="169" ht="28" customHeight="1">
      <x:c r="A169" s="12" t="str">
        <x:v>happy_018</x:v>
      </x:c>
      <x:c r="B169" s="12" t="str">
        <x:v>happy</x:v>
      </x:c>
      <x:c r="C169" s="14" t="str">
        <x:v>happy/Training_72547381.jpg</x:v>
      </x:c>
      <x:c r="D169" s="12" t="str">
        <x:v>c80509db444f08c92fb138f3fee6c20be50f2ef38c76ef35658ddc32ec24b413</x:v>
      </x:c>
      <x:c r="E169" s="12" t="str">
        <x:v>c80509db444f08c92fb138f3fee6c20be50f2ef38c76ef35658ddc32ec24b413</x:v>
      </x:c>
      <x:c r="F169" s="12" t="str">
        <x:v>True</x:v>
      </x:c>
      <x:c r="G169" s="12" t="str">
        <x:v>48</x:v>
      </x:c>
      <x:c r="H169" s="12" t="str">
        <x:v>48</x:v>
      </x:c>
      <x:c r="I169" s="12" t="str">
        <x:v>0.0</x:v>
      </x:c>
      <x:c r="J169" s="12" t="str">
        <x:v>0.0</x:v>
      </x:c>
      <x:c r="K169" s="12" t="str">
        <x:v>47.0</x:v>
      </x:c>
      <x:c r="L169" s="12" t="str">
        <x:v>47.0</x:v>
      </x:c>
      <x:c r="M169" s="12" t="str">
        <x:v>True</x:v>
      </x:c>
      <x:c r="N169" s="12" t="str">
        <x:v>68</x:v>
      </x:c>
      <x:c r="O169" s="12" t="str">
        <x:v>68</x:v>
      </x:c>
      <x:c r="P169" s="16" t="str">
        <x:v>1.0</x:v>
      </x:c>
      <x:c r="Q169" s="12" t="str">
        <x:v>67</x:v>
      </x:c>
      <x:c r="R169" s="16" t="str">
        <x:v>0.9852941176470589</x:v>
      </x:c>
      <x:c r="S169" s="12" t="str">
        <x:v>0.2</x:v>
      </x:c>
      <x:c r="T169" s="12" t="str">
        <x:v>68</x:v>
      </x:c>
      <x:c r="U169" s="16" t="str">
        <x:v>1.0</x:v>
      </x:c>
      <x:c r="V169" s="18" t="str">
        <x:v>0.6858171820640564</x:v>
      </x:c>
      <x:c r="W169" s="18" t="str">
        <x:v>0.7508041203022003</x:v>
      </x:c>
      <x:c r="X169" s="18" t="str">
        <x:v>0.8230441808700562</x:v>
      </x:c>
      <x:c r="Y169" s="18" t="str">
        <x:v>0.83463454246521</x:v>
      </x:c>
      <x:c r="Z169" s="18" t="str">
        <x:v>0.8760688066482544</x:v>
      </x:c>
      <x:c r="AA169" s="18" t="str">
        <x:v>0.9102146625518799</x:v>
      </x:c>
      <x:c r="AB169" s="20" t="str">
        <x:v>156.60590000334196</x:v>
      </x:c>
      <x:c r="AC169" s="12" t="str">
        <x:v>overlays\happy_018.png</x:v>
      </x:c>
      <x:c r="AD169" s="12" t="str"/>
      <x:c r="AE169" s="12" t="str"/>
      <x:c r="AF169" s="12" t="str">
        <x:v>acceptable</x:v>
      </x:c>
      <x:c r="AG169" s="12" t="n">
        <x:v>1</x:v>
      </x:c>
      <x:c r="AH169" s="12" t="str">
        <x:v>acceptable</x:v>
      </x:c>
      <x:c r="AI169" s="12" t="str">
        <x:v>acceptable</x:v>
      </x:c>
      <x:c r="AJ169" s="12" t="str">
        <x:v>acceptable</x:v>
      </x:c>
      <x:c r="AK169" s="12" t="str">
        <x:v>not_applicable</x:v>
      </x:c>
      <x:c r="AL169" s="12" t="str">
        <x:v>mild</x:v>
      </x:c>
      <x:c r="AM169" s="14" t="str">
        <x:v>Large pose or profile; visible landmarks remain useful, while hidden-side and contour points are inferred.</x:v>
      </x:c>
    </x:row>
    <x:row r="170" ht="28" customHeight="1">
      <x:c r="A170" s="12" t="str">
        <x:v>happy_019</x:v>
      </x:c>
      <x:c r="B170" s="12" t="str">
        <x:v>happy</x:v>
      </x:c>
      <x:c r="C170" s="14" t="str">
        <x:v>happy/Training_29673005.jpg</x:v>
      </x:c>
      <x:c r="D170" s="12" t="str">
        <x:v>006c380dbed56f498d97e72c77602db3ae8615a0629b8eb5af174a24d7098cba</x:v>
      </x:c>
      <x:c r="E170" s="12" t="str">
        <x:v>006c380dbed56f498d97e72c77602db3ae8615a0629b8eb5af174a24d7098cba</x:v>
      </x:c>
      <x:c r="F170" s="12" t="str">
        <x:v>True</x:v>
      </x:c>
      <x:c r="G170" s="12" t="str">
        <x:v>48</x:v>
      </x:c>
      <x:c r="H170" s="12" t="str">
        <x:v>48</x:v>
      </x:c>
      <x:c r="I170" s="12" t="str">
        <x:v>0.0</x:v>
      </x:c>
      <x:c r="J170" s="12" t="str">
        <x:v>0.0</x:v>
      </x:c>
      <x:c r="K170" s="12" t="str">
        <x:v>47.0</x:v>
      </x:c>
      <x:c r="L170" s="12" t="str">
        <x:v>47.0</x:v>
      </x:c>
      <x:c r="M170" s="12" t="str">
        <x:v>True</x:v>
      </x:c>
      <x:c r="N170" s="12" t="str">
        <x:v>68</x:v>
      </x:c>
      <x:c r="O170" s="12" t="str">
        <x:v>68</x:v>
      </x:c>
      <x:c r="P170" s="16" t="str">
        <x:v>1.0</x:v>
      </x:c>
      <x:c r="Q170" s="12" t="str">
        <x:v>67</x:v>
      </x:c>
      <x:c r="R170" s="16" t="str">
        <x:v>0.9852941176470589</x:v>
      </x:c>
      <x:c r="S170" s="12" t="str">
        <x:v>0.2</x:v>
      </x:c>
      <x:c r="T170" s="12" t="str">
        <x:v>68</x:v>
      </x:c>
      <x:c r="U170" s="16" t="str">
        <x:v>1.0</x:v>
      </x:c>
      <x:c r="V170" s="18" t="str">
        <x:v>0.5567765831947327</x:v>
      </x:c>
      <x:c r="W170" s="18" t="str">
        <x:v>0.664595240354538</x:v>
      </x:c>
      <x:c r="X170" s="18" t="str">
        <x:v>0.7786568999290466</x:v>
      </x:c>
      <x:c r="Y170" s="18" t="str">
        <x:v>0.8021050691604614</x:v>
      </x:c>
      <x:c r="Z170" s="18" t="str">
        <x:v>0.8527480661869049</x:v>
      </x:c>
      <x:c r="AA170" s="18" t="str">
        <x:v>0.8929039835929871</x:v>
      </x:c>
      <x:c r="AB170" s="20" t="str">
        <x:v>177.112199999101</x:v>
      </x:c>
      <x:c r="AC170" s="12" t="str">
        <x:v>overlays\happy_019.png</x:v>
      </x:c>
      <x:c r="AD170" s="12" t="str"/>
      <x:c r="AE170" s="12" t="str"/>
      <x:c r="AF170" s="12" t="str">
        <x:v>good</x:v>
      </x:c>
      <x:c r="AG170" s="12" t="n">
        <x:v>1</x:v>
      </x:c>
      <x:c r="AH170" s="12" t="str">
        <x:v>good</x:v>
      </x:c>
      <x:c r="AI170" s="12" t="str">
        <x:v>good</x:v>
      </x:c>
      <x:c r="AJ170" s="12" t="str">
        <x:v>good</x:v>
      </x:c>
      <x:c r="AK170" s="12" t="str">
        <x:v>good</x:v>
      </x:c>
      <x:c r="AL170" s="12" t="str">
        <x:v>none</x:v>
      </x:c>
      <x:c r="AM170" s="14" t="str">
        <x:v>Clear and well-aligned facial landmarks with no major pose, crop, or occlusion issue.</x:v>
      </x:c>
    </x:row>
    <x:row r="171" ht="28" customHeight="1">
      <x:c r="A171" s="12" t="str">
        <x:v>happy_020</x:v>
      </x:c>
      <x:c r="B171" s="12" t="str">
        <x:v>happy</x:v>
      </x:c>
      <x:c r="C171" s="14" t="str">
        <x:v>happy/Training_25184507.jpg</x:v>
      </x:c>
      <x:c r="D171" s="12" t="str">
        <x:v>f94263eca9a81d103576aab2f88b6ec6cf67670ffbc87577bca552a651f12dd5</x:v>
      </x:c>
      <x:c r="E171" s="12" t="str">
        <x:v>f94263eca9a81d103576aab2f88b6ec6cf67670ffbc87577bca552a651f12dd5</x:v>
      </x:c>
      <x:c r="F171" s="12" t="str">
        <x:v>True</x:v>
      </x:c>
      <x:c r="G171" s="12" t="str">
        <x:v>48</x:v>
      </x:c>
      <x:c r="H171" s="12" t="str">
        <x:v>48</x:v>
      </x:c>
      <x:c r="I171" s="12" t="str">
        <x:v>0.0</x:v>
      </x:c>
      <x:c r="J171" s="12" t="str">
        <x:v>0.0</x:v>
      </x:c>
      <x:c r="K171" s="12" t="str">
        <x:v>47.0</x:v>
      </x:c>
      <x:c r="L171" s="12" t="str">
        <x:v>47.0</x:v>
      </x:c>
      <x:c r="M171" s="12" t="str">
        <x:v>True</x:v>
      </x:c>
      <x:c r="N171" s="12" t="str">
        <x:v>68</x:v>
      </x:c>
      <x:c r="O171" s="12" t="str">
        <x:v>68</x:v>
      </x:c>
      <x:c r="P171" s="16" t="str">
        <x:v>1.0</x:v>
      </x:c>
      <x:c r="Q171" s="12" t="str">
        <x:v>68</x:v>
      </x:c>
      <x:c r="R171" s="16" t="str">
        <x:v>1.0</x:v>
      </x:c>
      <x:c r="S171" s="12" t="str">
        <x:v>0.2</x:v>
      </x:c>
      <x:c r="T171" s="12" t="str">
        <x:v>68</x:v>
      </x:c>
      <x:c r="U171" s="16" t="str">
        <x:v>1.0</x:v>
      </x:c>
      <x:c r="V171" s="18" t="str">
        <x:v>0.7662628293037415</x:v>
      </x:c>
      <x:c r="W171" s="18" t="str">
        <x:v>0.8117624163627625</x:v>
      </x:c>
      <x:c r="X171" s="18" t="str">
        <x:v>0.8512871265411377</x:v>
      </x:c>
      <x:c r="Y171" s="18" t="str">
        <x:v>0.8525739908218384</x:v>
      </x:c>
      <x:c r="Z171" s="18" t="str">
        <x:v>0.890772444009781</x:v>
      </x:c>
      <x:c r="AA171" s="18" t="str">
        <x:v>0.9465012550354004</x:v>
      </x:c>
      <x:c r="AB171" s="20" t="str">
        <x:v>155.42550000100164</x:v>
      </x:c>
      <x:c r="AC171" s="12" t="str">
        <x:v>overlays\happy_020.png</x:v>
      </x:c>
      <x:c r="AD171" s="12" t="str"/>
      <x:c r="AE171" s="12" t="str"/>
      <x:c r="AF171" s="12" t="str">
        <x:v>acceptable</x:v>
      </x:c>
      <x:c r="AG171" s="12" t="n">
        <x:v>1</x:v>
      </x:c>
      <x:c r="AH171" s="12" t="str">
        <x:v>acceptable</x:v>
      </x:c>
      <x:c r="AI171" s="12" t="str">
        <x:v>acceptable</x:v>
      </x:c>
      <x:c r="AJ171" s="12" t="str">
        <x:v>acceptable</x:v>
      </x:c>
      <x:c r="AK171" s="12" t="str">
        <x:v>acceptable</x:v>
      </x:c>
      <x:c r="AL171" s="12" t="str">
        <x:v>mild</x:v>
      </x:c>
      <x:c r="AM171" s="14" t="str">
        <x:v>Moderate pose, crop, blur, or facial texture causes minor landmark uncertainty; the result remains usable.</x:v>
      </x:c>
    </x:row>
    <x:row r="172" ht="28" customHeight="1">
      <x:c r="A172" s="12" t="str">
        <x:v>happy_021</x:v>
      </x:c>
      <x:c r="B172" s="12" t="str">
        <x:v>happy</x:v>
      </x:c>
      <x:c r="C172" s="14" t="str">
        <x:v>happy/Training_4824309.jpg</x:v>
      </x:c>
      <x:c r="D172" s="12" t="str">
        <x:v>bf6a50926fbf098cae2ddd1ebe3a403d4f2f237c8693411a984a7c2c3632057a</x:v>
      </x:c>
      <x:c r="E172" s="12" t="str">
        <x:v>bf6a50926fbf098cae2ddd1ebe3a403d4f2f237c8693411a984a7c2c3632057a</x:v>
      </x:c>
      <x:c r="F172" s="12" t="str">
        <x:v>True</x:v>
      </x:c>
      <x:c r="G172" s="12" t="str">
        <x:v>48</x:v>
      </x:c>
      <x:c r="H172" s="12" t="str">
        <x:v>48</x:v>
      </x:c>
      <x:c r="I172" s="12" t="str">
        <x:v>0.0</x:v>
      </x:c>
      <x:c r="J172" s="12" t="str">
        <x:v>0.0</x:v>
      </x:c>
      <x:c r="K172" s="12" t="str">
        <x:v>47.0</x:v>
      </x:c>
      <x:c r="L172" s="12" t="str">
        <x:v>47.0</x:v>
      </x:c>
      <x:c r="M172" s="12" t="str">
        <x:v>True</x:v>
      </x:c>
      <x:c r="N172" s="12" t="str">
        <x:v>68</x:v>
      </x:c>
      <x:c r="O172" s="12" t="str">
        <x:v>68</x:v>
      </x:c>
      <x:c r="P172" s="16" t="str">
        <x:v>1.0</x:v>
      </x:c>
      <x:c r="Q172" s="12" t="str">
        <x:v>68</x:v>
      </x:c>
      <x:c r="R172" s="16" t="str">
        <x:v>1.0</x:v>
      </x:c>
      <x:c r="S172" s="12" t="str">
        <x:v>0.2</x:v>
      </x:c>
      <x:c r="T172" s="12" t="str">
        <x:v>68</x:v>
      </x:c>
      <x:c r="U172" s="16" t="str">
        <x:v>1.0</x:v>
      </x:c>
      <x:c r="V172" s="18" t="str">
        <x:v>0.7366910576820374</x:v>
      </x:c>
      <x:c r="W172" s="18" t="str">
        <x:v>0.7709507763385772</x:v>
      </x:c>
      <x:c r="X172" s="18" t="str">
        <x:v>0.8169255256652832</x:v>
      </x:c>
      <x:c r="Y172" s="18" t="str">
        <x:v>0.814089834690094</x:v>
      </x:c>
      <x:c r="Z172" s="18" t="str">
        <x:v>0.8648293733596801</x:v>
      </x:c>
      <x:c r="AA172" s="18" t="str">
        <x:v>0.8900319337844849</x:v>
      </x:c>
      <x:c r="AB172" s="20" t="str">
        <x:v>160.4275999998208</x:v>
      </x:c>
      <x:c r="AC172" s="12" t="str">
        <x:v>overlays\happy_021.png</x:v>
      </x:c>
      <x:c r="AD172" s="12" t="str"/>
      <x:c r="AE172" s="12" t="str"/>
      <x:c r="AF172" s="12" t="str">
        <x:v>acceptable</x:v>
      </x:c>
      <x:c r="AG172" s="12" t="n">
        <x:v>1</x:v>
      </x:c>
      <x:c r="AH172" s="12" t="str">
        <x:v>acceptable</x:v>
      </x:c>
      <x:c r="AI172" s="12" t="str">
        <x:v>acceptable</x:v>
      </x:c>
      <x:c r="AJ172" s="12" t="str">
        <x:v>acceptable</x:v>
      </x:c>
      <x:c r="AK172" s="12" t="str">
        <x:v>acceptable</x:v>
      </x:c>
      <x:c r="AL172" s="12" t="str">
        <x:v>mild</x:v>
      </x:c>
      <x:c r="AM172" s="14" t="str">
        <x:v>Large pose or profile; visible landmarks remain useful, while hidden-side and contour points are inferred.</x:v>
      </x:c>
    </x:row>
    <x:row r="173" ht="28" customHeight="1">
      <x:c r="A173" s="12" t="str">
        <x:v>happy_022</x:v>
      </x:c>
      <x:c r="B173" s="12" t="str">
        <x:v>happy</x:v>
      </x:c>
      <x:c r="C173" s="14" t="str">
        <x:v>happy/Training_87863182.jpg</x:v>
      </x:c>
      <x:c r="D173" s="12" t="str">
        <x:v>4155e80cd0db2542c3b94c5d8ade5a38aa68f63eb79cc6246fa558110c89e616</x:v>
      </x:c>
      <x:c r="E173" s="12" t="str">
        <x:v>4155e80cd0db2542c3b94c5d8ade5a38aa68f63eb79cc6246fa558110c89e616</x:v>
      </x:c>
      <x:c r="F173" s="12" t="str">
        <x:v>True</x:v>
      </x:c>
      <x:c r="G173" s="12" t="str">
        <x:v>48</x:v>
      </x:c>
      <x:c r="H173" s="12" t="str">
        <x:v>48</x:v>
      </x:c>
      <x:c r="I173" s="12" t="str">
        <x:v>0.0</x:v>
      </x:c>
      <x:c r="J173" s="12" t="str">
        <x:v>0.0</x:v>
      </x:c>
      <x:c r="K173" s="12" t="str">
        <x:v>47.0</x:v>
      </x:c>
      <x:c r="L173" s="12" t="str">
        <x:v>47.0</x:v>
      </x:c>
      <x:c r="M173" s="12" t="str">
        <x:v>True</x:v>
      </x:c>
      <x:c r="N173" s="12" t="str">
        <x:v>68</x:v>
      </x:c>
      <x:c r="O173" s="12" t="str">
        <x:v>68</x:v>
      </x:c>
      <x:c r="P173" s="16" t="str">
        <x:v>1.0</x:v>
      </x:c>
      <x:c r="Q173" s="12" t="str">
        <x:v>67</x:v>
      </x:c>
      <x:c r="R173" s="16" t="str">
        <x:v>0.9852941176470589</x:v>
      </x:c>
      <x:c r="S173" s="12" t="str">
        <x:v>0.2</x:v>
      </x:c>
      <x:c r="T173" s="12" t="str">
        <x:v>68</x:v>
      </x:c>
      <x:c r="U173" s="16" t="str">
        <x:v>1.0</x:v>
      </x:c>
      <x:c r="V173" s="18" t="str">
        <x:v>0.7291714549064636</x:v>
      </x:c>
      <x:c r="W173" s="18" t="str">
        <x:v>0.7564232647418976</x:v>
      </x:c>
      <x:c r="X173" s="18" t="str">
        <x:v>0.826793372631073</x:v>
      </x:c>
      <x:c r="Y173" s="18" t="str">
        <x:v>0.8336893916130066</x:v>
      </x:c>
      <x:c r="Z173" s="18" t="str">
        <x:v>0.8806923627853394</x:v>
      </x:c>
      <x:c r="AA173" s="18" t="str">
        <x:v>0.9142518043518066</x:v>
      </x:c>
      <x:c r="AB173" s="20" t="str">
        <x:v>154.1854000024614</x:v>
      </x:c>
      <x:c r="AC173" s="12" t="str">
        <x:v>overlays\happy_022.png</x:v>
      </x:c>
      <x:c r="AD173" s="12" t="str"/>
      <x:c r="AE173" s="12" t="str"/>
      <x:c r="AF173" s="12" t="str">
        <x:v>good</x:v>
      </x:c>
      <x:c r="AG173" s="12" t="n">
        <x:v>1</x:v>
      </x:c>
      <x:c r="AH173" s="12" t="str">
        <x:v>good</x:v>
      </x:c>
      <x:c r="AI173" s="12" t="str">
        <x:v>good</x:v>
      </x:c>
      <x:c r="AJ173" s="12" t="str">
        <x:v>good</x:v>
      </x:c>
      <x:c r="AK173" s="12" t="str">
        <x:v>good</x:v>
      </x:c>
      <x:c r="AL173" s="12" t="str">
        <x:v>none</x:v>
      </x:c>
      <x:c r="AM173" s="14" t="str">
        <x:v>Clear and well-aligned facial landmarks with no major pose, crop, or occlusion issue.</x:v>
      </x:c>
    </x:row>
    <x:row r="174" ht="28" customHeight="1">
      <x:c r="A174" s="12" t="str">
        <x:v>happy_023</x:v>
      </x:c>
      <x:c r="B174" s="12" t="str">
        <x:v>happy</x:v>
      </x:c>
      <x:c r="C174" s="14" t="str">
        <x:v>happy/Training_25976138.jpg</x:v>
      </x:c>
      <x:c r="D174" s="12" t="str">
        <x:v>b14d3a2813fcb9270fc528c9fe2b248ab90b48885a9fe06858a2ae7fd3a5ff16</x:v>
      </x:c>
      <x:c r="E174" s="12" t="str">
        <x:v>b14d3a2813fcb9270fc528c9fe2b248ab90b48885a9fe06858a2ae7fd3a5ff16</x:v>
      </x:c>
      <x:c r="F174" s="12" t="str">
        <x:v>True</x:v>
      </x:c>
      <x:c r="G174" s="12" t="str">
        <x:v>48</x:v>
      </x:c>
      <x:c r="H174" s="12" t="str">
        <x:v>48</x:v>
      </x:c>
      <x:c r="I174" s="12" t="str">
        <x:v>0.0</x:v>
      </x:c>
      <x:c r="J174" s="12" t="str">
        <x:v>0.0</x:v>
      </x:c>
      <x:c r="K174" s="12" t="str">
        <x:v>47.0</x:v>
      </x:c>
      <x:c r="L174" s="12" t="str">
        <x:v>47.0</x:v>
      </x:c>
      <x:c r="M174" s="12" t="str">
        <x:v>True</x:v>
      </x:c>
      <x:c r="N174" s="12" t="str">
        <x:v>68</x:v>
      </x:c>
      <x:c r="O174" s="12" t="str">
        <x:v>68</x:v>
      </x:c>
      <x:c r="P174" s="16" t="str">
        <x:v>1.0</x:v>
      </x:c>
      <x:c r="Q174" s="12" t="str">
        <x:v>68</x:v>
      </x:c>
      <x:c r="R174" s="16" t="str">
        <x:v>1.0</x:v>
      </x:c>
      <x:c r="S174" s="12" t="str">
        <x:v>0.2</x:v>
      </x:c>
      <x:c r="T174" s="12" t="str">
        <x:v>68</x:v>
      </x:c>
      <x:c r="U174" s="16" t="str">
        <x:v>1.0</x:v>
      </x:c>
      <x:c r="V174" s="18" t="str">
        <x:v>0.7533722519874573</x:v>
      </x:c>
      <x:c r="W174" s="18" t="str">
        <x:v>0.8080231845378876</x:v>
      </x:c>
      <x:c r="X174" s="18" t="str">
        <x:v>0.8511467576026917</x:v>
      </x:c>
      <x:c r="Y174" s="18" t="str">
        <x:v>0.8554548025131226</x:v>
      </x:c>
      <x:c r="Z174" s="18" t="str">
        <x:v>0.8939813196659088</x:v>
      </x:c>
      <x:c r="AA174" s="18" t="str">
        <x:v>0.9145868420600891</x:v>
      </x:c>
      <x:c r="AB174" s="20" t="str">
        <x:v>159.63210000336403</x:v>
      </x:c>
      <x:c r="AC174" s="12" t="str">
        <x:v>overlays\happy_023.png</x:v>
      </x:c>
      <x:c r="AD174" s="12" t="str"/>
      <x:c r="AE174" s="12" t="str"/>
      <x:c r="AF174" s="12" t="str">
        <x:v>good</x:v>
      </x:c>
      <x:c r="AG174" s="12" t="n">
        <x:v>1</x:v>
      </x:c>
      <x:c r="AH174" s="12" t="str">
        <x:v>good</x:v>
      </x:c>
      <x:c r="AI174" s="12" t="str">
        <x:v>good</x:v>
      </x:c>
      <x:c r="AJ174" s="12" t="str">
        <x:v>good</x:v>
      </x:c>
      <x:c r="AK174" s="12" t="str">
        <x:v>good</x:v>
      </x:c>
      <x:c r="AL174" s="12" t="str">
        <x:v>none</x:v>
      </x:c>
      <x:c r="AM174" s="14" t="str">
        <x:v>Clear and well-aligned facial landmarks with no major pose, crop, or occlusion issue.</x:v>
      </x:c>
    </x:row>
    <x:row r="175" ht="28" customHeight="1">
      <x:c r="A175" s="12" t="str">
        <x:v>happy_024</x:v>
      </x:c>
      <x:c r="B175" s="12" t="str">
        <x:v>happy</x:v>
      </x:c>
      <x:c r="C175" s="14" t="str">
        <x:v>happy/Training_65489657.jpg</x:v>
      </x:c>
      <x:c r="D175" s="12" t="str">
        <x:v>147cc7f581a3f37325da35e309258e95edf6f6c343db8ebd64e77a35599c32ad</x:v>
      </x:c>
      <x:c r="E175" s="12" t="str">
        <x:v>147cc7f581a3f37325da35e309258e95edf6f6c343db8ebd64e77a35599c32ad</x:v>
      </x:c>
      <x:c r="F175" s="12" t="str">
        <x:v>True</x:v>
      </x:c>
      <x:c r="G175" s="12" t="str">
        <x:v>48</x:v>
      </x:c>
      <x:c r="H175" s="12" t="str">
        <x:v>48</x:v>
      </x:c>
      <x:c r="I175" s="12" t="str">
        <x:v>0.0</x:v>
      </x:c>
      <x:c r="J175" s="12" t="str">
        <x:v>0.0</x:v>
      </x:c>
      <x:c r="K175" s="12" t="str">
        <x:v>47.0</x:v>
      </x:c>
      <x:c r="L175" s="12" t="str">
        <x:v>47.0</x:v>
      </x:c>
      <x:c r="M175" s="12" t="str">
        <x:v>True</x:v>
      </x:c>
      <x:c r="N175" s="12" t="str">
        <x:v>68</x:v>
      </x:c>
      <x:c r="O175" s="12" t="str">
        <x:v>68</x:v>
      </x:c>
      <x:c r="P175" s="16" t="str">
        <x:v>1.0</x:v>
      </x:c>
      <x:c r="Q175" s="12" t="str">
        <x:v>67</x:v>
      </x:c>
      <x:c r="R175" s="16" t="str">
        <x:v>0.9852941176470589</x:v>
      </x:c>
      <x:c r="S175" s="12" t="str">
        <x:v>0.2</x:v>
      </x:c>
      <x:c r="T175" s="12" t="str">
        <x:v>68</x:v>
      </x:c>
      <x:c r="U175" s="16" t="str">
        <x:v>1.0</x:v>
      </x:c>
      <x:c r="V175" s="18" t="str">
        <x:v>0.695464015007019</x:v>
      </x:c>
      <x:c r="W175" s="18" t="str">
        <x:v>0.7435070693492889</x:v>
      </x:c>
      <x:c r="X175" s="18" t="str">
        <x:v>0.8144437074661255</x:v>
      </x:c>
      <x:c r="Y175" s="18" t="str">
        <x:v>0.8138632774353027</x:v>
      </x:c>
      <x:c r="Z175" s="18" t="str">
        <x:v>0.8755452156066894</x:v>
      </x:c>
      <x:c r="AA175" s="18" t="str">
        <x:v>0.9034673571586609</x:v>
      </x:c>
      <x:c r="AB175" s="20" t="str">
        <x:v>218.5712999998941</x:v>
      </x:c>
      <x:c r="AC175" s="12" t="str">
        <x:v>overlays\happy_024.png</x:v>
      </x:c>
      <x:c r="AD175" s="12" t="str"/>
      <x:c r="AE175" s="12" t="str"/>
      <x:c r="AF175" s="12" t="str">
        <x:v>acceptable</x:v>
      </x:c>
      <x:c r="AG175" s="12" t="n">
        <x:v>1</x:v>
      </x:c>
      <x:c r="AH175" s="12" t="str">
        <x:v>acceptable</x:v>
      </x:c>
      <x:c r="AI175" s="12" t="str">
        <x:v>acceptable</x:v>
      </x:c>
      <x:c r="AJ175" s="12" t="str">
        <x:v>occluded</x:v>
      </x:c>
      <x:c r="AK175" s="12" t="str">
        <x:v>acceptable</x:v>
      </x:c>
      <x:c r="AL175" s="12" t="str">
        <x:v>mild</x:v>
      </x:c>
      <x:c r="AM175" s="14" t="str">
        <x:v>Occlusion affects part of the face; visible landmarks remain usable, but hidden points are inferred.</x:v>
      </x:c>
    </x:row>
    <x:row r="176" ht="28" customHeight="1">
      <x:c r="A176" s="12" t="str">
        <x:v>happy_025</x:v>
      </x:c>
      <x:c r="B176" s="12" t="str">
        <x:v>happy</x:v>
      </x:c>
      <x:c r="C176" s="14" t="str">
        <x:v>happy/Training_89286937.jpg</x:v>
      </x:c>
      <x:c r="D176" s="12" t="str">
        <x:v>57218ba971b7d15f3f60fe89e9adcff3bb1034e45d8ba9683d2230558ceb70e6</x:v>
      </x:c>
      <x:c r="E176" s="12" t="str">
        <x:v>57218ba971b7d15f3f60fe89e9adcff3bb1034e45d8ba9683d2230558ceb70e6</x:v>
      </x:c>
      <x:c r="F176" s="12" t="str">
        <x:v>True</x:v>
      </x:c>
      <x:c r="G176" s="12" t="str">
        <x:v>48</x:v>
      </x:c>
      <x:c r="H176" s="12" t="str">
        <x:v>48</x:v>
      </x:c>
      <x:c r="I176" s="12" t="str">
        <x:v>0.0</x:v>
      </x:c>
      <x:c r="J176" s="12" t="str">
        <x:v>0.0</x:v>
      </x:c>
      <x:c r="K176" s="12" t="str">
        <x:v>47.0</x:v>
      </x:c>
      <x:c r="L176" s="12" t="str">
        <x:v>47.0</x:v>
      </x:c>
      <x:c r="M176" s="12" t="str">
        <x:v>True</x:v>
      </x:c>
      <x:c r="N176" s="12" t="str">
        <x:v>68</x:v>
      </x:c>
      <x:c r="O176" s="12" t="str">
        <x:v>68</x:v>
      </x:c>
      <x:c r="P176" s="16" t="str">
        <x:v>1.0</x:v>
      </x:c>
      <x:c r="Q176" s="12" t="str">
        <x:v>66</x:v>
      </x:c>
      <x:c r="R176" s="16" t="str">
        <x:v>0.9705882352941176</x:v>
      </x:c>
      <x:c r="S176" s="12" t="str">
        <x:v>0.2</x:v>
      </x:c>
      <x:c r="T176" s="12" t="str">
        <x:v>68</x:v>
      </x:c>
      <x:c r="U176" s="16" t="str">
        <x:v>1.0</x:v>
      </x:c>
      <x:c r="V176" s="18" t="str">
        <x:v>0.6491301655769348</x:v>
      </x:c>
      <x:c r="W176" s="18" t="str">
        <x:v>0.7649638712406158</x:v>
      </x:c>
      <x:c r="X176" s="18" t="str">
        <x:v>0.819046676158905</x:v>
      </x:c>
      <x:c r="Y176" s="18" t="str">
        <x:v>0.8275353908538818</x:v>
      </x:c>
      <x:c r="Z176" s="18" t="str">
        <x:v>0.863102149963379</x:v>
      </x:c>
      <x:c r="AA176" s="18" t="str">
        <x:v>0.9070489406585693</x:v>
      </x:c>
      <x:c r="AB176" s="20" t="str">
        <x:v>158.92670000175713</x:v>
      </x:c>
      <x:c r="AC176" s="12" t="str">
        <x:v>overlays\happy_025.png</x:v>
      </x:c>
      <x:c r="AD176" s="12" t="str"/>
      <x:c r="AE176" s="12" t="str"/>
      <x:c r="AF176" s="12" t="str">
        <x:v>acceptable</x:v>
      </x:c>
      <x:c r="AG176" s="12" t="n">
        <x:v>1</x:v>
      </x:c>
      <x:c r="AH176" s="12" t="str">
        <x:v>acceptable</x:v>
      </x:c>
      <x:c r="AI176" s="12" t="str">
        <x:v>acceptable</x:v>
      </x:c>
      <x:c r="AJ176" s="12" t="str">
        <x:v>acceptable</x:v>
      </x:c>
      <x:c r="AK176" s="12" t="str">
        <x:v>acceptable</x:v>
      </x:c>
      <x:c r="AL176" s="12" t="str">
        <x:v>mild</x:v>
      </x:c>
      <x:c r="AM176" s="14" t="str">
        <x:v>Large pose or profile; visible landmarks remain useful, while hidden-side and contour points are inferred.</x:v>
      </x:c>
    </x:row>
    <x:row r="177" ht="28" customHeight="1">
      <x:c r="A177" s="12" t="str">
        <x:v>happy_026</x:v>
      </x:c>
      <x:c r="B177" s="12" t="str">
        <x:v>happy</x:v>
      </x:c>
      <x:c r="C177" s="14" t="str">
        <x:v>happy/Training_64528538.jpg</x:v>
      </x:c>
      <x:c r="D177" s="12" t="str">
        <x:v>e9c601f465fee953103a2ffeb12cc9bff20db6166194884a4b281778a42f4653</x:v>
      </x:c>
      <x:c r="E177" s="12" t="str">
        <x:v>e9c601f465fee953103a2ffeb12cc9bff20db6166194884a4b281778a42f4653</x:v>
      </x:c>
      <x:c r="F177" s="12" t="str">
        <x:v>True</x:v>
      </x:c>
      <x:c r="G177" s="12" t="str">
        <x:v>48</x:v>
      </x:c>
      <x:c r="H177" s="12" t="str">
        <x:v>48</x:v>
      </x:c>
      <x:c r="I177" s="12" t="str">
        <x:v>0.0</x:v>
      </x:c>
      <x:c r="J177" s="12" t="str">
        <x:v>0.0</x:v>
      </x:c>
      <x:c r="K177" s="12" t="str">
        <x:v>47.0</x:v>
      </x:c>
      <x:c r="L177" s="12" t="str">
        <x:v>47.0</x:v>
      </x:c>
      <x:c r="M177" s="12" t="str">
        <x:v>True</x:v>
      </x:c>
      <x:c r="N177" s="12" t="str">
        <x:v>68</x:v>
      </x:c>
      <x:c r="O177" s="12" t="str">
        <x:v>68</x:v>
      </x:c>
      <x:c r="P177" s="16" t="str">
        <x:v>1.0</x:v>
      </x:c>
      <x:c r="Q177" s="12" t="str">
        <x:v>67</x:v>
      </x:c>
      <x:c r="R177" s="16" t="str">
        <x:v>0.9852941176470589</x:v>
      </x:c>
      <x:c r="S177" s="12" t="str">
        <x:v>0.2</x:v>
      </x:c>
      <x:c r="T177" s="12" t="str">
        <x:v>68</x:v>
      </x:c>
      <x:c r="U177" s="16" t="str">
        <x:v>1.0</x:v>
      </x:c>
      <x:c r="V177" s="18" t="str">
        <x:v>0.4730980694293976</x:v>
      </x:c>
      <x:c r="W177" s="18" t="str">
        <x:v>0.6688294589519501</x:v>
      </x:c>
      <x:c r="X177" s="18" t="str">
        <x:v>0.7865209579467773</x:v>
      </x:c>
      <x:c r="Y177" s="18" t="str">
        <x:v>0.8165388107299805</x:v>
      </x:c>
      <x:c r="Z177" s="18" t="str">
        <x:v>0.8655868530273437</x:v>
      </x:c>
      <x:c r="AA177" s="18" t="str">
        <x:v>0.8896326422691345</x:v>
      </x:c>
      <x:c r="AB177" s="20" t="str">
        <x:v>151.86490000633057</x:v>
      </x:c>
      <x:c r="AC177" s="12" t="str">
        <x:v>overlays\happy_026.png</x:v>
      </x:c>
      <x:c r="AD177" s="12" t="str"/>
      <x:c r="AE177" s="12" t="str"/>
      <x:c r="AF177" s="12" t="str">
        <x:v>acceptable</x:v>
      </x:c>
      <x:c r="AG177" s="12" t="n">
        <x:v>1</x:v>
      </x:c>
      <x:c r="AH177" s="12" t="str">
        <x:v>acceptable</x:v>
      </x:c>
      <x:c r="AI177" s="12" t="str">
        <x:v>acceptable</x:v>
      </x:c>
      <x:c r="AJ177" s="12" t="str">
        <x:v>acceptable</x:v>
      </x:c>
      <x:c r="AK177" s="12" t="str">
        <x:v>not_applicable</x:v>
      </x:c>
      <x:c r="AL177" s="12" t="str">
        <x:v>mild</x:v>
      </x:c>
      <x:c r="AM177" s="14" t="str">
        <x:v>Moderate pose, crop, blur, or facial texture causes minor landmark uncertainty; the result remains usable.</x:v>
      </x:c>
    </x:row>
    <x:row r="178" ht="28" customHeight="1">
      <x:c r="A178" s="12" t="str">
        <x:v>happy_027</x:v>
      </x:c>
      <x:c r="B178" s="12" t="str">
        <x:v>happy</x:v>
      </x:c>
      <x:c r="C178" s="14" t="str">
        <x:v>happy/Training_10080933.jpg</x:v>
      </x:c>
      <x:c r="D178" s="12" t="str">
        <x:v>d3a6899116fa30d88cdfc07793efb9d046d0129540528a4e4208d81ef3f9b3e0</x:v>
      </x:c>
      <x:c r="E178" s="12" t="str">
        <x:v>d3a6899116fa30d88cdfc07793efb9d046d0129540528a4e4208d81ef3f9b3e0</x:v>
      </x:c>
      <x:c r="F178" s="12" t="str">
        <x:v>True</x:v>
      </x:c>
      <x:c r="G178" s="12" t="str">
        <x:v>48</x:v>
      </x:c>
      <x:c r="H178" s="12" t="str">
        <x:v>48</x:v>
      </x:c>
      <x:c r="I178" s="12" t="str">
        <x:v>0.0</x:v>
      </x:c>
      <x:c r="J178" s="12" t="str">
        <x:v>0.0</x:v>
      </x:c>
      <x:c r="K178" s="12" t="str">
        <x:v>47.0</x:v>
      </x:c>
      <x:c r="L178" s="12" t="str">
        <x:v>47.0</x:v>
      </x:c>
      <x:c r="M178" s="12" t="str">
        <x:v>True</x:v>
      </x:c>
      <x:c r="N178" s="12" t="str">
        <x:v>68</x:v>
      </x:c>
      <x:c r="O178" s="12" t="str">
        <x:v>68</x:v>
      </x:c>
      <x:c r="P178" s="16" t="str">
        <x:v>1.0</x:v>
      </x:c>
      <x:c r="Q178" s="12" t="str">
        <x:v>68</x:v>
      </x:c>
      <x:c r="R178" s="16" t="str">
        <x:v>1.0</x:v>
      </x:c>
      <x:c r="S178" s="12" t="str">
        <x:v>0.2</x:v>
      </x:c>
      <x:c r="T178" s="12" t="str">
        <x:v>68</x:v>
      </x:c>
      <x:c r="U178" s="16" t="str">
        <x:v>1.0</x:v>
      </x:c>
      <x:c r="V178" s="18" t="str">
        <x:v>0.5366276502609253</x:v>
      </x:c>
      <x:c r="W178" s="18" t="str">
        <x:v>0.6938313364982605</x:v>
      </x:c>
      <x:c r="X178" s="18" t="str">
        <x:v>0.8010005354881287</x:v>
      </x:c>
      <x:c r="Y178" s="18" t="str">
        <x:v>0.8238161206245422</x:v>
      </x:c>
      <x:c r="Z178" s="18" t="str">
        <x:v>0.8756179273128509</x:v>
      </x:c>
      <x:c r="AA178" s="18" t="str">
        <x:v>0.9055789709091187</x:v>
      </x:c>
      <x:c r="AB178" s="20" t="str">
        <x:v>156.9923999995808</x:v>
      </x:c>
      <x:c r="AC178" s="12" t="str">
        <x:v>overlays\happy_027.png</x:v>
      </x:c>
      <x:c r="AD178" s="12" t="str"/>
      <x:c r="AE178" s="12" t="str"/>
      <x:c r="AF178" s="12" t="str">
        <x:v>good</x:v>
      </x:c>
      <x:c r="AG178" s="12" t="n">
        <x:v>1</x:v>
      </x:c>
      <x:c r="AH178" s="12" t="str">
        <x:v>good</x:v>
      </x:c>
      <x:c r="AI178" s="12" t="str">
        <x:v>good</x:v>
      </x:c>
      <x:c r="AJ178" s="12" t="str">
        <x:v>good</x:v>
      </x:c>
      <x:c r="AK178" s="12" t="str">
        <x:v>good</x:v>
      </x:c>
      <x:c r="AL178" s="12" t="str">
        <x:v>none</x:v>
      </x:c>
      <x:c r="AM178" s="14" t="str">
        <x:v>Clear and well-aligned facial landmarks with no major pose, crop, or occlusion issue.</x:v>
      </x:c>
    </x:row>
    <x:row r="179" ht="28" customHeight="1">
      <x:c r="A179" s="12" t="str">
        <x:v>happy_028</x:v>
      </x:c>
      <x:c r="B179" s="12" t="str">
        <x:v>happy</x:v>
      </x:c>
      <x:c r="C179" s="14" t="str">
        <x:v>happy/Training_71437908.jpg</x:v>
      </x:c>
      <x:c r="D179" s="12" t="str">
        <x:v>9a7f035660d86e6e89eb6d748a01f87e428f530a6b0adfe07c5c5c084271e879</x:v>
      </x:c>
      <x:c r="E179" s="12" t="str">
        <x:v>9a7f035660d86e6e89eb6d748a01f87e428f530a6b0adfe07c5c5c084271e879</x:v>
      </x:c>
      <x:c r="F179" s="12" t="str">
        <x:v>True</x:v>
      </x:c>
      <x:c r="G179" s="12" t="str">
        <x:v>48</x:v>
      </x:c>
      <x:c r="H179" s="12" t="str">
        <x:v>48</x:v>
      </x:c>
      <x:c r="I179" s="12" t="str">
        <x:v>0.0</x:v>
      </x:c>
      <x:c r="J179" s="12" t="str">
        <x:v>0.0</x:v>
      </x:c>
      <x:c r="K179" s="12" t="str">
        <x:v>47.0</x:v>
      </x:c>
      <x:c r="L179" s="12" t="str">
        <x:v>47.0</x:v>
      </x:c>
      <x:c r="M179" s="12" t="str">
        <x:v>True</x:v>
      </x:c>
      <x:c r="N179" s="12" t="str">
        <x:v>68</x:v>
      </x:c>
      <x:c r="O179" s="12" t="str">
        <x:v>68</x:v>
      </x:c>
      <x:c r="P179" s="16" t="str">
        <x:v>1.0</x:v>
      </x:c>
      <x:c r="Q179" s="12" t="str">
        <x:v>68</x:v>
      </x:c>
      <x:c r="R179" s="16" t="str">
        <x:v>1.0</x:v>
      </x:c>
      <x:c r="S179" s="12" t="str">
        <x:v>0.2</x:v>
      </x:c>
      <x:c r="T179" s="12" t="str">
        <x:v>68</x:v>
      </x:c>
      <x:c r="U179" s="16" t="str">
        <x:v>1.0</x:v>
      </x:c>
      <x:c r="V179" s="18" t="str">
        <x:v>0.693423867225647</x:v>
      </x:c>
      <x:c r="W179" s="18" t="str">
        <x:v>0.7755256831645966</x:v>
      </x:c>
      <x:c r="X179" s="18" t="str">
        <x:v>0.8229548335075378</x:v>
      </x:c>
      <x:c r="Y179" s="18" t="str">
        <x:v>0.8269385099411011</x:v>
      </x:c>
      <x:c r="Z179" s="18" t="str">
        <x:v>0.8721300601959229</x:v>
      </x:c>
      <x:c r="AA179" s="18" t="str">
        <x:v>0.9029666185379028</x:v>
      </x:c>
      <x:c r="AB179" s="20" t="str">
        <x:v>153.0895000032615</x:v>
      </x:c>
      <x:c r="AC179" s="12" t="str">
        <x:v>overlays\happy_028.png</x:v>
      </x:c>
      <x:c r="AD179" s="12" t="str"/>
      <x:c r="AE179" s="12" t="str"/>
      <x:c r="AF179" s="12" t="str">
        <x:v>good</x:v>
      </x:c>
      <x:c r="AG179" s="12" t="n">
        <x:v>1</x:v>
      </x:c>
      <x:c r="AH179" s="12" t="str">
        <x:v>good</x:v>
      </x:c>
      <x:c r="AI179" s="12" t="str">
        <x:v>good</x:v>
      </x:c>
      <x:c r="AJ179" s="12" t="str">
        <x:v>good</x:v>
      </x:c>
      <x:c r="AK179" s="12" t="str">
        <x:v>not_applicable</x:v>
      </x:c>
      <x:c r="AL179" s="12" t="str">
        <x:v>none</x:v>
      </x:c>
      <x:c r="AM179" s="14" t="str">
        <x:v>Clear and well-aligned facial landmarks with no major pose, crop, or occlusion issue.</x:v>
      </x:c>
    </x:row>
    <x:row r="180" ht="28" customHeight="1">
      <x:c r="A180" s="12" t="str">
        <x:v>happy_029</x:v>
      </x:c>
      <x:c r="B180" s="12" t="str">
        <x:v>happy</x:v>
      </x:c>
      <x:c r="C180" s="14" t="str">
        <x:v>happy/Training_4301800.jpg</x:v>
      </x:c>
      <x:c r="D180" s="12" t="str">
        <x:v>2041b0b1bd0f9cb1050bc1b4085c12b0e1e9b696a4551486346e049c1c674398</x:v>
      </x:c>
      <x:c r="E180" s="12" t="str">
        <x:v>2041b0b1bd0f9cb1050bc1b4085c12b0e1e9b696a4551486346e049c1c674398</x:v>
      </x:c>
      <x:c r="F180" s="12" t="str">
        <x:v>True</x:v>
      </x:c>
      <x:c r="G180" s="12" t="str">
        <x:v>48</x:v>
      </x:c>
      <x:c r="H180" s="12" t="str">
        <x:v>48</x:v>
      </x:c>
      <x:c r="I180" s="12" t="str">
        <x:v>0.0</x:v>
      </x:c>
      <x:c r="J180" s="12" t="str">
        <x:v>0.0</x:v>
      </x:c>
      <x:c r="K180" s="12" t="str">
        <x:v>47.0</x:v>
      </x:c>
      <x:c r="L180" s="12" t="str">
        <x:v>47.0</x:v>
      </x:c>
      <x:c r="M180" s="12" t="str">
        <x:v>True</x:v>
      </x:c>
      <x:c r="N180" s="12" t="str">
        <x:v>68</x:v>
      </x:c>
      <x:c r="O180" s="12" t="str">
        <x:v>68</x:v>
      </x:c>
      <x:c r="P180" s="16" t="str">
        <x:v>1.0</x:v>
      </x:c>
      <x:c r="Q180" s="12" t="str">
        <x:v>68</x:v>
      </x:c>
      <x:c r="R180" s="16" t="str">
        <x:v>1.0</x:v>
      </x:c>
      <x:c r="S180" s="12" t="str">
        <x:v>0.2</x:v>
      </x:c>
      <x:c r="T180" s="12" t="str">
        <x:v>68</x:v>
      </x:c>
      <x:c r="U180" s="16" t="str">
        <x:v>1.0</x:v>
      </x:c>
      <x:c r="V180" s="18" t="str">
        <x:v>0.5576991438865662</x:v>
      </x:c>
      <x:c r="W180" s="18" t="str">
        <x:v>0.6246322214603424</x:v>
      </x:c>
      <x:c r="X180" s="18" t="str">
        <x:v>0.7378812432289124</x:v>
      </x:c>
      <x:c r="Y180" s="18" t="str">
        <x:v>0.7488275766372681</x:v>
      </x:c>
      <x:c r="Z180" s="18" t="str">
        <x:v>0.8064040780067444</x:v>
      </x:c>
      <x:c r="AA180" s="18" t="str">
        <x:v>0.8334226608276367</x:v>
      </x:c>
      <x:c r="AB180" s="20" t="str">
        <x:v>211.753099996713</x:v>
      </x:c>
      <x:c r="AC180" s="12" t="str">
        <x:v>overlays\happy_029.png</x:v>
      </x:c>
      <x:c r="AD180" s="12" t="str"/>
      <x:c r="AE180" s="12" t="str"/>
      <x:c r="AF180" s="12" t="str">
        <x:v>acceptable</x:v>
      </x:c>
      <x:c r="AG180" s="12" t="n">
        <x:v>1</x:v>
      </x:c>
      <x:c r="AH180" s="12" t="str">
        <x:v>acceptable</x:v>
      </x:c>
      <x:c r="AI180" s="12" t="str">
        <x:v>acceptable</x:v>
      </x:c>
      <x:c r="AJ180" s="12" t="str">
        <x:v>acceptable</x:v>
      </x:c>
      <x:c r="AK180" s="12" t="str">
        <x:v>acceptable</x:v>
      </x:c>
      <x:c r="AL180" s="12" t="str">
        <x:v>mild</x:v>
      </x:c>
      <x:c r="AM180" s="14" t="str">
        <x:v>Moderate pose, crop, blur, or facial texture causes minor landmark uncertainty; the result remains usable.</x:v>
      </x:c>
    </x:row>
    <x:row r="181" ht="28" customHeight="1">
      <x:c r="A181" s="12" t="str">
        <x:v>happy_030</x:v>
      </x:c>
      <x:c r="B181" s="12" t="str">
        <x:v>happy</x:v>
      </x:c>
      <x:c r="C181" s="14" t="str">
        <x:v>happy/Training_60286071.jpg</x:v>
      </x:c>
      <x:c r="D181" s="12" t="str">
        <x:v>65e66037039c89332779490edeb7cac91f37ec8d9babbe86af6dcf9d5fbc5e1d</x:v>
      </x:c>
      <x:c r="E181" s="12" t="str">
        <x:v>65e66037039c89332779490edeb7cac91f37ec8d9babbe86af6dcf9d5fbc5e1d</x:v>
      </x:c>
      <x:c r="F181" s="12" t="str">
        <x:v>True</x:v>
      </x:c>
      <x:c r="G181" s="12" t="str">
        <x:v>48</x:v>
      </x:c>
      <x:c r="H181" s="12" t="str">
        <x:v>48</x:v>
      </x:c>
      <x:c r="I181" s="12" t="str">
        <x:v>0.0</x:v>
      </x:c>
      <x:c r="J181" s="12" t="str">
        <x:v>0.0</x:v>
      </x:c>
      <x:c r="K181" s="12" t="str">
        <x:v>47.0</x:v>
      </x:c>
      <x:c r="L181" s="12" t="str">
        <x:v>47.0</x:v>
      </x:c>
      <x:c r="M181" s="12" t="str">
        <x:v>True</x:v>
      </x:c>
      <x:c r="N181" s="12" t="str">
        <x:v>68</x:v>
      </x:c>
      <x:c r="O181" s="12" t="str">
        <x:v>68</x:v>
      </x:c>
      <x:c r="P181" s="16" t="str">
        <x:v>1.0</x:v>
      </x:c>
      <x:c r="Q181" s="12" t="str">
        <x:v>68</x:v>
      </x:c>
      <x:c r="R181" s="16" t="str">
        <x:v>1.0</x:v>
      </x:c>
      <x:c r="S181" s="12" t="str">
        <x:v>0.2</x:v>
      </x:c>
      <x:c r="T181" s="12" t="str">
        <x:v>68</x:v>
      </x:c>
      <x:c r="U181" s="16" t="str">
        <x:v>1.0</x:v>
      </x:c>
      <x:c r="V181" s="18" t="str">
        <x:v>0.6961562037467957</x:v>
      </x:c>
      <x:c r="W181" s="18" t="str">
        <x:v>0.7499692022800446</x:v>
      </x:c>
      <x:c r="X181" s="18" t="str">
        <x:v>0.8292000889778137</x:v>
      </x:c>
      <x:c r="Y181" s="18" t="str">
        <x:v>0.842530369758606</x:v>
      </x:c>
      <x:c r="Z181" s="18" t="str">
        <x:v>0.8879204630851746</x:v>
      </x:c>
      <x:c r="AA181" s="18" t="str">
        <x:v>0.9439165592193604</x:v>
      </x:c>
      <x:c r="AB181" s="20" t="str">
        <x:v>188.16390000574756</x:v>
      </x:c>
      <x:c r="AC181" s="12" t="str">
        <x:v>overlays\happy_030.png</x:v>
      </x:c>
      <x:c r="AD181" s="12" t="str"/>
      <x:c r="AE181" s="12" t="str"/>
      <x:c r="AF181" s="12" t="str">
        <x:v>good</x:v>
      </x:c>
      <x:c r="AG181" s="12" t="n">
        <x:v>1</x:v>
      </x:c>
      <x:c r="AH181" s="12" t="str">
        <x:v>good</x:v>
      </x:c>
      <x:c r="AI181" s="12" t="str">
        <x:v>good</x:v>
      </x:c>
      <x:c r="AJ181" s="12" t="str">
        <x:v>good</x:v>
      </x:c>
      <x:c r="AK181" s="12" t="str">
        <x:v>good</x:v>
      </x:c>
      <x:c r="AL181" s="12" t="str">
        <x:v>none</x:v>
      </x:c>
      <x:c r="AM181" s="14" t="str">
        <x:v>Clear and well-aligned facial landmarks with no major pose, crop, or occlusion issue.</x:v>
      </x:c>
    </x:row>
    <x:row r="182" ht="28" customHeight="1">
      <x:c r="A182" s="12" t="str">
        <x:v>happy_031</x:v>
      </x:c>
      <x:c r="B182" s="12" t="str">
        <x:v>happy</x:v>
      </x:c>
      <x:c r="C182" s="14" t="str">
        <x:v>happy/Training_11804569.jpg</x:v>
      </x:c>
      <x:c r="D182" s="12" t="str">
        <x:v>335743edf5f7e6dce87db36832d32cd29e3b3816c37b9570d2207134ca0139c3</x:v>
      </x:c>
      <x:c r="E182" s="12" t="str">
        <x:v>335743edf5f7e6dce87db36832d32cd29e3b3816c37b9570d2207134ca0139c3</x:v>
      </x:c>
      <x:c r="F182" s="12" t="str">
        <x:v>True</x:v>
      </x:c>
      <x:c r="G182" s="12" t="str">
        <x:v>48</x:v>
      </x:c>
      <x:c r="H182" s="12" t="str">
        <x:v>48</x:v>
      </x:c>
      <x:c r="I182" s="12" t="str">
        <x:v>0.0</x:v>
      </x:c>
      <x:c r="J182" s="12" t="str">
        <x:v>0.0</x:v>
      </x:c>
      <x:c r="K182" s="12" t="str">
        <x:v>47.0</x:v>
      </x:c>
      <x:c r="L182" s="12" t="str">
        <x:v>47.0</x:v>
      </x:c>
      <x:c r="M182" s="12" t="str">
        <x:v>True</x:v>
      </x:c>
      <x:c r="N182" s="12" t="str">
        <x:v>68</x:v>
      </x:c>
      <x:c r="O182" s="12" t="str">
        <x:v>68</x:v>
      </x:c>
      <x:c r="P182" s="16" t="str">
        <x:v>1.0</x:v>
      </x:c>
      <x:c r="Q182" s="12" t="str">
        <x:v>67</x:v>
      </x:c>
      <x:c r="R182" s="16" t="str">
        <x:v>0.9852941176470589</x:v>
      </x:c>
      <x:c r="S182" s="12" t="str">
        <x:v>0.2</x:v>
      </x:c>
      <x:c r="T182" s="12" t="str">
        <x:v>68</x:v>
      </x:c>
      <x:c r="U182" s="16" t="str">
        <x:v>1.0</x:v>
      </x:c>
      <x:c r="V182" s="18" t="str">
        <x:v>0.6227297782897949</x:v>
      </x:c>
      <x:c r="W182" s="18" t="str">
        <x:v>0.7111049473285675</x:v>
      </x:c>
      <x:c r="X182" s="18" t="str">
        <x:v>0.7958546876907349</x:v>
      </x:c>
      <x:c r="Y182" s="18" t="str">
        <x:v>0.8151891827583313</x:v>
      </x:c>
      <x:c r="Z182" s="18" t="str">
        <x:v>0.854032015800476</x:v>
      </x:c>
      <x:c r="AA182" s="18" t="str">
        <x:v>0.8715923428535461</x:v>
      </x:c>
      <x:c r="AB182" s="20" t="str">
        <x:v>171.97589999705087</x:v>
      </x:c>
      <x:c r="AC182" s="12" t="str">
        <x:v>overlays\happy_031.png</x:v>
      </x:c>
      <x:c r="AD182" s="12" t="str"/>
      <x:c r="AE182" s="12" t="str"/>
      <x:c r="AF182" s="12" t="str">
        <x:v>good</x:v>
      </x:c>
      <x:c r="AG182" s="12" t="n">
        <x:v>1</x:v>
      </x:c>
      <x:c r="AH182" s="12" t="str">
        <x:v>good</x:v>
      </x:c>
      <x:c r="AI182" s="12" t="str">
        <x:v>good</x:v>
      </x:c>
      <x:c r="AJ182" s="12" t="str">
        <x:v>good</x:v>
      </x:c>
      <x:c r="AK182" s="12" t="str">
        <x:v>not_applicable</x:v>
      </x:c>
      <x:c r="AL182" s="12" t="str">
        <x:v>none</x:v>
      </x:c>
      <x:c r="AM182" s="14" t="str">
        <x:v>Clear and well-aligned facial landmarks with no major pose, crop, or occlusion issue.</x:v>
      </x:c>
    </x:row>
    <x:row r="183" ht="28" customHeight="1">
      <x:c r="A183" s="12" t="str">
        <x:v>happy_032</x:v>
      </x:c>
      <x:c r="B183" s="12" t="str">
        <x:v>happy</x:v>
      </x:c>
      <x:c r="C183" s="14" t="str">
        <x:v>happy/Training_21227042.jpg</x:v>
      </x:c>
      <x:c r="D183" s="12" t="str">
        <x:v>6f611a953bd292462c3681c7ab4a566f301ca66988459ae4edf1b01ecf574b8d</x:v>
      </x:c>
      <x:c r="E183" s="12" t="str">
        <x:v>6f611a953bd292462c3681c7ab4a566f301ca66988459ae4edf1b01ecf574b8d</x:v>
      </x:c>
      <x:c r="F183" s="12" t="str">
        <x:v>True</x:v>
      </x:c>
      <x:c r="G183" s="12" t="str">
        <x:v>48</x:v>
      </x:c>
      <x:c r="H183" s="12" t="str">
        <x:v>48</x:v>
      </x:c>
      <x:c r="I183" s="12" t="str">
        <x:v>0.0</x:v>
      </x:c>
      <x:c r="J183" s="12" t="str">
        <x:v>0.0</x:v>
      </x:c>
      <x:c r="K183" s="12" t="str">
        <x:v>47.0</x:v>
      </x:c>
      <x:c r="L183" s="12" t="str">
        <x:v>47.0</x:v>
      </x:c>
      <x:c r="M183" s="12" t="str">
        <x:v>True</x:v>
      </x:c>
      <x:c r="N183" s="12" t="str">
        <x:v>68</x:v>
      </x:c>
      <x:c r="O183" s="12" t="str">
        <x:v>68</x:v>
      </x:c>
      <x:c r="P183" s="16" t="str">
        <x:v>1.0</x:v>
      </x:c>
      <x:c r="Q183" s="12" t="str">
        <x:v>68</x:v>
      </x:c>
      <x:c r="R183" s="16" t="str">
        <x:v>1.0</x:v>
      </x:c>
      <x:c r="S183" s="12" t="str">
        <x:v>0.2</x:v>
      </x:c>
      <x:c r="T183" s="12" t="str">
        <x:v>68</x:v>
      </x:c>
      <x:c r="U183" s="16" t="str">
        <x:v>1.0</x:v>
      </x:c>
      <x:c r="V183" s="18" t="str">
        <x:v>0.5849882960319519</x:v>
      </x:c>
      <x:c r="W183" s="18" t="str">
        <x:v>0.7290046036243438</x:v>
      </x:c>
      <x:c r="X183" s="18" t="str">
        <x:v>0.8122788667678833</x:v>
      </x:c>
      <x:c r="Y183" s="18" t="str">
        <x:v>0.8264459371566772</x:v>
      </x:c>
      <x:c r="Z183" s="18" t="str">
        <x:v>0.8707328557968139</x:v>
      </x:c>
      <x:c r="AA183" s="18" t="str">
        <x:v>0.895727276802063</x:v>
      </x:c>
      <x:c r="AB183" s="20" t="str">
        <x:v>158.3496000021114</x:v>
      </x:c>
      <x:c r="AC183" s="12" t="str">
        <x:v>overlays\happy_032.png</x:v>
      </x:c>
      <x:c r="AD183" s="12" t="str"/>
      <x:c r="AE183" s="12" t="str"/>
      <x:c r="AF183" s="12" t="str">
        <x:v>good</x:v>
      </x:c>
      <x:c r="AG183" s="12" t="n">
        <x:v>1</x:v>
      </x:c>
      <x:c r="AH183" s="12" t="str">
        <x:v>good</x:v>
      </x:c>
      <x:c r="AI183" s="12" t="str">
        <x:v>good</x:v>
      </x:c>
      <x:c r="AJ183" s="12" t="str">
        <x:v>good</x:v>
      </x:c>
      <x:c r="AK183" s="12" t="str">
        <x:v>good</x:v>
      </x:c>
      <x:c r="AL183" s="12" t="str">
        <x:v>none</x:v>
      </x:c>
      <x:c r="AM183" s="14" t="str">
        <x:v>Clear and well-aligned facial landmarks with no major pose, crop, or occlusion issue.</x:v>
      </x:c>
    </x:row>
    <x:row r="184" ht="28" customHeight="1">
      <x:c r="A184" s="12" t="str">
        <x:v>happy_033</x:v>
      </x:c>
      <x:c r="B184" s="12" t="str">
        <x:v>happy</x:v>
      </x:c>
      <x:c r="C184" s="14" t="str">
        <x:v>happy/Training_47060911.jpg</x:v>
      </x:c>
      <x:c r="D184" s="12" t="str">
        <x:v>47150e342242aa8264277cff8443e99ad0fb7f18a87ebe75e489f0ca1850aa3e</x:v>
      </x:c>
      <x:c r="E184" s="12" t="str">
        <x:v>47150e342242aa8264277cff8443e99ad0fb7f18a87ebe75e489f0ca1850aa3e</x:v>
      </x:c>
      <x:c r="F184" s="12" t="str">
        <x:v>True</x:v>
      </x:c>
      <x:c r="G184" s="12" t="str">
        <x:v>48</x:v>
      </x:c>
      <x:c r="H184" s="12" t="str">
        <x:v>48</x:v>
      </x:c>
      <x:c r="I184" s="12" t="str">
        <x:v>0.0</x:v>
      </x:c>
      <x:c r="J184" s="12" t="str">
        <x:v>0.0</x:v>
      </x:c>
      <x:c r="K184" s="12" t="str">
        <x:v>47.0</x:v>
      </x:c>
      <x:c r="L184" s="12" t="str">
        <x:v>47.0</x:v>
      </x:c>
      <x:c r="M184" s="12" t="str">
        <x:v>True</x:v>
      </x:c>
      <x:c r="N184" s="12" t="str">
        <x:v>68</x:v>
      </x:c>
      <x:c r="O184" s="12" t="str">
        <x:v>68</x:v>
      </x:c>
      <x:c r="P184" s="16" t="str">
        <x:v>1.0</x:v>
      </x:c>
      <x:c r="Q184" s="12" t="str">
        <x:v>68</x:v>
      </x:c>
      <x:c r="R184" s="16" t="str">
        <x:v>1.0</x:v>
      </x:c>
      <x:c r="S184" s="12" t="str">
        <x:v>0.2</x:v>
      </x:c>
      <x:c r="T184" s="12" t="str">
        <x:v>68</x:v>
      </x:c>
      <x:c r="U184" s="16" t="str">
        <x:v>1.0</x:v>
      </x:c>
      <x:c r="V184" s="18" t="str">
        <x:v>0.725074052810669</x:v>
      </x:c>
      <x:c r="W184" s="18" t="str">
        <x:v>0.768566346168518</x:v>
      </x:c>
      <x:c r="X184" s="18" t="str">
        <x:v>0.826392650604248</x:v>
      </x:c>
      <x:c r="Y184" s="18" t="str">
        <x:v>0.8325124979019165</x:v>
      </x:c>
      <x:c r="Z184" s="18" t="str">
        <x:v>0.864607298374176</x:v>
      </x:c>
      <x:c r="AA184" s="18" t="str">
        <x:v>0.900414764881134</x:v>
      </x:c>
      <x:c r="AB184" s="20" t="str">
        <x:v>153.7322000003769</x:v>
      </x:c>
      <x:c r="AC184" s="12" t="str">
        <x:v>overlays\happy_033.png</x:v>
      </x:c>
      <x:c r="AD184" s="12" t="str"/>
      <x:c r="AE184" s="12" t="str"/>
      <x:c r="AF184" s="12" t="str">
        <x:v>good</x:v>
      </x:c>
      <x:c r="AG184" s="12" t="n">
        <x:v>1</x:v>
      </x:c>
      <x:c r="AH184" s="12" t="str">
        <x:v>good</x:v>
      </x:c>
      <x:c r="AI184" s="12" t="str">
        <x:v>good</x:v>
      </x:c>
      <x:c r="AJ184" s="12" t="str">
        <x:v>good</x:v>
      </x:c>
      <x:c r="AK184" s="12" t="str">
        <x:v>not_applicable</x:v>
      </x:c>
      <x:c r="AL184" s="12" t="str">
        <x:v>none</x:v>
      </x:c>
      <x:c r="AM184" s="14" t="str">
        <x:v>Clear and well-aligned facial landmarks with no major pose, crop, or occlusion issue.</x:v>
      </x:c>
    </x:row>
    <x:row r="185" ht="28" customHeight="1">
      <x:c r="A185" s="12" t="str">
        <x:v>happy_034</x:v>
      </x:c>
      <x:c r="B185" s="12" t="str">
        <x:v>happy</x:v>
      </x:c>
      <x:c r="C185" s="14" t="str">
        <x:v>happy/Training_99770266.jpg</x:v>
      </x:c>
      <x:c r="D185" s="12" t="str">
        <x:v>b117e8050792a9596746cc94557a3076556d9f7353ff098059fd5bb58b02967c</x:v>
      </x:c>
      <x:c r="E185" s="12" t="str">
        <x:v>b117e8050792a9596746cc94557a3076556d9f7353ff098059fd5bb58b02967c</x:v>
      </x:c>
      <x:c r="F185" s="12" t="str">
        <x:v>True</x:v>
      </x:c>
      <x:c r="G185" s="12" t="str">
        <x:v>48</x:v>
      </x:c>
      <x:c r="H185" s="12" t="str">
        <x:v>48</x:v>
      </x:c>
      <x:c r="I185" s="12" t="str">
        <x:v>0.0</x:v>
      </x:c>
      <x:c r="J185" s="12" t="str">
        <x:v>0.0</x:v>
      </x:c>
      <x:c r="K185" s="12" t="str">
        <x:v>47.0</x:v>
      </x:c>
      <x:c r="L185" s="12" t="str">
        <x:v>47.0</x:v>
      </x:c>
      <x:c r="M185" s="12" t="str">
        <x:v>True</x:v>
      </x:c>
      <x:c r="N185" s="12" t="str">
        <x:v>68</x:v>
      </x:c>
      <x:c r="O185" s="12" t="str">
        <x:v>68</x:v>
      </x:c>
      <x:c r="P185" s="16" t="str">
        <x:v>1.0</x:v>
      </x:c>
      <x:c r="Q185" s="12" t="str">
        <x:v>68</x:v>
      </x:c>
      <x:c r="R185" s="16" t="str">
        <x:v>1.0</x:v>
      </x:c>
      <x:c r="S185" s="12" t="str">
        <x:v>0.2</x:v>
      </x:c>
      <x:c r="T185" s="12" t="str">
        <x:v>68</x:v>
      </x:c>
      <x:c r="U185" s="16" t="str">
        <x:v>1.0</x:v>
      </x:c>
      <x:c r="V185" s="18" t="str">
        <x:v>0.6835250854492188</x:v>
      </x:c>
      <x:c r="W185" s="18" t="str">
        <x:v>0.7755655467510223</x:v>
      </x:c>
      <x:c r="X185" s="18" t="str">
        <x:v>0.8301720023155212</x:v>
      </x:c>
      <x:c r="Y185" s="18" t="str">
        <x:v>0.8377207517623901</x:v>
      </x:c>
      <x:c r="Z185" s="18" t="str">
        <x:v>0.8802199602127075</x:v>
      </x:c>
      <x:c r="AA185" s="18" t="str">
        <x:v>0.9049555063247681</x:v>
      </x:c>
      <x:c r="AB185" s="20" t="str">
        <x:v>152.7912000019569</x:v>
      </x:c>
      <x:c r="AC185" s="12" t="str">
        <x:v>overlays\happy_034.png</x:v>
      </x:c>
      <x:c r="AD185" s="12" t="str"/>
      <x:c r="AE185" s="12" t="str"/>
      <x:c r="AF185" s="12" t="str">
        <x:v>acceptable</x:v>
      </x:c>
      <x:c r="AG185" s="12" t="n">
        <x:v>1</x:v>
      </x:c>
      <x:c r="AH185" s="12" t="str">
        <x:v>acceptable</x:v>
      </x:c>
      <x:c r="AI185" s="12" t="str">
        <x:v>acceptable</x:v>
      </x:c>
      <x:c r="AJ185" s="12" t="str">
        <x:v>acceptable</x:v>
      </x:c>
      <x:c r="AK185" s="12" t="str">
        <x:v>not_applicable</x:v>
      </x:c>
      <x:c r="AL185" s="12" t="str">
        <x:v>mild</x:v>
      </x:c>
      <x:c r="AM185" s="14" t="str">
        <x:v>Moderate pose, crop, blur, or facial texture causes minor landmark uncertainty; the result remains usable.</x:v>
      </x:c>
    </x:row>
    <x:row r="186" ht="28" customHeight="1">
      <x:c r="A186" s="12" t="str">
        <x:v>happy_035</x:v>
      </x:c>
      <x:c r="B186" s="12" t="str">
        <x:v>happy</x:v>
      </x:c>
      <x:c r="C186" s="14" t="str">
        <x:v>happy/Training_94853036.jpg</x:v>
      </x:c>
      <x:c r="D186" s="12" t="str">
        <x:v>b21ca4889c3e7b034ca5cd24c827f63551d07c34ad992a5231a30a7f924b2bac</x:v>
      </x:c>
      <x:c r="E186" s="12" t="str">
        <x:v>b21ca4889c3e7b034ca5cd24c827f63551d07c34ad992a5231a30a7f924b2bac</x:v>
      </x:c>
      <x:c r="F186" s="12" t="str">
        <x:v>True</x:v>
      </x:c>
      <x:c r="G186" s="12" t="str">
        <x:v>48</x:v>
      </x:c>
      <x:c r="H186" s="12" t="str">
        <x:v>48</x:v>
      </x:c>
      <x:c r="I186" s="12" t="str">
        <x:v>0.0</x:v>
      </x:c>
      <x:c r="J186" s="12" t="str">
        <x:v>0.0</x:v>
      </x:c>
      <x:c r="K186" s="12" t="str">
        <x:v>47.0</x:v>
      </x:c>
      <x:c r="L186" s="12" t="str">
        <x:v>47.0</x:v>
      </x:c>
      <x:c r="M186" s="12" t="str">
        <x:v>True</x:v>
      </x:c>
      <x:c r="N186" s="12" t="str">
        <x:v>68</x:v>
      </x:c>
      <x:c r="O186" s="12" t="str">
        <x:v>68</x:v>
      </x:c>
      <x:c r="P186" s="16" t="str">
        <x:v>1.0</x:v>
      </x:c>
      <x:c r="Q186" s="12" t="str">
        <x:v>68</x:v>
      </x:c>
      <x:c r="R186" s="16" t="str">
        <x:v>1.0</x:v>
      </x:c>
      <x:c r="S186" s="12" t="str">
        <x:v>0.2</x:v>
      </x:c>
      <x:c r="T186" s="12" t="str">
        <x:v>68</x:v>
      </x:c>
      <x:c r="U186" s="16" t="str">
        <x:v>1.0</x:v>
      </x:c>
      <x:c r="V186" s="18" t="str">
        <x:v>0.2001761794090271</x:v>
      </x:c>
      <x:c r="W186" s="18" t="str">
        <x:v>0.3273481547832489</x:v>
      </x:c>
      <x:c r="X186" s="18" t="str">
        <x:v>0.5364073514938354</x:v>
      </x:c>
      <x:c r="Y186" s="18" t="str">
        <x:v>0.5875914096832275</x:v>
      </x:c>
      <x:c r="Z186" s="18" t="str">
        <x:v>0.6722068190574646</x:v>
      </x:c>
      <x:c r="AA186" s="18" t="str">
        <x:v>0.7986286878585815</x:v>
      </x:c>
      <x:c r="AB186" s="20" t="str">
        <x:v>163.8779999993858</x:v>
      </x:c>
      <x:c r="AC186" s="12" t="str">
        <x:v>overlays\happy_035.png</x:v>
      </x:c>
      <x:c r="AD186" s="12" t="str"/>
      <x:c r="AE186" s="12" t="str"/>
      <x:c r="AF186" s="12" t="str">
        <x:v>acceptable</x:v>
      </x:c>
      <x:c r="AG186" s="12" t="n">
        <x:v>1</x:v>
      </x:c>
      <x:c r="AH186" s="12" t="str">
        <x:v>acceptable</x:v>
      </x:c>
      <x:c r="AI186" s="12" t="str">
        <x:v>acceptable</x:v>
      </x:c>
      <x:c r="AJ186" s="12" t="str">
        <x:v>acceptable</x:v>
      </x:c>
      <x:c r="AK186" s="12" t="str">
        <x:v>acceptable</x:v>
      </x:c>
      <x:c r="AL186" s="12" t="str">
        <x:v>mild</x:v>
      </x:c>
      <x:c r="AM186" s="14" t="str">
        <x:v>Large pose or profile; visible landmarks remain useful, while hidden-side and contour points are inferred.</x:v>
      </x:c>
    </x:row>
    <x:row r="187" ht="28" customHeight="1">
      <x:c r="A187" s="12" t="str">
        <x:v>happy_036</x:v>
      </x:c>
      <x:c r="B187" s="12" t="str">
        <x:v>happy</x:v>
      </x:c>
      <x:c r="C187" s="14" t="str">
        <x:v>happy/Training_92214730.jpg</x:v>
      </x:c>
      <x:c r="D187" s="12" t="str">
        <x:v>7584773c30a923bf26e26421f492c3d414ccd099d6f93605bd8c4d64068996d8</x:v>
      </x:c>
      <x:c r="E187" s="12" t="str">
        <x:v>7584773c30a923bf26e26421f492c3d414ccd099d6f93605bd8c4d64068996d8</x:v>
      </x:c>
      <x:c r="F187" s="12" t="str">
        <x:v>True</x:v>
      </x:c>
      <x:c r="G187" s="12" t="str">
        <x:v>48</x:v>
      </x:c>
      <x:c r="H187" s="12" t="str">
        <x:v>48</x:v>
      </x:c>
      <x:c r="I187" s="12" t="str">
        <x:v>0.0</x:v>
      </x:c>
      <x:c r="J187" s="12" t="str">
        <x:v>0.0</x:v>
      </x:c>
      <x:c r="K187" s="12" t="str">
        <x:v>47.0</x:v>
      </x:c>
      <x:c r="L187" s="12" t="str">
        <x:v>47.0</x:v>
      </x:c>
      <x:c r="M187" s="12" t="str">
        <x:v>True</x:v>
      </x:c>
      <x:c r="N187" s="12" t="str">
        <x:v>68</x:v>
      </x:c>
      <x:c r="O187" s="12" t="str">
        <x:v>68</x:v>
      </x:c>
      <x:c r="P187" s="16" t="str">
        <x:v>1.0</x:v>
      </x:c>
      <x:c r="Q187" s="12" t="str">
        <x:v>57</x:v>
      </x:c>
      <x:c r="R187" s="16" t="str">
        <x:v>0.8382352941176471</x:v>
      </x:c>
      <x:c r="S187" s="12" t="str">
        <x:v>0.2</x:v>
      </x:c>
      <x:c r="T187" s="12" t="str">
        <x:v>67</x:v>
      </x:c>
      <x:c r="U187" s="16" t="str">
        <x:v>0.9852941176470589</x:v>
      </x:c>
      <x:c r="V187" s="18" t="str">
        <x:v>0.15614522993564606</x:v>
      </x:c>
      <x:c r="W187" s="18" t="str">
        <x:v>0.5328301846981048</x:v>
      </x:c>
      <x:c r="X187" s="18" t="str">
        <x:v>0.7462811470031738</x:v>
      </x:c>
      <x:c r="Y187" s="18" t="str">
        <x:v>0.8066980242729187</x:v>
      </x:c>
      <x:c r="Z187" s="18" t="str">
        <x:v>0.8684659838676453</x:v>
      </x:c>
      <x:c r="AA187" s="18" t="str">
        <x:v>0.89278644323349</x:v>
      </x:c>
      <x:c r="AB187" s="20" t="str">
        <x:v>153.48879999510245</x:v>
      </x:c>
      <x:c r="AC187" s="12" t="str">
        <x:v>overlays\happy_036.png</x:v>
      </x:c>
      <x:c r="AD187" s="12" t="str"/>
      <x:c r="AE187" s="12" t="str"/>
      <x:c r="AF187" s="12" t="str">
        <x:v>acceptable</x:v>
      </x:c>
      <x:c r="AG187" s="12" t="n">
        <x:v>1</x:v>
      </x:c>
      <x:c r="AH187" s="12" t="str">
        <x:v>acceptable</x:v>
      </x:c>
      <x:c r="AI187" s="12" t="str">
        <x:v>acceptable</x:v>
      </x:c>
      <x:c r="AJ187" s="12" t="str">
        <x:v>acceptable</x:v>
      </x:c>
      <x:c r="AK187" s="12" t="str">
        <x:v>acceptable</x:v>
      </x:c>
      <x:c r="AL187" s="12" t="str">
        <x:v>mild</x:v>
      </x:c>
      <x:c r="AM187" s="14" t="str">
        <x:v>Large pose or profile; visible landmarks remain useful, while hidden-side and contour points are inferred.</x:v>
      </x:c>
    </x:row>
    <x:row r="188" ht="28" customHeight="1">
      <x:c r="A188" s="12" t="str">
        <x:v>happy_037</x:v>
      </x:c>
      <x:c r="B188" s="12" t="str">
        <x:v>happy</x:v>
      </x:c>
      <x:c r="C188" s="14" t="str">
        <x:v>happy/Training_41487314.jpg</x:v>
      </x:c>
      <x:c r="D188" s="12" t="str">
        <x:v>2bc946b6c89470edea2cfa51adacdba972938e48aca47238fda0ad3e3a787ed6</x:v>
      </x:c>
      <x:c r="E188" s="12" t="str">
        <x:v>2bc946b6c89470edea2cfa51adacdba972938e48aca47238fda0ad3e3a787ed6</x:v>
      </x:c>
      <x:c r="F188" s="12" t="str">
        <x:v>True</x:v>
      </x:c>
      <x:c r="G188" s="12" t="str">
        <x:v>48</x:v>
      </x:c>
      <x:c r="H188" s="12" t="str">
        <x:v>48</x:v>
      </x:c>
      <x:c r="I188" s="12" t="str">
        <x:v>0.0</x:v>
      </x:c>
      <x:c r="J188" s="12" t="str">
        <x:v>0.0</x:v>
      </x:c>
      <x:c r="K188" s="12" t="str">
        <x:v>47.0</x:v>
      </x:c>
      <x:c r="L188" s="12" t="str">
        <x:v>47.0</x:v>
      </x:c>
      <x:c r="M188" s="12" t="str">
        <x:v>True</x:v>
      </x:c>
      <x:c r="N188" s="12" t="str">
        <x:v>68</x:v>
      </x:c>
      <x:c r="O188" s="12" t="str">
        <x:v>68</x:v>
      </x:c>
      <x:c r="P188" s="16" t="str">
        <x:v>1.0</x:v>
      </x:c>
      <x:c r="Q188" s="12" t="str">
        <x:v>68</x:v>
      </x:c>
      <x:c r="R188" s="16" t="str">
        <x:v>1.0</x:v>
      </x:c>
      <x:c r="S188" s="12" t="str">
        <x:v>0.2</x:v>
      </x:c>
      <x:c r="T188" s="12" t="str">
        <x:v>68</x:v>
      </x:c>
      <x:c r="U188" s="16" t="str">
        <x:v>1.0</x:v>
      </x:c>
      <x:c r="V188" s="18" t="str">
        <x:v>0.62323397397995</x:v>
      </x:c>
      <x:c r="W188" s="18" t="str">
        <x:v>0.7424726784229279</x:v>
      </x:c>
      <x:c r="X188" s="18" t="str">
        <x:v>0.8132729530334473</x:v>
      </x:c>
      <x:c r="Y188" s="18" t="str">
        <x:v>0.8264468312263489</x:v>
      </x:c>
      <x:c r="Z188" s="18" t="str">
        <x:v>0.8660770416259765</x:v>
      </x:c>
      <x:c r="AA188" s="18" t="str">
        <x:v>0.8940706253051758</x:v>
      </x:c>
      <x:c r="AB188" s="20" t="str">
        <x:v>166.36179999477463</x:v>
      </x:c>
      <x:c r="AC188" s="12" t="str">
        <x:v>overlays\happy_037.png</x:v>
      </x:c>
      <x:c r="AD188" s="12" t="str"/>
      <x:c r="AE188" s="12" t="str"/>
      <x:c r="AF188" s="12" t="str">
        <x:v>good</x:v>
      </x:c>
      <x:c r="AG188" s="12" t="n">
        <x:v>1</x:v>
      </x:c>
      <x:c r="AH188" s="12" t="str">
        <x:v>good</x:v>
      </x:c>
      <x:c r="AI188" s="12" t="str">
        <x:v>good</x:v>
      </x:c>
      <x:c r="AJ188" s="12" t="str">
        <x:v>good</x:v>
      </x:c>
      <x:c r="AK188" s="12" t="str">
        <x:v>good</x:v>
      </x:c>
      <x:c r="AL188" s="12" t="str">
        <x:v>none</x:v>
      </x:c>
      <x:c r="AM188" s="14" t="str">
        <x:v>Clear and well-aligned facial landmarks with no major pose, crop, or occlusion issue.</x:v>
      </x:c>
    </x:row>
    <x:row r="189" ht="28" customHeight="1">
      <x:c r="A189" s="12" t="str">
        <x:v>happy_038</x:v>
      </x:c>
      <x:c r="B189" s="12" t="str">
        <x:v>happy</x:v>
      </x:c>
      <x:c r="C189" s="14" t="str">
        <x:v>happy/Training_34141219.jpg</x:v>
      </x:c>
      <x:c r="D189" s="12" t="str">
        <x:v>e7bce4240c68b7954439c1dd0f57fdd1043c48729f95a16ddb8b6e65d1f2f388</x:v>
      </x:c>
      <x:c r="E189" s="12" t="str">
        <x:v>e7bce4240c68b7954439c1dd0f57fdd1043c48729f95a16ddb8b6e65d1f2f388</x:v>
      </x:c>
      <x:c r="F189" s="12" t="str">
        <x:v>True</x:v>
      </x:c>
      <x:c r="G189" s="12" t="str">
        <x:v>48</x:v>
      </x:c>
      <x:c r="H189" s="12" t="str">
        <x:v>48</x:v>
      </x:c>
      <x:c r="I189" s="12" t="str">
        <x:v>0.0</x:v>
      </x:c>
      <x:c r="J189" s="12" t="str">
        <x:v>0.0</x:v>
      </x:c>
      <x:c r="K189" s="12" t="str">
        <x:v>47.0</x:v>
      </x:c>
      <x:c r="L189" s="12" t="str">
        <x:v>47.0</x:v>
      </x:c>
      <x:c r="M189" s="12" t="str">
        <x:v>True</x:v>
      </x:c>
      <x:c r="N189" s="12" t="str">
        <x:v>68</x:v>
      </x:c>
      <x:c r="O189" s="12" t="str">
        <x:v>68</x:v>
      </x:c>
      <x:c r="P189" s="16" t="str">
        <x:v>1.0</x:v>
      </x:c>
      <x:c r="Q189" s="12" t="str">
        <x:v>68</x:v>
      </x:c>
      <x:c r="R189" s="16" t="str">
        <x:v>1.0</x:v>
      </x:c>
      <x:c r="S189" s="12" t="str">
        <x:v>0.2</x:v>
      </x:c>
      <x:c r="T189" s="12" t="str">
        <x:v>68</x:v>
      </x:c>
      <x:c r="U189" s="16" t="str">
        <x:v>1.0</x:v>
      </x:c>
      <x:c r="V189" s="18" t="str">
        <x:v>0.6884763240814209</x:v>
      </x:c>
      <x:c r="W189" s="18" t="str">
        <x:v>0.7510922133922577</x:v>
      </x:c>
      <x:c r="X189" s="18" t="str">
        <x:v>0.8132241368293762</x:v>
      </x:c>
      <x:c r="Y189" s="18" t="str">
        <x:v>0.8201502561569214</x:v>
      </x:c>
      <x:c r="Z189" s="18" t="str">
        <x:v>0.8662225008010864</x:v>
      </x:c>
      <x:c r="AA189" s="18" t="str">
        <x:v>0.8826943635940552</x:v>
      </x:c>
      <x:c r="AB189" s="20" t="str">
        <x:v>196.5529000008246</x:v>
      </x:c>
      <x:c r="AC189" s="12" t="str">
        <x:v>overlays\happy_038.png</x:v>
      </x:c>
      <x:c r="AD189" s="12" t="str"/>
      <x:c r="AE189" s="12" t="str"/>
      <x:c r="AF189" s="12" t="str">
        <x:v>acceptable</x:v>
      </x:c>
      <x:c r="AG189" s="12" t="n">
        <x:v>1</x:v>
      </x:c>
      <x:c r="AH189" s="12" t="str">
        <x:v>acceptable</x:v>
      </x:c>
      <x:c r="AI189" s="12" t="str">
        <x:v>acceptable</x:v>
      </x:c>
      <x:c r="AJ189" s="12" t="str">
        <x:v>acceptable</x:v>
      </x:c>
      <x:c r="AK189" s="12" t="str">
        <x:v>acceptable</x:v>
      </x:c>
      <x:c r="AL189" s="12" t="str">
        <x:v>mild</x:v>
      </x:c>
      <x:c r="AM189" s="14" t="str">
        <x:v>Moderate pose, crop, blur, or facial texture causes minor landmark uncertainty; the result remains usable.</x:v>
      </x:c>
    </x:row>
    <x:row r="190" ht="28" customHeight="1">
      <x:c r="A190" s="12" t="str">
        <x:v>happy_039</x:v>
      </x:c>
      <x:c r="B190" s="12" t="str">
        <x:v>happy</x:v>
      </x:c>
      <x:c r="C190" s="14" t="str">
        <x:v>happy/Training_15821022.jpg</x:v>
      </x:c>
      <x:c r="D190" s="12" t="str">
        <x:v>a97bd6d60a152d83f28fb412aba99bb00eb816177fee9649f239d3d0a5a6532a</x:v>
      </x:c>
      <x:c r="E190" s="12" t="str">
        <x:v>a97bd6d60a152d83f28fb412aba99bb00eb816177fee9649f239d3d0a5a6532a</x:v>
      </x:c>
      <x:c r="F190" s="12" t="str">
        <x:v>True</x:v>
      </x:c>
      <x:c r="G190" s="12" t="str">
        <x:v>48</x:v>
      </x:c>
      <x:c r="H190" s="12" t="str">
        <x:v>48</x:v>
      </x:c>
      <x:c r="I190" s="12" t="str">
        <x:v>0.0</x:v>
      </x:c>
      <x:c r="J190" s="12" t="str">
        <x:v>0.0</x:v>
      </x:c>
      <x:c r="K190" s="12" t="str">
        <x:v>47.0</x:v>
      </x:c>
      <x:c r="L190" s="12" t="str">
        <x:v>47.0</x:v>
      </x:c>
      <x:c r="M190" s="12" t="str">
        <x:v>True</x:v>
      </x:c>
      <x:c r="N190" s="12" t="str">
        <x:v>68</x:v>
      </x:c>
      <x:c r="O190" s="12" t="str">
        <x:v>68</x:v>
      </x:c>
      <x:c r="P190" s="16" t="str">
        <x:v>1.0</x:v>
      </x:c>
      <x:c r="Q190" s="12" t="str">
        <x:v>67</x:v>
      </x:c>
      <x:c r="R190" s="16" t="str">
        <x:v>0.9852941176470589</x:v>
      </x:c>
      <x:c r="S190" s="12" t="str">
        <x:v>0.2</x:v>
      </x:c>
      <x:c r="T190" s="12" t="str">
        <x:v>68</x:v>
      </x:c>
      <x:c r="U190" s="16" t="str">
        <x:v>1.0</x:v>
      </x:c>
      <x:c r="V190" s="18" t="str">
        <x:v>0.7619890570640564</x:v>
      </x:c>
      <x:c r="W190" s="18" t="str">
        <x:v>0.7897375881671905</x:v>
      </x:c>
      <x:c r="X190" s="18" t="str">
        <x:v>0.8292403221130371</x:v>
      </x:c>
      <x:c r="Y190" s="18" t="str">
        <x:v>0.8270424604415894</x:v>
      </x:c>
      <x:c r="Z190" s="18" t="str">
        <x:v>0.8699484050273896</x:v>
      </x:c>
      <x:c r="AA190" s="18" t="str">
        <x:v>0.9114905595779419</x:v>
      </x:c>
      <x:c r="AB190" s="20" t="str">
        <x:v>163.52980000374373</x:v>
      </x:c>
      <x:c r="AC190" s="12" t="str">
        <x:v>overlays\happy_039.png</x:v>
      </x:c>
      <x:c r="AD190" s="12" t="str"/>
      <x:c r="AE190" s="12" t="str"/>
      <x:c r="AF190" s="12" t="str">
        <x:v>good</x:v>
      </x:c>
      <x:c r="AG190" s="12" t="n">
        <x:v>1</x:v>
      </x:c>
      <x:c r="AH190" s="12" t="str">
        <x:v>good</x:v>
      </x:c>
      <x:c r="AI190" s="12" t="str">
        <x:v>good</x:v>
      </x:c>
      <x:c r="AJ190" s="12" t="str">
        <x:v>good</x:v>
      </x:c>
      <x:c r="AK190" s="12" t="str">
        <x:v>good</x:v>
      </x:c>
      <x:c r="AL190" s="12" t="str">
        <x:v>none</x:v>
      </x:c>
      <x:c r="AM190" s="14" t="str">
        <x:v>Clear and well-aligned facial landmarks with no major pose, crop, or occlusion issue.</x:v>
      </x:c>
    </x:row>
    <x:row r="191" ht="28" customHeight="1">
      <x:c r="A191" s="12" t="str">
        <x:v>happy_040</x:v>
      </x:c>
      <x:c r="B191" s="12" t="str">
        <x:v>happy</x:v>
      </x:c>
      <x:c r="C191" s="14" t="str">
        <x:v>happy/Training_34301439.jpg</x:v>
      </x:c>
      <x:c r="D191" s="12" t="str">
        <x:v>eda54c6ca2a7b082a8a01ef1a22280add8d73f39777a13358adf1270d2706e23</x:v>
      </x:c>
      <x:c r="E191" s="12" t="str">
        <x:v>eda54c6ca2a7b082a8a01ef1a22280add8d73f39777a13358adf1270d2706e23</x:v>
      </x:c>
      <x:c r="F191" s="12" t="str">
        <x:v>True</x:v>
      </x:c>
      <x:c r="G191" s="12" t="str">
        <x:v>48</x:v>
      </x:c>
      <x:c r="H191" s="12" t="str">
        <x:v>48</x:v>
      </x:c>
      <x:c r="I191" s="12" t="str">
        <x:v>0.0</x:v>
      </x:c>
      <x:c r="J191" s="12" t="str">
        <x:v>0.0</x:v>
      </x:c>
      <x:c r="K191" s="12" t="str">
        <x:v>47.0</x:v>
      </x:c>
      <x:c r="L191" s="12" t="str">
        <x:v>47.0</x:v>
      </x:c>
      <x:c r="M191" s="12" t="str">
        <x:v>True</x:v>
      </x:c>
      <x:c r="N191" s="12" t="str">
        <x:v>68</x:v>
      </x:c>
      <x:c r="O191" s="12" t="str">
        <x:v>68</x:v>
      </x:c>
      <x:c r="P191" s="16" t="str">
        <x:v>1.0</x:v>
      </x:c>
      <x:c r="Q191" s="12" t="str">
        <x:v>68</x:v>
      </x:c>
      <x:c r="R191" s="16" t="str">
        <x:v>1.0</x:v>
      </x:c>
      <x:c r="S191" s="12" t="str">
        <x:v>0.2</x:v>
      </x:c>
      <x:c r="T191" s="12" t="str">
        <x:v>68</x:v>
      </x:c>
      <x:c r="U191" s="16" t="str">
        <x:v>1.0</x:v>
      </x:c>
      <x:c r="V191" s="18" t="str">
        <x:v>0.4522626996040344</x:v>
      </x:c>
      <x:c r="W191" s="18" t="str">
        <x:v>0.5770666837692261</x:v>
      </x:c>
      <x:c r="X191" s="18" t="str">
        <x:v>0.6857019662857056</x:v>
      </x:c>
      <x:c r="Y191" s="18" t="str">
        <x:v>0.7010064125061035</x:v>
      </x:c>
      <x:c r="Z191" s="18" t="str">
        <x:v>0.7546845555305481</x:v>
      </x:c>
      <x:c r="AA191" s="18" t="str">
        <x:v>0.798779308795929</x:v>
      </x:c>
      <x:c r="AB191" s="20" t="str">
        <x:v>156.06359999947017</x:v>
      </x:c>
      <x:c r="AC191" s="12" t="str">
        <x:v>overlays\happy_040.png</x:v>
      </x:c>
      <x:c r="AD191" s="12" t="str"/>
      <x:c r="AE191" s="12" t="str"/>
      <x:c r="AF191" s="12" t="str">
        <x:v>acceptable</x:v>
      </x:c>
      <x:c r="AG191" s="12" t="n">
        <x:v>1</x:v>
      </x:c>
      <x:c r="AH191" s="12" t="str">
        <x:v>acceptable</x:v>
      </x:c>
      <x:c r="AI191" s="12" t="str">
        <x:v>acceptable</x:v>
      </x:c>
      <x:c r="AJ191" s="12" t="str">
        <x:v>acceptable</x:v>
      </x:c>
      <x:c r="AK191" s="12" t="str">
        <x:v>acceptable</x:v>
      </x:c>
      <x:c r="AL191" s="12" t="str">
        <x:v>mild</x:v>
      </x:c>
      <x:c r="AM191" s="14" t="str">
        <x:v>Moderate pose, crop, blur, or facial texture causes minor landmark uncertainty; the result remains usable.</x:v>
      </x:c>
    </x:row>
    <x:row r="192" ht="28" customHeight="1">
      <x:c r="A192" s="12" t="str">
        <x:v>happy_041</x:v>
      </x:c>
      <x:c r="B192" s="12" t="str">
        <x:v>happy</x:v>
      </x:c>
      <x:c r="C192" s="14" t="str">
        <x:v>happy/Training_99702971.jpg</x:v>
      </x:c>
      <x:c r="D192" s="12" t="str">
        <x:v>e2ab1c2feead6fdd4a3f39cf141fe132e74f35075f42b607d2382c837a010380</x:v>
      </x:c>
      <x:c r="E192" s="12" t="str">
        <x:v>e2ab1c2feead6fdd4a3f39cf141fe132e74f35075f42b607d2382c837a010380</x:v>
      </x:c>
      <x:c r="F192" s="12" t="str">
        <x:v>True</x:v>
      </x:c>
      <x:c r="G192" s="12" t="str">
        <x:v>48</x:v>
      </x:c>
      <x:c r="H192" s="12" t="str">
        <x:v>48</x:v>
      </x:c>
      <x:c r="I192" s="12" t="str">
        <x:v>0.0</x:v>
      </x:c>
      <x:c r="J192" s="12" t="str">
        <x:v>0.0</x:v>
      </x:c>
      <x:c r="K192" s="12" t="str">
        <x:v>47.0</x:v>
      </x:c>
      <x:c r="L192" s="12" t="str">
        <x:v>47.0</x:v>
      </x:c>
      <x:c r="M192" s="12" t="str">
        <x:v>True</x:v>
      </x:c>
      <x:c r="N192" s="12" t="str">
        <x:v>68</x:v>
      </x:c>
      <x:c r="O192" s="12" t="str">
        <x:v>68</x:v>
      </x:c>
      <x:c r="P192" s="16" t="str">
        <x:v>1.0</x:v>
      </x:c>
      <x:c r="Q192" s="12" t="str">
        <x:v>68</x:v>
      </x:c>
      <x:c r="R192" s="16" t="str">
        <x:v>1.0</x:v>
      </x:c>
      <x:c r="S192" s="12" t="str">
        <x:v>0.2</x:v>
      </x:c>
      <x:c r="T192" s="12" t="str">
        <x:v>68</x:v>
      </x:c>
      <x:c r="U192" s="16" t="str">
        <x:v>1.0</x:v>
      </x:c>
      <x:c r="V192" s="18" t="str">
        <x:v>0.6175684928894043</x:v>
      </x:c>
      <x:c r="W192" s="18" t="str">
        <x:v>0.7464653551578522</x:v>
      </x:c>
      <x:c r="X192" s="18" t="str">
        <x:v>0.8247355818748474</x:v>
      </x:c>
      <x:c r="Y192" s="18" t="str">
        <x:v>0.8249280452728271</x:v>
      </x:c>
      <x:c r="Z192" s="18" t="str">
        <x:v>0.8823891162872315</x:v>
      </x:c>
      <x:c r="AA192" s="18" t="str">
        <x:v>0.9379410743713379</x:v>
      </x:c>
      <x:c r="AB192" s="20" t="str">
        <x:v>171.2035000018659</x:v>
      </x:c>
      <x:c r="AC192" s="12" t="str">
        <x:v>overlays\happy_041.png</x:v>
      </x:c>
      <x:c r="AD192" s="12" t="str"/>
      <x:c r="AE192" s="12" t="str"/>
      <x:c r="AF192" s="12" t="str">
        <x:v>good</x:v>
      </x:c>
      <x:c r="AG192" s="12" t="n">
        <x:v>1</x:v>
      </x:c>
      <x:c r="AH192" s="12" t="str">
        <x:v>good</x:v>
      </x:c>
      <x:c r="AI192" s="12" t="str">
        <x:v>good</x:v>
      </x:c>
      <x:c r="AJ192" s="12" t="str">
        <x:v>good</x:v>
      </x:c>
      <x:c r="AK192" s="12" t="str">
        <x:v>good</x:v>
      </x:c>
      <x:c r="AL192" s="12" t="str">
        <x:v>none</x:v>
      </x:c>
      <x:c r="AM192" s="14" t="str">
        <x:v>Large pose or profile; visible landmarks remain useful, while hidden-side and contour points are inferred.</x:v>
      </x:c>
    </x:row>
    <x:row r="193" ht="28" customHeight="1">
      <x:c r="A193" s="12" t="str">
        <x:v>happy_042</x:v>
      </x:c>
      <x:c r="B193" s="12" t="str">
        <x:v>happy</x:v>
      </x:c>
      <x:c r="C193" s="14" t="str">
        <x:v>happy/Training_68121684.jpg</x:v>
      </x:c>
      <x:c r="D193" s="12" t="str">
        <x:v>5a91d943f8f0ec0b7e09b3afe9012a1d137d515c0920a4f6cb508074ea516797</x:v>
      </x:c>
      <x:c r="E193" s="12" t="str">
        <x:v>5a91d943f8f0ec0b7e09b3afe9012a1d137d515c0920a4f6cb508074ea516797</x:v>
      </x:c>
      <x:c r="F193" s="12" t="str">
        <x:v>True</x:v>
      </x:c>
      <x:c r="G193" s="12" t="str">
        <x:v>48</x:v>
      </x:c>
      <x:c r="H193" s="12" t="str">
        <x:v>48</x:v>
      </x:c>
      <x:c r="I193" s="12" t="str">
        <x:v>0.0</x:v>
      </x:c>
      <x:c r="J193" s="12" t="str">
        <x:v>0.0</x:v>
      </x:c>
      <x:c r="K193" s="12" t="str">
        <x:v>47.0</x:v>
      </x:c>
      <x:c r="L193" s="12" t="str">
        <x:v>47.0</x:v>
      </x:c>
      <x:c r="M193" s="12" t="str">
        <x:v>True</x:v>
      </x:c>
      <x:c r="N193" s="12" t="str">
        <x:v>68</x:v>
      </x:c>
      <x:c r="O193" s="12" t="str">
        <x:v>68</x:v>
      </x:c>
      <x:c r="P193" s="16" t="str">
        <x:v>1.0</x:v>
      </x:c>
      <x:c r="Q193" s="12" t="str">
        <x:v>68</x:v>
      </x:c>
      <x:c r="R193" s="16" t="str">
        <x:v>1.0</x:v>
      </x:c>
      <x:c r="S193" s="12" t="str">
        <x:v>0.2</x:v>
      </x:c>
      <x:c r="T193" s="12" t="str">
        <x:v>68</x:v>
      </x:c>
      <x:c r="U193" s="16" t="str">
        <x:v>1.0</x:v>
      </x:c>
      <x:c r="V193" s="18" t="str">
        <x:v>0.7054738998413086</x:v>
      </x:c>
      <x:c r="W193" s="18" t="str">
        <x:v>0.7722012341022492</x:v>
      </x:c>
      <x:c r="X193" s="18" t="str">
        <x:v>0.8201786875724792</x:v>
      </x:c>
      <x:c r="Y193" s="18" t="str">
        <x:v>0.822382390499115</x:v>
      </x:c>
      <x:c r="Z193" s="18" t="str">
        <x:v>0.8688285231590271</x:v>
      </x:c>
      <x:c r="AA193" s="18" t="str">
        <x:v>0.8900977373123169</x:v>
      </x:c>
      <x:c r="AB193" s="20" t="str">
        <x:v>178.69530000461964</x:v>
      </x:c>
      <x:c r="AC193" s="12" t="str">
        <x:v>overlays\happy_042.png</x:v>
      </x:c>
      <x:c r="AD193" s="12" t="str"/>
      <x:c r="AE193" s="12" t="str"/>
      <x:c r="AF193" s="12" t="str">
        <x:v>acceptable</x:v>
      </x:c>
      <x:c r="AG193" s="12" t="n">
        <x:v>1</x:v>
      </x:c>
      <x:c r="AH193" s="12" t="str">
        <x:v>acceptable</x:v>
      </x:c>
      <x:c r="AI193" s="12" t="str">
        <x:v>acceptable</x:v>
      </x:c>
      <x:c r="AJ193" s="12" t="str">
        <x:v>acceptable</x:v>
      </x:c>
      <x:c r="AK193" s="12" t="str">
        <x:v>acceptable</x:v>
      </x:c>
      <x:c r="AL193" s="12" t="str">
        <x:v>mild</x:v>
      </x:c>
      <x:c r="AM193" s="14" t="str">
        <x:v>Moderate pose, crop, blur, or facial texture causes minor landmark uncertainty; the result remains usable.</x:v>
      </x:c>
    </x:row>
    <x:row r="194" ht="28" customHeight="1">
      <x:c r="A194" s="12" t="str">
        <x:v>happy_043</x:v>
      </x:c>
      <x:c r="B194" s="12" t="str">
        <x:v>happy</x:v>
      </x:c>
      <x:c r="C194" s="14" t="str">
        <x:v>happy/Training_17794787.jpg</x:v>
      </x:c>
      <x:c r="D194" s="12" t="str">
        <x:v>10752ca7fd875c64b2f119e5c12abf1944c6295ac39e85f79e0acf6a7939c3f2</x:v>
      </x:c>
      <x:c r="E194" s="12" t="str">
        <x:v>10752ca7fd875c64b2f119e5c12abf1944c6295ac39e85f79e0acf6a7939c3f2</x:v>
      </x:c>
      <x:c r="F194" s="12" t="str">
        <x:v>True</x:v>
      </x:c>
      <x:c r="G194" s="12" t="str">
        <x:v>48</x:v>
      </x:c>
      <x:c r="H194" s="12" t="str">
        <x:v>48</x:v>
      </x:c>
      <x:c r="I194" s="12" t="str">
        <x:v>0.0</x:v>
      </x:c>
      <x:c r="J194" s="12" t="str">
        <x:v>0.0</x:v>
      </x:c>
      <x:c r="K194" s="12" t="str">
        <x:v>47.0</x:v>
      </x:c>
      <x:c r="L194" s="12" t="str">
        <x:v>47.0</x:v>
      </x:c>
      <x:c r="M194" s="12" t="str">
        <x:v>True</x:v>
      </x:c>
      <x:c r="N194" s="12" t="str">
        <x:v>68</x:v>
      </x:c>
      <x:c r="O194" s="12" t="str">
        <x:v>68</x:v>
      </x:c>
      <x:c r="P194" s="16" t="str">
        <x:v>1.0</x:v>
      </x:c>
      <x:c r="Q194" s="12" t="str">
        <x:v>68</x:v>
      </x:c>
      <x:c r="R194" s="16" t="str">
        <x:v>1.0</x:v>
      </x:c>
      <x:c r="S194" s="12" t="str">
        <x:v>0.2</x:v>
      </x:c>
      <x:c r="T194" s="12" t="str">
        <x:v>68</x:v>
      </x:c>
      <x:c r="U194" s="16" t="str">
        <x:v>1.0</x:v>
      </x:c>
      <x:c r="V194" s="18" t="str">
        <x:v>0.6991186738014221</x:v>
      </x:c>
      <x:c r="W194" s="18" t="str">
        <x:v>0.7812206327915192</x:v>
      </x:c>
      <x:c r="X194" s="18" t="str">
        <x:v>0.8381738066673279</x:v>
      </x:c>
      <x:c r="Y194" s="18" t="str">
        <x:v>0.8446907997131348</x:v>
      </x:c>
      <x:c r="Z194" s="18" t="str">
        <x:v>0.8803665637969971</x:v>
      </x:c>
      <x:c r="AA194" s="18" t="str">
        <x:v>0.9085334539413452</x:v>
      </x:c>
      <x:c r="AB194" s="20" t="str">
        <x:v>158.89579999929992</x:v>
      </x:c>
      <x:c r="AC194" s="12" t="str">
        <x:v>overlays\happy_043.png</x:v>
      </x:c>
      <x:c r="AD194" s="12" t="str"/>
      <x:c r="AE194" s="12" t="str"/>
      <x:c r="AF194" s="12" t="str">
        <x:v>acceptable</x:v>
      </x:c>
      <x:c r="AG194" s="12" t="n">
        <x:v>1</x:v>
      </x:c>
      <x:c r="AH194" s="12" t="str">
        <x:v>acceptable</x:v>
      </x:c>
      <x:c r="AI194" s="12" t="str">
        <x:v>acceptable</x:v>
      </x:c>
      <x:c r="AJ194" s="12" t="str">
        <x:v>acceptable</x:v>
      </x:c>
      <x:c r="AK194" s="12" t="str">
        <x:v>not_applicable</x:v>
      </x:c>
      <x:c r="AL194" s="12" t="str">
        <x:v>mild</x:v>
      </x:c>
      <x:c r="AM194" s="14" t="str">
        <x:v>Moderate pose, crop, blur, or facial texture causes minor landmark uncertainty; the result remains usable.</x:v>
      </x:c>
    </x:row>
    <x:row r="195" ht="28" customHeight="1">
      <x:c r="A195" s="12" t="str">
        <x:v>happy_044</x:v>
      </x:c>
      <x:c r="B195" s="12" t="str">
        <x:v>happy</x:v>
      </x:c>
      <x:c r="C195" s="14" t="str">
        <x:v>happy/Training_18419185.jpg</x:v>
      </x:c>
      <x:c r="D195" s="12" t="str">
        <x:v>5ae23b7002cdce5a4e51b431c5655e25f2c97ca335790474cd1ccc8576287d1a</x:v>
      </x:c>
      <x:c r="E195" s="12" t="str">
        <x:v>5ae23b7002cdce5a4e51b431c5655e25f2c97ca335790474cd1ccc8576287d1a</x:v>
      </x:c>
      <x:c r="F195" s="12" t="str">
        <x:v>True</x:v>
      </x:c>
      <x:c r="G195" s="12" t="str">
        <x:v>48</x:v>
      </x:c>
      <x:c r="H195" s="12" t="str">
        <x:v>48</x:v>
      </x:c>
      <x:c r="I195" s="12" t="str">
        <x:v>0.0</x:v>
      </x:c>
      <x:c r="J195" s="12" t="str">
        <x:v>0.0</x:v>
      </x:c>
      <x:c r="K195" s="12" t="str">
        <x:v>47.0</x:v>
      </x:c>
      <x:c r="L195" s="12" t="str">
        <x:v>47.0</x:v>
      </x:c>
      <x:c r="M195" s="12" t="str">
        <x:v>True</x:v>
      </x:c>
      <x:c r="N195" s="12" t="str">
        <x:v>68</x:v>
      </x:c>
      <x:c r="O195" s="12" t="str">
        <x:v>68</x:v>
      </x:c>
      <x:c r="P195" s="16" t="str">
        <x:v>1.0</x:v>
      </x:c>
      <x:c r="Q195" s="12" t="str">
        <x:v>68</x:v>
      </x:c>
      <x:c r="R195" s="16" t="str">
        <x:v>1.0</x:v>
      </x:c>
      <x:c r="S195" s="12" t="str">
        <x:v>0.2</x:v>
      </x:c>
      <x:c r="T195" s="12" t="str">
        <x:v>68</x:v>
      </x:c>
      <x:c r="U195" s="16" t="str">
        <x:v>1.0</x:v>
      </x:c>
      <x:c r="V195" s="18" t="str">
        <x:v>0.6711491346359253</x:v>
      </x:c>
      <x:c r="W195" s="18" t="str">
        <x:v>0.7494176805019379</x:v>
      </x:c>
      <x:c r="X195" s="18" t="str">
        <x:v>0.8297975063323975</x:v>
      </x:c>
      <x:c r="Y195" s="18" t="str">
        <x:v>0.8451958894729614</x:v>
      </x:c>
      <x:c r="Z195" s="18" t="str">
        <x:v>0.8836109697818756</x:v>
      </x:c>
      <x:c r="AA195" s="18" t="str">
        <x:v>0.9065890908241272</x:v>
      </x:c>
      <x:c r="AB195" s="20" t="str">
        <x:v>160.56750000279862</x:v>
      </x:c>
      <x:c r="AC195" s="12" t="str">
        <x:v>overlays\happy_044.png</x:v>
      </x:c>
      <x:c r="AD195" s="12" t="str"/>
      <x:c r="AE195" s="12" t="str"/>
      <x:c r="AF195" s="12" t="str">
        <x:v>good</x:v>
      </x:c>
      <x:c r="AG195" s="12" t="n">
        <x:v>1</x:v>
      </x:c>
      <x:c r="AH195" s="12" t="str">
        <x:v>good</x:v>
      </x:c>
      <x:c r="AI195" s="12" t="str">
        <x:v>good</x:v>
      </x:c>
      <x:c r="AJ195" s="12" t="str">
        <x:v>good</x:v>
      </x:c>
      <x:c r="AK195" s="12" t="str">
        <x:v>good</x:v>
      </x:c>
      <x:c r="AL195" s="12" t="str">
        <x:v>none</x:v>
      </x:c>
      <x:c r="AM195" s="14" t="str">
        <x:v>Clear and well-aligned facial landmarks with no major pose, crop, or occlusion issue.</x:v>
      </x:c>
    </x:row>
    <x:row r="196" ht="28" customHeight="1">
      <x:c r="A196" s="12" t="str">
        <x:v>happy_045</x:v>
      </x:c>
      <x:c r="B196" s="12" t="str">
        <x:v>happy</x:v>
      </x:c>
      <x:c r="C196" s="14" t="str">
        <x:v>happy/Training_84985243.jpg</x:v>
      </x:c>
      <x:c r="D196" s="12" t="str">
        <x:v>b5240967319f60db953596e13c9ab6036902436fc6c5f89c923940cf686d9022</x:v>
      </x:c>
      <x:c r="E196" s="12" t="str">
        <x:v>b5240967319f60db953596e13c9ab6036902436fc6c5f89c923940cf686d9022</x:v>
      </x:c>
      <x:c r="F196" s="12" t="str">
        <x:v>True</x:v>
      </x:c>
      <x:c r="G196" s="12" t="str">
        <x:v>48</x:v>
      </x:c>
      <x:c r="H196" s="12" t="str">
        <x:v>48</x:v>
      </x:c>
      <x:c r="I196" s="12" t="str">
        <x:v>0.0</x:v>
      </x:c>
      <x:c r="J196" s="12" t="str">
        <x:v>0.0</x:v>
      </x:c>
      <x:c r="K196" s="12" t="str">
        <x:v>47.0</x:v>
      </x:c>
      <x:c r="L196" s="12" t="str">
        <x:v>47.0</x:v>
      </x:c>
      <x:c r="M196" s="12" t="str">
        <x:v>True</x:v>
      </x:c>
      <x:c r="N196" s="12" t="str">
        <x:v>68</x:v>
      </x:c>
      <x:c r="O196" s="12" t="str">
        <x:v>68</x:v>
      </x:c>
      <x:c r="P196" s="16" t="str">
        <x:v>1.0</x:v>
      </x:c>
      <x:c r="Q196" s="12" t="str">
        <x:v>68</x:v>
      </x:c>
      <x:c r="R196" s="16" t="str">
        <x:v>1.0</x:v>
      </x:c>
      <x:c r="S196" s="12" t="str">
        <x:v>0.2</x:v>
      </x:c>
      <x:c r="T196" s="12" t="str">
        <x:v>68</x:v>
      </x:c>
      <x:c r="U196" s="16" t="str">
        <x:v>1.0</x:v>
      </x:c>
      <x:c r="V196" s="18" t="str">
        <x:v>0.7365837097167969</x:v>
      </x:c>
      <x:c r="W196" s="18" t="str">
        <x:v>0.7778210580348969</x:v>
      </x:c>
      <x:c r="X196" s="18" t="str">
        <x:v>0.8395761251449585</x:v>
      </x:c>
      <x:c r="Y196" s="18" t="str">
        <x:v>0.846074640750885</x:v>
      </x:c>
      <x:c r="Z196" s="18" t="str">
        <x:v>0.8858498871326447</x:v>
      </x:c>
      <x:c r="AA196" s="18" t="str">
        <x:v>0.9049388766288757</x:v>
      </x:c>
      <x:c r="AB196" s="20" t="str">
        <x:v>157.54890000243904</x:v>
      </x:c>
      <x:c r="AC196" s="12" t="str">
        <x:v>overlays\happy_045.png</x:v>
      </x:c>
      <x:c r="AD196" s="12" t="str"/>
      <x:c r="AE196" s="12" t="str"/>
      <x:c r="AF196" s="12" t="str">
        <x:v>good</x:v>
      </x:c>
      <x:c r="AG196" s="12" t="n">
        <x:v>1</x:v>
      </x:c>
      <x:c r="AH196" s="12" t="str">
        <x:v>good</x:v>
      </x:c>
      <x:c r="AI196" s="12" t="str">
        <x:v>good</x:v>
      </x:c>
      <x:c r="AJ196" s="12" t="str">
        <x:v>good</x:v>
      </x:c>
      <x:c r="AK196" s="12" t="str">
        <x:v>not_applicable</x:v>
      </x:c>
      <x:c r="AL196" s="12" t="str">
        <x:v>none</x:v>
      </x:c>
      <x:c r="AM196" s="14" t="str">
        <x:v>Clear and well-aligned facial landmarks with no major pose, crop, or occlusion issue.</x:v>
      </x:c>
    </x:row>
    <x:row r="197" ht="28" customHeight="1">
      <x:c r="A197" s="12" t="str">
        <x:v>happy_046</x:v>
      </x:c>
      <x:c r="B197" s="12" t="str">
        <x:v>happy</x:v>
      </x:c>
      <x:c r="C197" s="14" t="str">
        <x:v>happy/Training_6008930.jpg</x:v>
      </x:c>
      <x:c r="D197" s="12" t="str">
        <x:v>02de9b7f04f723231a635b75c3d8295a8fc2d5cc9315f5e8f72379fbc568cc11</x:v>
      </x:c>
      <x:c r="E197" s="12" t="str">
        <x:v>02de9b7f04f723231a635b75c3d8295a8fc2d5cc9315f5e8f72379fbc568cc11</x:v>
      </x:c>
      <x:c r="F197" s="12" t="str">
        <x:v>True</x:v>
      </x:c>
      <x:c r="G197" s="12" t="str">
        <x:v>48</x:v>
      </x:c>
      <x:c r="H197" s="12" t="str">
        <x:v>48</x:v>
      </x:c>
      <x:c r="I197" s="12" t="str">
        <x:v>0.0</x:v>
      </x:c>
      <x:c r="J197" s="12" t="str">
        <x:v>0.0</x:v>
      </x:c>
      <x:c r="K197" s="12" t="str">
        <x:v>47.0</x:v>
      </x:c>
      <x:c r="L197" s="12" t="str">
        <x:v>47.0</x:v>
      </x:c>
      <x:c r="M197" s="12" t="str">
        <x:v>True</x:v>
      </x:c>
      <x:c r="N197" s="12" t="str">
        <x:v>68</x:v>
      </x:c>
      <x:c r="O197" s="12" t="str">
        <x:v>68</x:v>
      </x:c>
      <x:c r="P197" s="16" t="str">
        <x:v>1.0</x:v>
      </x:c>
      <x:c r="Q197" s="12" t="str">
        <x:v>68</x:v>
      </x:c>
      <x:c r="R197" s="16" t="str">
        <x:v>1.0</x:v>
      </x:c>
      <x:c r="S197" s="12" t="str">
        <x:v>0.2</x:v>
      </x:c>
      <x:c r="T197" s="12" t="str">
        <x:v>68</x:v>
      </x:c>
      <x:c r="U197" s="16" t="str">
        <x:v>1.0</x:v>
      </x:c>
      <x:c r="V197" s="18" t="str">
        <x:v>0.6175526976585388</x:v>
      </x:c>
      <x:c r="W197" s="18" t="str">
        <x:v>0.7149266421794891</x:v>
      </x:c>
      <x:c r="X197" s="18" t="str">
        <x:v>0.8102055191993713</x:v>
      </x:c>
      <x:c r="Y197" s="18" t="str">
        <x:v>0.8252290487289429</x:v>
      </x:c>
      <x:c r="Z197" s="18" t="str">
        <x:v>0.8757198870182037</x:v>
      </x:c>
      <x:c r="AA197" s="18" t="str">
        <x:v>0.9158695936203003</x:v>
      </x:c>
      <x:c r="AB197" s="20" t="str">
        <x:v>151.57679999538232</x:v>
      </x:c>
      <x:c r="AC197" s="12" t="str">
        <x:v>overlays\happy_046.png</x:v>
      </x:c>
      <x:c r="AD197" s="12" t="str"/>
      <x:c r="AE197" s="12" t="str"/>
      <x:c r="AF197" s="12" t="str">
        <x:v>good</x:v>
      </x:c>
      <x:c r="AG197" s="12" t="n">
        <x:v>1</x:v>
      </x:c>
      <x:c r="AH197" s="12" t="str">
        <x:v>good</x:v>
      </x:c>
      <x:c r="AI197" s="12" t="str">
        <x:v>good</x:v>
      </x:c>
      <x:c r="AJ197" s="12" t="str">
        <x:v>good</x:v>
      </x:c>
      <x:c r="AK197" s="12" t="str">
        <x:v>good</x:v>
      </x:c>
      <x:c r="AL197" s="12" t="str">
        <x:v>none</x:v>
      </x:c>
      <x:c r="AM197" s="14" t="str">
        <x:v>Clear and well-aligned facial landmarks with no major pose, crop, or occlusion issue.</x:v>
      </x:c>
    </x:row>
    <x:row r="198" ht="28" customHeight="1">
      <x:c r="A198" s="12" t="str">
        <x:v>happy_047</x:v>
      </x:c>
      <x:c r="B198" s="12" t="str">
        <x:v>happy</x:v>
      </x:c>
      <x:c r="C198" s="14" t="str">
        <x:v>happy/Training_93085773.jpg</x:v>
      </x:c>
      <x:c r="D198" s="12" t="str">
        <x:v>c61301af96f18b292a3b2eeda90ab152cb88ec5d87c20f4aac9d282fb6b0944f</x:v>
      </x:c>
      <x:c r="E198" s="12" t="str">
        <x:v>c61301af96f18b292a3b2eeda90ab152cb88ec5d87c20f4aac9d282fb6b0944f</x:v>
      </x:c>
      <x:c r="F198" s="12" t="str">
        <x:v>True</x:v>
      </x:c>
      <x:c r="G198" s="12" t="str">
        <x:v>48</x:v>
      </x:c>
      <x:c r="H198" s="12" t="str">
        <x:v>48</x:v>
      </x:c>
      <x:c r="I198" s="12" t="str">
        <x:v>0.0</x:v>
      </x:c>
      <x:c r="J198" s="12" t="str">
        <x:v>0.0</x:v>
      </x:c>
      <x:c r="K198" s="12" t="str">
        <x:v>47.0</x:v>
      </x:c>
      <x:c r="L198" s="12" t="str">
        <x:v>47.0</x:v>
      </x:c>
      <x:c r="M198" s="12" t="str">
        <x:v>True</x:v>
      </x:c>
      <x:c r="N198" s="12" t="str">
        <x:v>68</x:v>
      </x:c>
      <x:c r="O198" s="12" t="str">
        <x:v>68</x:v>
      </x:c>
      <x:c r="P198" s="16" t="str">
        <x:v>1.0</x:v>
      </x:c>
      <x:c r="Q198" s="12" t="str">
        <x:v>68</x:v>
      </x:c>
      <x:c r="R198" s="16" t="str">
        <x:v>1.0</x:v>
      </x:c>
      <x:c r="S198" s="12" t="str">
        <x:v>0.2</x:v>
      </x:c>
      <x:c r="T198" s="12" t="str">
        <x:v>68</x:v>
      </x:c>
      <x:c r="U198" s="16" t="str">
        <x:v>1.0</x:v>
      </x:c>
      <x:c r="V198" s="18" t="str">
        <x:v>0.7349087595939636</x:v>
      </x:c>
      <x:c r="W198" s="18" t="str">
        <x:v>0.7772195160388946</x:v>
      </x:c>
      <x:c r="X198" s="18" t="str">
        <x:v>0.836391031742096</x:v>
      </x:c>
      <x:c r="Y198" s="18" t="str">
        <x:v>0.8391149044036865</x:v>
      </x:c>
      <x:c r="Z198" s="18" t="str">
        <x:v>0.8784562706947326</x:v>
      </x:c>
      <x:c r="AA198" s="18" t="str">
        <x:v>0.9124128818511963</x:v>
      </x:c>
      <x:c r="AB198" s="20" t="str">
        <x:v>182.0651000016369</x:v>
      </x:c>
      <x:c r="AC198" s="12" t="str">
        <x:v>overlays\happy_047.png</x:v>
      </x:c>
      <x:c r="AD198" s="12" t="str"/>
      <x:c r="AE198" s="12" t="str"/>
      <x:c r="AF198" s="12" t="str">
        <x:v>acceptable</x:v>
      </x:c>
      <x:c r="AG198" s="12" t="n">
        <x:v>1</x:v>
      </x:c>
      <x:c r="AH198" s="12" t="str">
        <x:v>acceptable</x:v>
      </x:c>
      <x:c r="AI198" s="12" t="str">
        <x:v>acceptable</x:v>
      </x:c>
      <x:c r="AJ198" s="12" t="str">
        <x:v>acceptable</x:v>
      </x:c>
      <x:c r="AK198" s="12" t="str">
        <x:v>not_applicable</x:v>
      </x:c>
      <x:c r="AL198" s="12" t="str">
        <x:v>mild</x:v>
      </x:c>
      <x:c r="AM198" s="14" t="str">
        <x:v>Moderate pose, crop, blur, or facial texture causes minor landmark uncertainty; the result remains usable.</x:v>
      </x:c>
    </x:row>
    <x:row r="199" ht="28" customHeight="1">
      <x:c r="A199" s="12" t="str">
        <x:v>happy_048</x:v>
      </x:c>
      <x:c r="B199" s="12" t="str">
        <x:v>happy</x:v>
      </x:c>
      <x:c r="C199" s="14" t="str">
        <x:v>happy/Training_16866158.jpg</x:v>
      </x:c>
      <x:c r="D199" s="12" t="str">
        <x:v>30824350d66ba65b162bb6d88e83957737c390e9b111f7c312949e578cd950ca</x:v>
      </x:c>
      <x:c r="E199" s="12" t="str">
        <x:v>30824350d66ba65b162bb6d88e83957737c390e9b111f7c312949e578cd950ca</x:v>
      </x:c>
      <x:c r="F199" s="12" t="str">
        <x:v>True</x:v>
      </x:c>
      <x:c r="G199" s="12" t="str">
        <x:v>48</x:v>
      </x:c>
      <x:c r="H199" s="12" t="str">
        <x:v>48</x:v>
      </x:c>
      <x:c r="I199" s="12" t="str">
        <x:v>0.0</x:v>
      </x:c>
      <x:c r="J199" s="12" t="str">
        <x:v>0.0</x:v>
      </x:c>
      <x:c r="K199" s="12" t="str">
        <x:v>47.0</x:v>
      </x:c>
      <x:c r="L199" s="12" t="str">
        <x:v>47.0</x:v>
      </x:c>
      <x:c r="M199" s="12" t="str">
        <x:v>True</x:v>
      </x:c>
      <x:c r="N199" s="12" t="str">
        <x:v>68</x:v>
      </x:c>
      <x:c r="O199" s="12" t="str">
        <x:v>68</x:v>
      </x:c>
      <x:c r="P199" s="16" t="str">
        <x:v>1.0</x:v>
      </x:c>
      <x:c r="Q199" s="12" t="str">
        <x:v>68</x:v>
      </x:c>
      <x:c r="R199" s="16" t="str">
        <x:v>1.0</x:v>
      </x:c>
      <x:c r="S199" s="12" t="str">
        <x:v>0.2</x:v>
      </x:c>
      <x:c r="T199" s="12" t="str">
        <x:v>68</x:v>
      </x:c>
      <x:c r="U199" s="16" t="str">
        <x:v>1.0</x:v>
      </x:c>
      <x:c r="V199" s="18" t="str">
        <x:v>0.7279061675071716</x:v>
      </x:c>
      <x:c r="W199" s="18" t="str">
        <x:v>0.7859204530715942</x:v>
      </x:c>
      <x:c r="X199" s="18" t="str">
        <x:v>0.8383312225341797</x:v>
      </x:c>
      <x:c r="Y199" s="18" t="str">
        <x:v>0.8438229560852051</x:v>
      </x:c>
      <x:c r="Z199" s="18" t="str">
        <x:v>0.8878010749816895</x:v>
      </x:c>
      <x:c r="AA199" s="18" t="str">
        <x:v>0.9206027984619141</x:v>
      </x:c>
      <x:c r="AB199" s="20" t="str">
        <x:v>175.60709999816027</x:v>
      </x:c>
      <x:c r="AC199" s="12" t="str">
        <x:v>overlays\happy_048.png</x:v>
      </x:c>
      <x:c r="AD199" s="12" t="str"/>
      <x:c r="AE199" s="12" t="str"/>
      <x:c r="AF199" s="12" t="str">
        <x:v>acceptable</x:v>
      </x:c>
      <x:c r="AG199" s="12" t="n">
        <x:v>1</x:v>
      </x:c>
      <x:c r="AH199" s="12" t="str">
        <x:v>acceptable</x:v>
      </x:c>
      <x:c r="AI199" s="12" t="str">
        <x:v>acceptable</x:v>
      </x:c>
      <x:c r="AJ199" s="12" t="str">
        <x:v>acceptable</x:v>
      </x:c>
      <x:c r="AK199" s="12" t="str">
        <x:v>not_applicable</x:v>
      </x:c>
      <x:c r="AL199" s="12" t="str">
        <x:v>mild</x:v>
      </x:c>
      <x:c r="AM199" s="14" t="str">
        <x:v>Large pose or profile; visible landmarks remain useful, while hidden-side and contour points are inferred.</x:v>
      </x:c>
    </x:row>
    <x:row r="200" ht="28" customHeight="1">
      <x:c r="A200" s="12" t="str">
        <x:v>happy_049</x:v>
      </x:c>
      <x:c r="B200" s="12" t="str">
        <x:v>happy</x:v>
      </x:c>
      <x:c r="C200" s="14" t="str">
        <x:v>happy/Training_87703745.jpg</x:v>
      </x:c>
      <x:c r="D200" s="12" t="str">
        <x:v>6a8d16c73e316c8da82bb32f16753d3593fda01e92f47bbeaa8d9eeec68a547c</x:v>
      </x:c>
      <x:c r="E200" s="12" t="str">
        <x:v>6a8d16c73e316c8da82bb32f16753d3593fda01e92f47bbeaa8d9eeec68a547c</x:v>
      </x:c>
      <x:c r="F200" s="12" t="str">
        <x:v>True</x:v>
      </x:c>
      <x:c r="G200" s="12" t="str">
        <x:v>48</x:v>
      </x:c>
      <x:c r="H200" s="12" t="str">
        <x:v>48</x:v>
      </x:c>
      <x:c r="I200" s="12" t="str">
        <x:v>0.0</x:v>
      </x:c>
      <x:c r="J200" s="12" t="str">
        <x:v>0.0</x:v>
      </x:c>
      <x:c r="K200" s="12" t="str">
        <x:v>47.0</x:v>
      </x:c>
      <x:c r="L200" s="12" t="str">
        <x:v>47.0</x:v>
      </x:c>
      <x:c r="M200" s="12" t="str">
        <x:v>True</x:v>
      </x:c>
      <x:c r="N200" s="12" t="str">
        <x:v>68</x:v>
      </x:c>
      <x:c r="O200" s="12" t="str">
        <x:v>68</x:v>
      </x:c>
      <x:c r="P200" s="16" t="str">
        <x:v>1.0</x:v>
      </x:c>
      <x:c r="Q200" s="12" t="str">
        <x:v>66</x:v>
      </x:c>
      <x:c r="R200" s="16" t="str">
        <x:v>0.9705882352941176</x:v>
      </x:c>
      <x:c r="S200" s="12" t="str">
        <x:v>0.2</x:v>
      </x:c>
      <x:c r="T200" s="12" t="str">
        <x:v>68</x:v>
      </x:c>
      <x:c r="U200" s="16" t="str">
        <x:v>1.0</x:v>
      </x:c>
      <x:c r="V200" s="18" t="str">
        <x:v>0.6685747504234314</x:v>
      </x:c>
      <x:c r="W200" s="18" t="str">
        <x:v>0.7715690493583679</x:v>
      </x:c>
      <x:c r="X200" s="18" t="str">
        <x:v>0.8460211157798767</x:v>
      </x:c>
      <x:c r="Y200" s="18" t="str">
        <x:v>0.8600813150405884</x:v>
      </x:c>
      <x:c r="Z200" s="18" t="str">
        <x:v>0.895063865184784</x:v>
      </x:c>
      <x:c r="AA200" s="18" t="str">
        <x:v>0.9416826367378235</x:v>
      </x:c>
      <x:c r="AB200" s="20" t="str">
        <x:v>155.78909999749158</x:v>
      </x:c>
      <x:c r="AC200" s="12" t="str">
        <x:v>overlays\happy_049.png</x:v>
      </x:c>
      <x:c r="AD200" s="12" t="str"/>
      <x:c r="AE200" s="12" t="str"/>
      <x:c r="AF200" s="12" t="str">
        <x:v>good</x:v>
      </x:c>
      <x:c r="AG200" s="12" t="n">
        <x:v>1</x:v>
      </x:c>
      <x:c r="AH200" s="12" t="str">
        <x:v>good</x:v>
      </x:c>
      <x:c r="AI200" s="12" t="str">
        <x:v>good</x:v>
      </x:c>
      <x:c r="AJ200" s="12" t="str">
        <x:v>good</x:v>
      </x:c>
      <x:c r="AK200" s="12" t="str">
        <x:v>not_applicable</x:v>
      </x:c>
      <x:c r="AL200" s="12" t="str">
        <x:v>none</x:v>
      </x:c>
      <x:c r="AM200" s="14" t="str">
        <x:v>Clear and well-aligned facial landmarks with no major pose, crop, or occlusion issue.</x:v>
      </x:c>
    </x:row>
    <x:row r="201" ht="28" customHeight="1">
      <x:c r="A201" s="12" t="str">
        <x:v>happy_050</x:v>
      </x:c>
      <x:c r="B201" s="12" t="str">
        <x:v>happy</x:v>
      </x:c>
      <x:c r="C201" s="14" t="str">
        <x:v>happy/Training_64808943.jpg</x:v>
      </x:c>
      <x:c r="D201" s="12" t="str">
        <x:v>5210695395d3de19853d20efa0e783a474bfb70fc1d13a2b78a01dfec42e08d1</x:v>
      </x:c>
      <x:c r="E201" s="12" t="str">
        <x:v>5210695395d3de19853d20efa0e783a474bfb70fc1d13a2b78a01dfec42e08d1</x:v>
      </x:c>
      <x:c r="F201" s="12" t="str">
        <x:v>True</x:v>
      </x:c>
      <x:c r="G201" s="12" t="str">
        <x:v>48</x:v>
      </x:c>
      <x:c r="H201" s="12" t="str">
        <x:v>48</x:v>
      </x:c>
      <x:c r="I201" s="12" t="str">
        <x:v>0.0</x:v>
      </x:c>
      <x:c r="J201" s="12" t="str">
        <x:v>0.0</x:v>
      </x:c>
      <x:c r="K201" s="12" t="str">
        <x:v>47.0</x:v>
      </x:c>
      <x:c r="L201" s="12" t="str">
        <x:v>47.0</x:v>
      </x:c>
      <x:c r="M201" s="12" t="str">
        <x:v>True</x:v>
      </x:c>
      <x:c r="N201" s="12" t="str">
        <x:v>68</x:v>
      </x:c>
      <x:c r="O201" s="12" t="str">
        <x:v>68</x:v>
      </x:c>
      <x:c r="P201" s="16" t="str">
        <x:v>1.0</x:v>
      </x:c>
      <x:c r="Q201" s="12" t="str">
        <x:v>68</x:v>
      </x:c>
      <x:c r="R201" s="16" t="str">
        <x:v>1.0</x:v>
      </x:c>
      <x:c r="S201" s="12" t="str">
        <x:v>0.2</x:v>
      </x:c>
      <x:c r="T201" s="12" t="str">
        <x:v>68</x:v>
      </x:c>
      <x:c r="U201" s="16" t="str">
        <x:v>1.0</x:v>
      </x:c>
      <x:c r="V201" s="18" t="str">
        <x:v>0.6417029500007629</x:v>
      </x:c>
      <x:c r="W201" s="18" t="str">
        <x:v>0.7649097383022309</x:v>
      </x:c>
      <x:c r="X201" s="18" t="str">
        <x:v>0.8356569409370422</x:v>
      </x:c>
      <x:c r="Y201" s="18" t="str">
        <x:v>0.8455779552459717</x:v>
      </x:c>
      <x:c r="Z201" s="18" t="str">
        <x:v>0.892856365442276</x:v>
      </x:c>
      <x:c r="AA201" s="18" t="str">
        <x:v>0.9338971972465515</x:v>
      </x:c>
      <x:c r="AB201" s="20" t="str">
        <x:v>237.42089999723248</x:v>
      </x:c>
      <x:c r="AC201" s="12" t="str">
        <x:v>overlays\happy_050.png</x:v>
      </x:c>
      <x:c r="AD201" s="12" t="str"/>
      <x:c r="AE201" s="12" t="str"/>
      <x:c r="AF201" s="12" t="str">
        <x:v>acceptable</x:v>
      </x:c>
      <x:c r="AG201" s="12" t="n">
        <x:v>1</x:v>
      </x:c>
      <x:c r="AH201" s="12" t="str">
        <x:v>acceptable</x:v>
      </x:c>
      <x:c r="AI201" s="12" t="str">
        <x:v>acceptable</x:v>
      </x:c>
      <x:c r="AJ201" s="12" t="str">
        <x:v>acceptable</x:v>
      </x:c>
      <x:c r="AK201" s="12" t="str">
        <x:v>acceptable</x:v>
      </x:c>
      <x:c r="AL201" s="12" t="str">
        <x:v>mild</x:v>
      </x:c>
      <x:c r="AM201" s="14" t="str">
        <x:v>Large pose or profile; visible landmarks remain useful, while hidden-side and contour points are inferred.</x:v>
      </x:c>
    </x:row>
    <x:row r="202" ht="28" customHeight="1">
      <x:c r="A202" s="12" t="str">
        <x:v>neutral_001</x:v>
      </x:c>
      <x:c r="B202" s="12" t="str">
        <x:v>neutral</x:v>
      </x:c>
      <x:c r="C202" s="14" t="str">
        <x:v>neutral/Training_27832558.jpg</x:v>
      </x:c>
      <x:c r="D202" s="12" t="str">
        <x:v>a67aea10339a3645ed03b0e35e8c61466f986de6c373d5bf4cb28c5d9920da35</x:v>
      </x:c>
      <x:c r="E202" s="12" t="str">
        <x:v>a67aea10339a3645ed03b0e35e8c61466f986de6c373d5bf4cb28c5d9920da35</x:v>
      </x:c>
      <x:c r="F202" s="12" t="str">
        <x:v>True</x:v>
      </x:c>
      <x:c r="G202" s="12" t="str">
        <x:v>48</x:v>
      </x:c>
      <x:c r="H202" s="12" t="str">
        <x:v>48</x:v>
      </x:c>
      <x:c r="I202" s="12" t="str">
        <x:v>0.0</x:v>
      </x:c>
      <x:c r="J202" s="12" t="str">
        <x:v>0.0</x:v>
      </x:c>
      <x:c r="K202" s="12" t="str">
        <x:v>47.0</x:v>
      </x:c>
      <x:c r="L202" s="12" t="str">
        <x:v>47.0</x:v>
      </x:c>
      <x:c r="M202" s="12" t="str">
        <x:v>True</x:v>
      </x:c>
      <x:c r="N202" s="12" t="str">
        <x:v>68</x:v>
      </x:c>
      <x:c r="O202" s="12" t="str">
        <x:v>68</x:v>
      </x:c>
      <x:c r="P202" s="16" t="str">
        <x:v>1.0</x:v>
      </x:c>
      <x:c r="Q202" s="12" t="str">
        <x:v>68</x:v>
      </x:c>
      <x:c r="R202" s="16" t="str">
        <x:v>1.0</x:v>
      </x:c>
      <x:c r="S202" s="12" t="str">
        <x:v>0.2</x:v>
      </x:c>
      <x:c r="T202" s="12" t="str">
        <x:v>68</x:v>
      </x:c>
      <x:c r="U202" s="16" t="str">
        <x:v>1.0</x:v>
      </x:c>
      <x:c r="V202" s="18" t="str">
        <x:v>0.6808826327323914</x:v>
      </x:c>
      <x:c r="W202" s="18" t="str">
        <x:v>0.7469341039657593</x:v>
      </x:c>
      <x:c r="X202" s="18" t="str">
        <x:v>0.8120484948158264</x:v>
      </x:c>
      <x:c r="Y202" s="18" t="str">
        <x:v>0.820366382598877</x:v>
      </x:c>
      <x:c r="Z202" s="18" t="str">
        <x:v>0.8675354063510895</x:v>
      </x:c>
      <x:c r="AA202" s="18" t="str">
        <x:v>0.9011843800544739</x:v>
      </x:c>
      <x:c r="AB202" s="20" t="str">
        <x:v>158.2328000004054</x:v>
      </x:c>
      <x:c r="AC202" s="12" t="str">
        <x:v>overlays\neutral_001.png</x:v>
      </x:c>
      <x:c r="AD202" s="12" t="str"/>
      <x:c r="AE202" s="12" t="str"/>
      <x:c r="AF202" s="12" t="str">
        <x:v>acceptable</x:v>
      </x:c>
      <x:c r="AG202" s="12" t="n">
        <x:v>1</x:v>
      </x:c>
      <x:c r="AH202" s="12" t="str">
        <x:v>acceptable</x:v>
      </x:c>
      <x:c r="AI202" s="12" t="str">
        <x:v>acceptable</x:v>
      </x:c>
      <x:c r="AJ202" s="12" t="str">
        <x:v>acceptable</x:v>
      </x:c>
      <x:c r="AK202" s="12" t="str">
        <x:v>not_applicable</x:v>
      </x:c>
      <x:c r="AL202" s="12" t="str">
        <x:v>mild</x:v>
      </x:c>
      <x:c r="AM202" s="14" t="str">
        <x:v>Large pose or profile; visible landmarks remain useful, while hidden-side and contour points are inferred.</x:v>
      </x:c>
    </x:row>
    <x:row r="203" ht="28" customHeight="1">
      <x:c r="A203" s="12" t="str">
        <x:v>neutral_002</x:v>
      </x:c>
      <x:c r="B203" s="12" t="str">
        <x:v>neutral</x:v>
      </x:c>
      <x:c r="C203" s="14" t="str">
        <x:v>neutral/Training_28120071.jpg</x:v>
      </x:c>
      <x:c r="D203" s="12" t="str">
        <x:v>662e023f0335bc81f308efac8814186800a9633e6bb168daadffc8475866702b</x:v>
      </x:c>
      <x:c r="E203" s="12" t="str">
        <x:v>662e023f0335bc81f308efac8814186800a9633e6bb168daadffc8475866702b</x:v>
      </x:c>
      <x:c r="F203" s="12" t="str">
        <x:v>True</x:v>
      </x:c>
      <x:c r="G203" s="12" t="str">
        <x:v>48</x:v>
      </x:c>
      <x:c r="H203" s="12" t="str">
        <x:v>48</x:v>
      </x:c>
      <x:c r="I203" s="12" t="str">
        <x:v>0.0</x:v>
      </x:c>
      <x:c r="J203" s="12" t="str">
        <x:v>0.0</x:v>
      </x:c>
      <x:c r="K203" s="12" t="str">
        <x:v>47.0</x:v>
      </x:c>
      <x:c r="L203" s="12" t="str">
        <x:v>47.0</x:v>
      </x:c>
      <x:c r="M203" s="12" t="str">
        <x:v>True</x:v>
      </x:c>
      <x:c r="N203" s="12" t="str">
        <x:v>68</x:v>
      </x:c>
      <x:c r="O203" s="12" t="str">
        <x:v>68</x:v>
      </x:c>
      <x:c r="P203" s="16" t="str">
        <x:v>1.0</x:v>
      </x:c>
      <x:c r="Q203" s="12" t="str">
        <x:v>68</x:v>
      </x:c>
      <x:c r="R203" s="16" t="str">
        <x:v>1.0</x:v>
      </x:c>
      <x:c r="S203" s="12" t="str">
        <x:v>0.2</x:v>
      </x:c>
      <x:c r="T203" s="12" t="str">
        <x:v>68</x:v>
      </x:c>
      <x:c r="U203" s="16" t="str">
        <x:v>1.0</x:v>
      </x:c>
      <x:c r="V203" s="18" t="str">
        <x:v>0.7414438128471375</x:v>
      </x:c>
      <x:c r="W203" s="18" t="str">
        <x:v>0.7791097104549408</x:v>
      </x:c>
      <x:c r="X203" s="18" t="str">
        <x:v>0.8355011940002441</x:v>
      </x:c>
      <x:c r="Y203" s="18" t="str">
        <x:v>0.8420916199684143</x:v>
      </x:c>
      <x:c r="Z203" s="18" t="str">
        <x:v>0.876200532913208</x:v>
      </x:c>
      <x:c r="AA203" s="18" t="str">
        <x:v>0.9000570774078369</x:v>
      </x:c>
      <x:c r="AB203" s="20" t="str">
        <x:v>161.86169999855338</x:v>
      </x:c>
      <x:c r="AC203" s="12" t="str">
        <x:v>overlays\neutral_002.png</x:v>
      </x:c>
      <x:c r="AD203" s="12" t="str"/>
      <x:c r="AE203" s="12" t="str"/>
      <x:c r="AF203" s="12" t="str">
        <x:v>good</x:v>
      </x:c>
      <x:c r="AG203" s="12" t="n">
        <x:v>1</x:v>
      </x:c>
      <x:c r="AH203" s="12" t="str">
        <x:v>good</x:v>
      </x:c>
      <x:c r="AI203" s="12" t="str">
        <x:v>good</x:v>
      </x:c>
      <x:c r="AJ203" s="12" t="str">
        <x:v>good</x:v>
      </x:c>
      <x:c r="AK203" s="12" t="str">
        <x:v>not_applicable</x:v>
      </x:c>
      <x:c r="AL203" s="12" t="str">
        <x:v>none</x:v>
      </x:c>
      <x:c r="AM203" s="14" t="str">
        <x:v>Clear and well-aligned facial landmarks with no major pose, crop, or occlusion issue.</x:v>
      </x:c>
    </x:row>
    <x:row r="204" ht="28" customHeight="1">
      <x:c r="A204" s="12" t="str">
        <x:v>neutral_003</x:v>
      </x:c>
      <x:c r="B204" s="12" t="str">
        <x:v>neutral</x:v>
      </x:c>
      <x:c r="C204" s="14" t="str">
        <x:v>neutral/Training_80808476.jpg</x:v>
      </x:c>
      <x:c r="D204" s="12" t="str">
        <x:v>f575338e579458d82e144fbe16a59658970de83c992bf783ff95f82de5981055</x:v>
      </x:c>
      <x:c r="E204" s="12" t="str">
        <x:v>f575338e579458d82e144fbe16a59658970de83c992bf783ff95f82de5981055</x:v>
      </x:c>
      <x:c r="F204" s="12" t="str">
        <x:v>True</x:v>
      </x:c>
      <x:c r="G204" s="12" t="str">
        <x:v>48</x:v>
      </x:c>
      <x:c r="H204" s="12" t="str">
        <x:v>48</x:v>
      </x:c>
      <x:c r="I204" s="12" t="str">
        <x:v>0.0</x:v>
      </x:c>
      <x:c r="J204" s="12" t="str">
        <x:v>0.0</x:v>
      </x:c>
      <x:c r="K204" s="12" t="str">
        <x:v>47.0</x:v>
      </x:c>
      <x:c r="L204" s="12" t="str">
        <x:v>47.0</x:v>
      </x:c>
      <x:c r="M204" s="12" t="str">
        <x:v>True</x:v>
      </x:c>
      <x:c r="N204" s="12" t="str">
        <x:v>68</x:v>
      </x:c>
      <x:c r="O204" s="12" t="str">
        <x:v>68</x:v>
      </x:c>
      <x:c r="P204" s="16" t="str">
        <x:v>1.0</x:v>
      </x:c>
      <x:c r="Q204" s="12" t="str">
        <x:v>68</x:v>
      </x:c>
      <x:c r="R204" s="16" t="str">
        <x:v>1.0</x:v>
      </x:c>
      <x:c r="S204" s="12" t="str">
        <x:v>0.2</x:v>
      </x:c>
      <x:c r="T204" s="12" t="str">
        <x:v>68</x:v>
      </x:c>
      <x:c r="U204" s="16" t="str">
        <x:v>1.0</x:v>
      </x:c>
      <x:c r="V204" s="18" t="str">
        <x:v>0.6831017136573792</x:v>
      </x:c>
      <x:c r="W204" s="18" t="str">
        <x:v>0.7702911734580994</x:v>
      </x:c>
      <x:c r="X204" s="18" t="str">
        <x:v>0.810586154460907</x:v>
      </x:c>
      <x:c r="Y204" s="18" t="str">
        <x:v>0.8131197690963745</x:v>
      </x:c>
      <x:c r="Z204" s="18" t="str">
        <x:v>0.8528002023696899</x:v>
      </x:c>
      <x:c r="AA204" s="18" t="str">
        <x:v>0.9125528931617737</x:v>
      </x:c>
      <x:c r="AB204" s="20" t="str">
        <x:v>158.2129999951576</x:v>
      </x:c>
      <x:c r="AC204" s="12" t="str">
        <x:v>overlays\neutral_003.png</x:v>
      </x:c>
      <x:c r="AD204" s="12" t="str"/>
      <x:c r="AE204" s="12" t="str"/>
      <x:c r="AF204" s="12" t="str">
        <x:v>acceptable</x:v>
      </x:c>
      <x:c r="AG204" s="12" t="n">
        <x:v>1</x:v>
      </x:c>
      <x:c r="AH204" s="12" t="str">
        <x:v>acceptable</x:v>
      </x:c>
      <x:c r="AI204" s="12" t="str">
        <x:v>acceptable</x:v>
      </x:c>
      <x:c r="AJ204" s="12" t="str">
        <x:v>acceptable</x:v>
      </x:c>
      <x:c r="AK204" s="12" t="str">
        <x:v>not_applicable</x:v>
      </x:c>
      <x:c r="AL204" s="12" t="str">
        <x:v>mild</x:v>
      </x:c>
      <x:c r="AM204" s="14" t="str">
        <x:v>Large pose or profile; visible landmarks remain useful, while hidden-side and contour points are inferred.</x:v>
      </x:c>
    </x:row>
    <x:row r="205" ht="28" customHeight="1">
      <x:c r="A205" s="12" t="str">
        <x:v>neutral_004</x:v>
      </x:c>
      <x:c r="B205" s="12" t="str">
        <x:v>neutral</x:v>
      </x:c>
      <x:c r="C205" s="14" t="str">
        <x:v>neutral/Training_91747126.jpg</x:v>
      </x:c>
      <x:c r="D205" s="12" t="str">
        <x:v>265c4f2c1f2e8d6124e17b651128c38a61695c702682da472e0dc3ab41a44f7f</x:v>
      </x:c>
      <x:c r="E205" s="12" t="str">
        <x:v>265c4f2c1f2e8d6124e17b651128c38a61695c702682da472e0dc3ab41a44f7f</x:v>
      </x:c>
      <x:c r="F205" s="12" t="str">
        <x:v>True</x:v>
      </x:c>
      <x:c r="G205" s="12" t="str">
        <x:v>48</x:v>
      </x:c>
      <x:c r="H205" s="12" t="str">
        <x:v>48</x:v>
      </x:c>
      <x:c r="I205" s="12" t="str">
        <x:v>0.0</x:v>
      </x:c>
      <x:c r="J205" s="12" t="str">
        <x:v>0.0</x:v>
      </x:c>
      <x:c r="K205" s="12" t="str">
        <x:v>47.0</x:v>
      </x:c>
      <x:c r="L205" s="12" t="str">
        <x:v>47.0</x:v>
      </x:c>
      <x:c r="M205" s="12" t="str">
        <x:v>True</x:v>
      </x:c>
      <x:c r="N205" s="12" t="str">
        <x:v>68</x:v>
      </x:c>
      <x:c r="O205" s="12" t="str">
        <x:v>68</x:v>
      </x:c>
      <x:c r="P205" s="16" t="str">
        <x:v>1.0</x:v>
      </x:c>
      <x:c r="Q205" s="12" t="str">
        <x:v>67</x:v>
      </x:c>
      <x:c r="R205" s="16" t="str">
        <x:v>0.9852941176470589</x:v>
      </x:c>
      <x:c r="S205" s="12" t="str">
        <x:v>0.2</x:v>
      </x:c>
      <x:c r="T205" s="12" t="str">
        <x:v>68</x:v>
      </x:c>
      <x:c r="U205" s="16" t="str">
        <x:v>1.0</x:v>
      </x:c>
      <x:c r="V205" s="18" t="str">
        <x:v>0.6883549094200134</x:v>
      </x:c>
      <x:c r="W205" s="18" t="str">
        <x:v>0.7403820991516114</x:v>
      </x:c>
      <x:c r="X205" s="18" t="str">
        <x:v>0.8102285861968994</x:v>
      </x:c>
      <x:c r="Y205" s="18" t="str">
        <x:v>0.819267988204956</x:v>
      </x:c>
      <x:c r="Z205" s="18" t="str">
        <x:v>0.8596572935581207</x:v>
      </x:c>
      <x:c r="AA205" s="18" t="str">
        <x:v>0.9107327461242676</x:v>
      </x:c>
      <x:c r="AB205" s="20" t="str">
        <x:v>168.40059999958612</x:v>
      </x:c>
      <x:c r="AC205" s="12" t="str">
        <x:v>overlays\neutral_004.png</x:v>
      </x:c>
      <x:c r="AD205" s="12" t="str"/>
      <x:c r="AE205" s="12" t="str"/>
      <x:c r="AF205" s="12" t="str">
        <x:v>good</x:v>
      </x:c>
      <x:c r="AG205" s="12" t="n">
        <x:v>1</x:v>
      </x:c>
      <x:c r="AH205" s="12" t="str">
        <x:v>good</x:v>
      </x:c>
      <x:c r="AI205" s="12" t="str">
        <x:v>good</x:v>
      </x:c>
      <x:c r="AJ205" s="12" t="str">
        <x:v>good</x:v>
      </x:c>
      <x:c r="AK205" s="12" t="str">
        <x:v>not_applicable</x:v>
      </x:c>
      <x:c r="AL205" s="12" t="str">
        <x:v>none</x:v>
      </x:c>
      <x:c r="AM205" s="14" t="str">
        <x:v>Clear and well-aligned facial landmarks with no major pose, crop, or occlusion issue.</x:v>
      </x:c>
    </x:row>
    <x:row r="206" ht="28" customHeight="1">
      <x:c r="A206" s="12" t="str">
        <x:v>neutral_005</x:v>
      </x:c>
      <x:c r="B206" s="12" t="str">
        <x:v>neutral</x:v>
      </x:c>
      <x:c r="C206" s="14" t="str">
        <x:v>neutral/Training_33952297.jpg</x:v>
      </x:c>
      <x:c r="D206" s="12" t="str">
        <x:v>9c8c6016e82686486c20430e9a9dac9ca246019094725acc9c31b23bb4f99163</x:v>
      </x:c>
      <x:c r="E206" s="12" t="str">
        <x:v>9c8c6016e82686486c20430e9a9dac9ca246019094725acc9c31b23bb4f99163</x:v>
      </x:c>
      <x:c r="F206" s="12" t="str">
        <x:v>True</x:v>
      </x:c>
      <x:c r="G206" s="12" t="str">
        <x:v>48</x:v>
      </x:c>
      <x:c r="H206" s="12" t="str">
        <x:v>48</x:v>
      </x:c>
      <x:c r="I206" s="12" t="str">
        <x:v>0.0</x:v>
      </x:c>
      <x:c r="J206" s="12" t="str">
        <x:v>0.0</x:v>
      </x:c>
      <x:c r="K206" s="12" t="str">
        <x:v>47.0</x:v>
      </x:c>
      <x:c r="L206" s="12" t="str">
        <x:v>47.0</x:v>
      </x:c>
      <x:c r="M206" s="12" t="str">
        <x:v>True</x:v>
      </x:c>
      <x:c r="N206" s="12" t="str">
        <x:v>68</x:v>
      </x:c>
      <x:c r="O206" s="12" t="str">
        <x:v>68</x:v>
      </x:c>
      <x:c r="P206" s="16" t="str">
        <x:v>1.0</x:v>
      </x:c>
      <x:c r="Q206" s="12" t="str">
        <x:v>67</x:v>
      </x:c>
      <x:c r="R206" s="16" t="str">
        <x:v>0.9852941176470589</x:v>
      </x:c>
      <x:c r="S206" s="12" t="str">
        <x:v>0.2</x:v>
      </x:c>
      <x:c r="T206" s="12" t="str">
        <x:v>68</x:v>
      </x:c>
      <x:c r="U206" s="16" t="str">
        <x:v>1.0</x:v>
      </x:c>
      <x:c r="V206" s="18" t="str">
        <x:v>0.48001110553741455</x:v>
      </x:c>
      <x:c r="W206" s="18" t="str">
        <x:v>0.6904169738292694</x:v>
      </x:c>
      <x:c r="X206" s="18" t="str">
        <x:v>0.7778176665306091</x:v>
      </x:c>
      <x:c r="Y206" s="18" t="str">
        <x:v>0.7919330596923828</x:v>
      </x:c>
      <x:c r="Z206" s="18" t="str">
        <x:v>0.8474150121212005</x:v>
      </x:c>
      <x:c r="AA206" s="18" t="str">
        <x:v>0.9014425873756409</x:v>
      </x:c>
      <x:c r="AB206" s="20" t="str">
        <x:v>157.4274000013247</x:v>
      </x:c>
      <x:c r="AC206" s="12" t="str">
        <x:v>overlays\neutral_005.png</x:v>
      </x:c>
      <x:c r="AD206" s="12" t="str"/>
      <x:c r="AE206" s="12" t="str"/>
      <x:c r="AF206" s="12" t="str">
        <x:v>acceptable</x:v>
      </x:c>
      <x:c r="AG206" s="12" t="n">
        <x:v>1</x:v>
      </x:c>
      <x:c r="AH206" s="12" t="str">
        <x:v>acceptable</x:v>
      </x:c>
      <x:c r="AI206" s="12" t="str">
        <x:v>acceptable</x:v>
      </x:c>
      <x:c r="AJ206" s="12" t="str">
        <x:v>acceptable</x:v>
      </x:c>
      <x:c r="AK206" s="12" t="str">
        <x:v>acceptable</x:v>
      </x:c>
      <x:c r="AL206" s="12" t="str">
        <x:v>mild</x:v>
      </x:c>
      <x:c r="AM206" s="14" t="str">
        <x:v>Moderate pose, crop, blur, or facial texture causes minor landmark uncertainty; the result remains usable.</x:v>
      </x:c>
    </x:row>
    <x:row r="207" ht="28" customHeight="1">
      <x:c r="A207" s="12" t="str">
        <x:v>neutral_006</x:v>
      </x:c>
      <x:c r="B207" s="12" t="str">
        <x:v>neutral</x:v>
      </x:c>
      <x:c r="C207" s="14" t="str">
        <x:v>neutral/Training_48807220.jpg</x:v>
      </x:c>
      <x:c r="D207" s="12" t="str">
        <x:v>86bd59af2964ee6d07769d1d7c6120ef426e224c5ece88b56c891cddc7dc1bd4</x:v>
      </x:c>
      <x:c r="E207" s="12" t="str">
        <x:v>86bd59af2964ee6d07769d1d7c6120ef426e224c5ece88b56c891cddc7dc1bd4</x:v>
      </x:c>
      <x:c r="F207" s="12" t="str">
        <x:v>True</x:v>
      </x:c>
      <x:c r="G207" s="12" t="str">
        <x:v>48</x:v>
      </x:c>
      <x:c r="H207" s="12" t="str">
        <x:v>48</x:v>
      </x:c>
      <x:c r="I207" s="12" t="str">
        <x:v>0.0</x:v>
      </x:c>
      <x:c r="J207" s="12" t="str">
        <x:v>0.0</x:v>
      </x:c>
      <x:c r="K207" s="12" t="str">
        <x:v>47.0</x:v>
      </x:c>
      <x:c r="L207" s="12" t="str">
        <x:v>47.0</x:v>
      </x:c>
      <x:c r="M207" s="12" t="str">
        <x:v>True</x:v>
      </x:c>
      <x:c r="N207" s="12" t="str">
        <x:v>68</x:v>
      </x:c>
      <x:c r="O207" s="12" t="str">
        <x:v>68</x:v>
      </x:c>
      <x:c r="P207" s="16" t="str">
        <x:v>1.0</x:v>
      </x:c>
      <x:c r="Q207" s="12" t="str">
        <x:v>68</x:v>
      </x:c>
      <x:c r="R207" s="16" t="str">
        <x:v>1.0</x:v>
      </x:c>
      <x:c r="S207" s="12" t="str">
        <x:v>0.2</x:v>
      </x:c>
      <x:c r="T207" s="12" t="str">
        <x:v>68</x:v>
      </x:c>
      <x:c r="U207" s="16" t="str">
        <x:v>1.0</x:v>
      </x:c>
      <x:c r="V207" s="18" t="str">
        <x:v>0.5527337193489075</x:v>
      </x:c>
      <x:c r="W207" s="18" t="str">
        <x:v>0.7212493419647217</x:v>
      </x:c>
      <x:c r="X207" s="18" t="str">
        <x:v>0.8041318655014038</x:v>
      </x:c>
      <x:c r="Y207" s="18" t="str">
        <x:v>0.8185405731201172</x:v>
      </x:c>
      <x:c r="Z207" s="18" t="str">
        <x:v>0.8665781795978547</x:v>
      </x:c>
      <x:c r="AA207" s="18" t="str">
        <x:v>0.9101833701133728</x:v>
      </x:c>
      <x:c r="AB207" s="20" t="str">
        <x:v>159.63270000065677</x:v>
      </x:c>
      <x:c r="AC207" s="12" t="str">
        <x:v>overlays\neutral_006.png</x:v>
      </x:c>
      <x:c r="AD207" s="12" t="str"/>
      <x:c r="AE207" s="12" t="str"/>
      <x:c r="AF207" s="12" t="str">
        <x:v>acceptable</x:v>
      </x:c>
      <x:c r="AG207" s="12" t="n">
        <x:v>1</x:v>
      </x:c>
      <x:c r="AH207" s="12" t="str">
        <x:v>acceptable</x:v>
      </x:c>
      <x:c r="AI207" s="12" t="str">
        <x:v>acceptable</x:v>
      </x:c>
      <x:c r="AJ207" s="12" t="str">
        <x:v>acceptable</x:v>
      </x:c>
      <x:c r="AK207" s="12" t="str">
        <x:v>not_applicable</x:v>
      </x:c>
      <x:c r="AL207" s="12" t="str">
        <x:v>mild</x:v>
      </x:c>
      <x:c r="AM207" s="14" t="str">
        <x:v>Large pose or profile; visible landmarks remain useful, while hidden-side and contour points are inferred.</x:v>
      </x:c>
    </x:row>
    <x:row r="208" ht="28" customHeight="1">
      <x:c r="A208" s="12" t="str">
        <x:v>neutral_007</x:v>
      </x:c>
      <x:c r="B208" s="12" t="str">
        <x:v>neutral</x:v>
      </x:c>
      <x:c r="C208" s="14" t="str">
        <x:v>neutral/Training_88377969.jpg</x:v>
      </x:c>
      <x:c r="D208" s="12" t="str">
        <x:v>9c7e592e12bc0efad3f505ce10166d33324128befe57caa7b1456ec336aa1c00</x:v>
      </x:c>
      <x:c r="E208" s="12" t="str">
        <x:v>9c7e592e12bc0efad3f505ce10166d33324128befe57caa7b1456ec336aa1c00</x:v>
      </x:c>
      <x:c r="F208" s="12" t="str">
        <x:v>True</x:v>
      </x:c>
      <x:c r="G208" s="12" t="str">
        <x:v>48</x:v>
      </x:c>
      <x:c r="H208" s="12" t="str">
        <x:v>48</x:v>
      </x:c>
      <x:c r="I208" s="12" t="str">
        <x:v>0.0</x:v>
      </x:c>
      <x:c r="J208" s="12" t="str">
        <x:v>0.0</x:v>
      </x:c>
      <x:c r="K208" s="12" t="str">
        <x:v>47.0</x:v>
      </x:c>
      <x:c r="L208" s="12" t="str">
        <x:v>47.0</x:v>
      </x:c>
      <x:c r="M208" s="12" t="str">
        <x:v>True</x:v>
      </x:c>
      <x:c r="N208" s="12" t="str">
        <x:v>68</x:v>
      </x:c>
      <x:c r="O208" s="12" t="str">
        <x:v>68</x:v>
      </x:c>
      <x:c r="P208" s="16" t="str">
        <x:v>1.0</x:v>
      </x:c>
      <x:c r="Q208" s="12" t="str">
        <x:v>68</x:v>
      </x:c>
      <x:c r="R208" s="16" t="str">
        <x:v>1.0</x:v>
      </x:c>
      <x:c r="S208" s="12" t="str">
        <x:v>0.2</x:v>
      </x:c>
      <x:c r="T208" s="12" t="str">
        <x:v>68</x:v>
      </x:c>
      <x:c r="U208" s="16" t="str">
        <x:v>1.0</x:v>
      </x:c>
      <x:c r="V208" s="18" t="str">
        <x:v>0.7486317157745361</x:v>
      </x:c>
      <x:c r="W208" s="18" t="str">
        <x:v>0.8046653926372528</x:v>
      </x:c>
      <x:c r="X208" s="18" t="str">
        <x:v>0.8497289419174194</x:v>
      </x:c>
      <x:c r="Y208" s="18" t="str">
        <x:v>0.8563264608383179</x:v>
      </x:c>
      <x:c r="Z208" s="18" t="str">
        <x:v>0.8845507800579071</x:v>
      </x:c>
      <x:c r="AA208" s="18" t="str">
        <x:v>0.905860960483551</x:v>
      </x:c>
      <x:c r="AB208" s="20" t="str">
        <x:v>206.00379999814322</x:v>
      </x:c>
      <x:c r="AC208" s="12" t="str">
        <x:v>overlays\neutral_007.png</x:v>
      </x:c>
      <x:c r="AD208" s="12" t="str"/>
      <x:c r="AE208" s="12" t="str"/>
      <x:c r="AF208" s="12" t="str">
        <x:v>acceptable</x:v>
      </x:c>
      <x:c r="AG208" s="12" t="n">
        <x:v>1</x:v>
      </x:c>
      <x:c r="AH208" s="12" t="str">
        <x:v>acceptable</x:v>
      </x:c>
      <x:c r="AI208" s="12" t="str">
        <x:v>acceptable</x:v>
      </x:c>
      <x:c r="AJ208" s="12" t="str">
        <x:v>acceptable</x:v>
      </x:c>
      <x:c r="AK208" s="12" t="str">
        <x:v>not_applicable</x:v>
      </x:c>
      <x:c r="AL208" s="12" t="str">
        <x:v>mild</x:v>
      </x:c>
      <x:c r="AM208" s="14" t="str">
        <x:v>Moderate pose, crop, blur, or facial texture causes minor landmark uncertainty; the result remains usable.</x:v>
      </x:c>
    </x:row>
    <x:row r="209" ht="28" customHeight="1">
      <x:c r="A209" s="12" t="str">
        <x:v>neutral_008</x:v>
      </x:c>
      <x:c r="B209" s="12" t="str">
        <x:v>neutral</x:v>
      </x:c>
      <x:c r="C209" s="14" t="str">
        <x:v>neutral/Training_7294134.jpg</x:v>
      </x:c>
      <x:c r="D209" s="12" t="str">
        <x:v>33900e65dbebb2b9eda85783f3e121fafaeb8e5b7e23b2f951d043ff375aeb27</x:v>
      </x:c>
      <x:c r="E209" s="12" t="str">
        <x:v>33900e65dbebb2b9eda85783f3e121fafaeb8e5b7e23b2f951d043ff375aeb27</x:v>
      </x:c>
      <x:c r="F209" s="12" t="str">
        <x:v>True</x:v>
      </x:c>
      <x:c r="G209" s="12" t="str">
        <x:v>48</x:v>
      </x:c>
      <x:c r="H209" s="12" t="str">
        <x:v>48</x:v>
      </x:c>
      <x:c r="I209" s="12" t="str">
        <x:v>0.0</x:v>
      </x:c>
      <x:c r="J209" s="12" t="str">
        <x:v>0.0</x:v>
      </x:c>
      <x:c r="K209" s="12" t="str">
        <x:v>47.0</x:v>
      </x:c>
      <x:c r="L209" s="12" t="str">
        <x:v>47.0</x:v>
      </x:c>
      <x:c r="M209" s="12" t="str">
        <x:v>True</x:v>
      </x:c>
      <x:c r="N209" s="12" t="str">
        <x:v>68</x:v>
      </x:c>
      <x:c r="O209" s="12" t="str">
        <x:v>68</x:v>
      </x:c>
      <x:c r="P209" s="16" t="str">
        <x:v>1.0</x:v>
      </x:c>
      <x:c r="Q209" s="12" t="str">
        <x:v>68</x:v>
      </x:c>
      <x:c r="R209" s="16" t="str">
        <x:v>1.0</x:v>
      </x:c>
      <x:c r="S209" s="12" t="str">
        <x:v>0.2</x:v>
      </x:c>
      <x:c r="T209" s="12" t="str">
        <x:v>68</x:v>
      </x:c>
      <x:c r="U209" s="16" t="str">
        <x:v>1.0</x:v>
      </x:c>
      <x:c r="V209" s="18" t="str">
        <x:v>0.7723526954650879</x:v>
      </x:c>
      <x:c r="W209" s="18" t="str">
        <x:v>0.8062183201313019</x:v>
      </x:c>
      <x:c r="X209" s="18" t="str">
        <x:v>0.847301185131073</x:v>
      </x:c>
      <x:c r="Y209" s="18" t="str">
        <x:v>0.846097469329834</x:v>
      </x:c>
      <x:c r="Z209" s="18" t="str">
        <x:v>0.8864910900592804</x:v>
      </x:c>
      <x:c r="AA209" s="18" t="str">
        <x:v>0.9132448434829712</x:v>
      </x:c>
      <x:c r="AB209" s="20" t="str">
        <x:v>158.1175000028452</x:v>
      </x:c>
      <x:c r="AC209" s="12" t="str">
        <x:v>overlays\neutral_008.png</x:v>
      </x:c>
      <x:c r="AD209" s="12" t="str"/>
      <x:c r="AE209" s="12" t="str"/>
      <x:c r="AF209" s="12" t="str">
        <x:v>good</x:v>
      </x:c>
      <x:c r="AG209" s="12" t="n">
        <x:v>1</x:v>
      </x:c>
      <x:c r="AH209" s="12" t="str">
        <x:v>good</x:v>
      </x:c>
      <x:c r="AI209" s="12" t="str">
        <x:v>good</x:v>
      </x:c>
      <x:c r="AJ209" s="12" t="str">
        <x:v>good</x:v>
      </x:c>
      <x:c r="AK209" s="12" t="str">
        <x:v>not_applicable</x:v>
      </x:c>
      <x:c r="AL209" s="12" t="str">
        <x:v>none</x:v>
      </x:c>
      <x:c r="AM209" s="14" t="str">
        <x:v>Clear and well-aligned facial landmarks with no major pose, crop, or occlusion issue.</x:v>
      </x:c>
    </x:row>
    <x:row r="210" ht="28" customHeight="1">
      <x:c r="A210" s="12" t="str">
        <x:v>neutral_009</x:v>
      </x:c>
      <x:c r="B210" s="12" t="str">
        <x:v>neutral</x:v>
      </x:c>
      <x:c r="C210" s="14" t="str">
        <x:v>neutral/Training_40840547.jpg</x:v>
      </x:c>
      <x:c r="D210" s="12" t="str">
        <x:v>5a786f0c99615cf8bb8889e1ada93a620f6b7f91d5f678933288159e04f2d886</x:v>
      </x:c>
      <x:c r="E210" s="12" t="str">
        <x:v>5a786f0c99615cf8bb8889e1ada93a620f6b7f91d5f678933288159e04f2d886</x:v>
      </x:c>
      <x:c r="F210" s="12" t="str">
        <x:v>True</x:v>
      </x:c>
      <x:c r="G210" s="12" t="str">
        <x:v>48</x:v>
      </x:c>
      <x:c r="H210" s="12" t="str">
        <x:v>48</x:v>
      </x:c>
      <x:c r="I210" s="12" t="str">
        <x:v>0.0</x:v>
      </x:c>
      <x:c r="J210" s="12" t="str">
        <x:v>0.0</x:v>
      </x:c>
      <x:c r="K210" s="12" t="str">
        <x:v>47.0</x:v>
      </x:c>
      <x:c r="L210" s="12" t="str">
        <x:v>47.0</x:v>
      </x:c>
      <x:c r="M210" s="12" t="str">
        <x:v>True</x:v>
      </x:c>
      <x:c r="N210" s="12" t="str">
        <x:v>68</x:v>
      </x:c>
      <x:c r="O210" s="12" t="str">
        <x:v>68</x:v>
      </x:c>
      <x:c r="P210" s="16" t="str">
        <x:v>1.0</x:v>
      </x:c>
      <x:c r="Q210" s="12" t="str">
        <x:v>67</x:v>
      </x:c>
      <x:c r="R210" s="16" t="str">
        <x:v>0.9852941176470589</x:v>
      </x:c>
      <x:c r="S210" s="12" t="str">
        <x:v>0.2</x:v>
      </x:c>
      <x:c r="T210" s="12" t="str">
        <x:v>68</x:v>
      </x:c>
      <x:c r="U210" s="16" t="str">
        <x:v>1.0</x:v>
      </x:c>
      <x:c r="V210" s="18" t="str">
        <x:v>0.7493865489959717</x:v>
      </x:c>
      <x:c r="W210" s="18" t="str">
        <x:v>0.7712877810001373</x:v>
      </x:c>
      <x:c r="X210" s="18" t="str">
        <x:v>0.8200113773345947</x:v>
      </x:c>
      <x:c r="Y210" s="18" t="str">
        <x:v>0.8205142617225647</x:v>
      </x:c>
      <x:c r="Z210" s="18" t="str">
        <x:v>0.8679577648639679</x:v>
      </x:c>
      <x:c r="AA210" s="18" t="str">
        <x:v>0.9198348522186279</x:v>
      </x:c>
      <x:c r="AB210" s="20" t="str">
        <x:v>199.433499998122</x:v>
      </x:c>
      <x:c r="AC210" s="12" t="str">
        <x:v>overlays\neutral_009.png</x:v>
      </x:c>
      <x:c r="AD210" s="12" t="str"/>
      <x:c r="AE210" s="12" t="str"/>
      <x:c r="AF210" s="12" t="str">
        <x:v>good</x:v>
      </x:c>
      <x:c r="AG210" s="12" t="n">
        <x:v>1</x:v>
      </x:c>
      <x:c r="AH210" s="12" t="str">
        <x:v>good</x:v>
      </x:c>
      <x:c r="AI210" s="12" t="str">
        <x:v>good</x:v>
      </x:c>
      <x:c r="AJ210" s="12" t="str">
        <x:v>good</x:v>
      </x:c>
      <x:c r="AK210" s="12" t="str">
        <x:v>good</x:v>
      </x:c>
      <x:c r="AL210" s="12" t="str">
        <x:v>none</x:v>
      </x:c>
      <x:c r="AM210" s="14" t="str">
        <x:v>Clear and well-aligned facial landmarks with no major pose, crop, or occlusion issue.</x:v>
      </x:c>
    </x:row>
    <x:row r="211" ht="28" customHeight="1">
      <x:c r="A211" s="12" t="str">
        <x:v>neutral_010</x:v>
      </x:c>
      <x:c r="B211" s="12" t="str">
        <x:v>neutral</x:v>
      </x:c>
      <x:c r="C211" s="14" t="str">
        <x:v>neutral/Training_9028676.jpg</x:v>
      </x:c>
      <x:c r="D211" s="12" t="str">
        <x:v>c8c880aeabeb3d8a6386ab31520934c713d541b12b856874c7b4ff52b86d8261</x:v>
      </x:c>
      <x:c r="E211" s="12" t="str">
        <x:v>c8c880aeabeb3d8a6386ab31520934c713d541b12b856874c7b4ff52b86d8261</x:v>
      </x:c>
      <x:c r="F211" s="12" t="str">
        <x:v>True</x:v>
      </x:c>
      <x:c r="G211" s="12" t="str">
        <x:v>48</x:v>
      </x:c>
      <x:c r="H211" s="12" t="str">
        <x:v>48</x:v>
      </x:c>
      <x:c r="I211" s="12" t="str">
        <x:v>0.0</x:v>
      </x:c>
      <x:c r="J211" s="12" t="str">
        <x:v>0.0</x:v>
      </x:c>
      <x:c r="K211" s="12" t="str">
        <x:v>47.0</x:v>
      </x:c>
      <x:c r="L211" s="12" t="str">
        <x:v>47.0</x:v>
      </x:c>
      <x:c r="M211" s="12" t="str">
        <x:v>True</x:v>
      </x:c>
      <x:c r="N211" s="12" t="str">
        <x:v>68</x:v>
      </x:c>
      <x:c r="O211" s="12" t="str">
        <x:v>68</x:v>
      </x:c>
      <x:c r="P211" s="16" t="str">
        <x:v>1.0</x:v>
      </x:c>
      <x:c r="Q211" s="12" t="str">
        <x:v>67</x:v>
      </x:c>
      <x:c r="R211" s="16" t="str">
        <x:v>0.9852941176470589</x:v>
      </x:c>
      <x:c r="S211" s="12" t="str">
        <x:v>0.2</x:v>
      </x:c>
      <x:c r="T211" s="12" t="str">
        <x:v>68</x:v>
      </x:c>
      <x:c r="U211" s="16" t="str">
        <x:v>1.0</x:v>
      </x:c>
      <x:c r="V211" s="18" t="str">
        <x:v>0.7058970332145691</x:v>
      </x:c>
      <x:c r="W211" s="18" t="str">
        <x:v>0.7956083655357361</x:v>
      </x:c>
      <x:c r="X211" s="18" t="str">
        <x:v>0.8353772759437561</x:v>
      </x:c>
      <x:c r="Y211" s="18" t="str">
        <x:v>0.8345131874084473</x:v>
      </x:c>
      <x:c r="Z211" s="18" t="str">
        <x:v>0.8734657049179078</x:v>
      </x:c>
      <x:c r="AA211" s="18" t="str">
        <x:v>0.8987895250320435</x:v>
      </x:c>
      <x:c r="AB211" s="20" t="str">
        <x:v>156.36839999933727</x:v>
      </x:c>
      <x:c r="AC211" s="12" t="str">
        <x:v>overlays\neutral_010.png</x:v>
      </x:c>
      <x:c r="AD211" s="12" t="str"/>
      <x:c r="AE211" s="12" t="str"/>
      <x:c r="AF211" s="12" t="str">
        <x:v>acceptable</x:v>
      </x:c>
      <x:c r="AG211" s="12" t="n">
        <x:v>1</x:v>
      </x:c>
      <x:c r="AH211" s="12" t="str">
        <x:v>acceptable</x:v>
      </x:c>
      <x:c r="AI211" s="12" t="str">
        <x:v>acceptable</x:v>
      </x:c>
      <x:c r="AJ211" s="12" t="str">
        <x:v>acceptable</x:v>
      </x:c>
      <x:c r="AK211" s="12" t="str">
        <x:v>not_applicable</x:v>
      </x:c>
      <x:c r="AL211" s="12" t="str">
        <x:v>mild</x:v>
      </x:c>
      <x:c r="AM211" s="14" t="str">
        <x:v>Moderate pose, crop, blur, or facial texture causes minor landmark uncertainty; the result remains usable.</x:v>
      </x:c>
    </x:row>
    <x:row r="212" ht="28" customHeight="1">
      <x:c r="A212" s="12" t="str">
        <x:v>neutral_011</x:v>
      </x:c>
      <x:c r="B212" s="12" t="str">
        <x:v>neutral</x:v>
      </x:c>
      <x:c r="C212" s="14" t="str">
        <x:v>neutral/Training_39561924.jpg</x:v>
      </x:c>
      <x:c r="D212" s="12" t="str">
        <x:v>d74e247ad70480f04c78d21e0a826eef8a78681e05f71d69a48c04cc05d195f5</x:v>
      </x:c>
      <x:c r="E212" s="12" t="str">
        <x:v>d74e247ad70480f04c78d21e0a826eef8a78681e05f71d69a48c04cc05d195f5</x:v>
      </x:c>
      <x:c r="F212" s="12" t="str">
        <x:v>True</x:v>
      </x:c>
      <x:c r="G212" s="12" t="str">
        <x:v>48</x:v>
      </x:c>
      <x:c r="H212" s="12" t="str">
        <x:v>48</x:v>
      </x:c>
      <x:c r="I212" s="12" t="str">
        <x:v>0.0</x:v>
      </x:c>
      <x:c r="J212" s="12" t="str">
        <x:v>0.0</x:v>
      </x:c>
      <x:c r="K212" s="12" t="str">
        <x:v>47.0</x:v>
      </x:c>
      <x:c r="L212" s="12" t="str">
        <x:v>47.0</x:v>
      </x:c>
      <x:c r="M212" s="12" t="str">
        <x:v>True</x:v>
      </x:c>
      <x:c r="N212" s="12" t="str">
        <x:v>68</x:v>
      </x:c>
      <x:c r="O212" s="12" t="str">
        <x:v>68</x:v>
      </x:c>
      <x:c r="P212" s="16" t="str">
        <x:v>1.0</x:v>
      </x:c>
      <x:c r="Q212" s="12" t="str">
        <x:v>68</x:v>
      </x:c>
      <x:c r="R212" s="16" t="str">
        <x:v>1.0</x:v>
      </x:c>
      <x:c r="S212" s="12" t="str">
        <x:v>0.2</x:v>
      </x:c>
      <x:c r="T212" s="12" t="str">
        <x:v>68</x:v>
      </x:c>
      <x:c r="U212" s="16" t="str">
        <x:v>1.0</x:v>
      </x:c>
      <x:c r="V212" s="18" t="str">
        <x:v>0.7130888104438782</x:v>
      </x:c>
      <x:c r="W212" s="18" t="str">
        <x:v>0.7506907224655152</x:v>
      </x:c>
      <x:c r="X212" s="18" t="str">
        <x:v>0.8232094645500183</x:v>
      </x:c>
      <x:c r="Y212" s="18" t="str">
        <x:v>0.8374906778335571</x:v>
      </x:c>
      <x:c r="Z212" s="18" t="str">
        <x:v>0.8673604905605317</x:v>
      </x:c>
      <x:c r="AA212" s="18" t="str">
        <x:v>0.890379786491394</x:v>
      </x:c>
      <x:c r="AB212" s="20" t="str">
        <x:v>170.3775999994832</x:v>
      </x:c>
      <x:c r="AC212" s="12" t="str">
        <x:v>overlays\neutral_011.png</x:v>
      </x:c>
      <x:c r="AD212" s="12" t="str"/>
      <x:c r="AE212" s="12" t="str"/>
      <x:c r="AF212" s="12" t="str">
        <x:v>good</x:v>
      </x:c>
      <x:c r="AG212" s="12" t="n">
        <x:v>1</x:v>
      </x:c>
      <x:c r="AH212" s="12" t="str">
        <x:v>good</x:v>
      </x:c>
      <x:c r="AI212" s="12" t="str">
        <x:v>good</x:v>
      </x:c>
      <x:c r="AJ212" s="12" t="str">
        <x:v>good</x:v>
      </x:c>
      <x:c r="AK212" s="12" t="str">
        <x:v>not_applicable</x:v>
      </x:c>
      <x:c r="AL212" s="12" t="str">
        <x:v>none</x:v>
      </x:c>
      <x:c r="AM212" s="14" t="str">
        <x:v>Clear and well-aligned facial landmarks with no major pose, crop, or occlusion issue.</x:v>
      </x:c>
    </x:row>
    <x:row r="213" ht="28" customHeight="1">
      <x:c r="A213" s="12" t="str">
        <x:v>neutral_012</x:v>
      </x:c>
      <x:c r="B213" s="12" t="str">
        <x:v>neutral</x:v>
      </x:c>
      <x:c r="C213" s="14" t="str">
        <x:v>neutral/Training_55989345.jpg</x:v>
      </x:c>
      <x:c r="D213" s="12" t="str">
        <x:v>d00c1807a2ba9efdc8aeb3f811f669b0dace59e438c2858e1d0da95a7709ea67</x:v>
      </x:c>
      <x:c r="E213" s="12" t="str">
        <x:v>d00c1807a2ba9efdc8aeb3f811f669b0dace59e438c2858e1d0da95a7709ea67</x:v>
      </x:c>
      <x:c r="F213" s="12" t="str">
        <x:v>True</x:v>
      </x:c>
      <x:c r="G213" s="12" t="str">
        <x:v>48</x:v>
      </x:c>
      <x:c r="H213" s="12" t="str">
        <x:v>48</x:v>
      </x:c>
      <x:c r="I213" s="12" t="str">
        <x:v>0.0</x:v>
      </x:c>
      <x:c r="J213" s="12" t="str">
        <x:v>0.0</x:v>
      </x:c>
      <x:c r="K213" s="12" t="str">
        <x:v>47.0</x:v>
      </x:c>
      <x:c r="L213" s="12" t="str">
        <x:v>47.0</x:v>
      </x:c>
      <x:c r="M213" s="12" t="str">
        <x:v>True</x:v>
      </x:c>
      <x:c r="N213" s="12" t="str">
        <x:v>68</x:v>
      </x:c>
      <x:c r="O213" s="12" t="str">
        <x:v>68</x:v>
      </x:c>
      <x:c r="P213" s="16" t="str">
        <x:v>1.0</x:v>
      </x:c>
      <x:c r="Q213" s="12" t="str">
        <x:v>68</x:v>
      </x:c>
      <x:c r="R213" s="16" t="str">
        <x:v>1.0</x:v>
      </x:c>
      <x:c r="S213" s="12" t="str">
        <x:v>0.2</x:v>
      </x:c>
      <x:c r="T213" s="12" t="str">
        <x:v>68</x:v>
      </x:c>
      <x:c r="U213" s="16" t="str">
        <x:v>1.0</x:v>
      </x:c>
      <x:c r="V213" s="18" t="str">
        <x:v>0.5348209142684937</x:v>
      </x:c>
      <x:c r="W213" s="18" t="str">
        <x:v>0.628477156162262</x:v>
      </x:c>
      <x:c r="X213" s="18" t="str">
        <x:v>0.7336077690124512</x:v>
      </x:c>
      <x:c r="Y213" s="18" t="str">
        <x:v>0.7630172967910767</x:v>
      </x:c>
      <x:c r="Z213" s="18" t="str">
        <x:v>0.812138456106186</x:v>
      </x:c>
      <x:c r="AA213" s="18" t="str">
        <x:v>0.8350475430488586</x:v>
      </x:c>
      <x:c r="AB213" s="20" t="str">
        <x:v>209.37349999439903</x:v>
      </x:c>
      <x:c r="AC213" s="12" t="str">
        <x:v>overlays\neutral_012.png</x:v>
      </x:c>
      <x:c r="AD213" s="12" t="str"/>
      <x:c r="AE213" s="12" t="str"/>
      <x:c r="AF213" s="12" t="str">
        <x:v>acceptable</x:v>
      </x:c>
      <x:c r="AG213" s="12" t="n">
        <x:v>1</x:v>
      </x:c>
      <x:c r="AH213" s="12" t="str">
        <x:v>acceptable</x:v>
      </x:c>
      <x:c r="AI213" s="12" t="str">
        <x:v>acceptable</x:v>
      </x:c>
      <x:c r="AJ213" s="12" t="str">
        <x:v>acceptable</x:v>
      </x:c>
      <x:c r="AK213" s="12" t="str">
        <x:v>not_applicable</x:v>
      </x:c>
      <x:c r="AL213" s="12" t="str">
        <x:v>mild</x:v>
      </x:c>
      <x:c r="AM213" s="14" t="str">
        <x:v>Moderate pose, crop, blur, or facial texture causes minor landmark uncertainty; the result remains usable.</x:v>
      </x:c>
    </x:row>
    <x:row r="214" ht="28" customHeight="1">
      <x:c r="A214" s="12" t="str">
        <x:v>neutral_013</x:v>
      </x:c>
      <x:c r="B214" s="12" t="str">
        <x:v>neutral</x:v>
      </x:c>
      <x:c r="C214" s="14" t="str">
        <x:v>neutral/Training_68746678.jpg</x:v>
      </x:c>
      <x:c r="D214" s="12" t="str">
        <x:v>9726c30977a7d8b938434b97083cb1e0b7a348a563777d08b4198fbcfa0b30e2</x:v>
      </x:c>
      <x:c r="E214" s="12" t="str">
        <x:v>9726c30977a7d8b938434b97083cb1e0b7a348a563777d08b4198fbcfa0b30e2</x:v>
      </x:c>
      <x:c r="F214" s="12" t="str">
        <x:v>True</x:v>
      </x:c>
      <x:c r="G214" s="12" t="str">
        <x:v>48</x:v>
      </x:c>
      <x:c r="H214" s="12" t="str">
        <x:v>48</x:v>
      </x:c>
      <x:c r="I214" s="12" t="str">
        <x:v>0.0</x:v>
      </x:c>
      <x:c r="J214" s="12" t="str">
        <x:v>0.0</x:v>
      </x:c>
      <x:c r="K214" s="12" t="str">
        <x:v>47.0</x:v>
      </x:c>
      <x:c r="L214" s="12" t="str">
        <x:v>47.0</x:v>
      </x:c>
      <x:c r="M214" s="12" t="str">
        <x:v>True</x:v>
      </x:c>
      <x:c r="N214" s="12" t="str">
        <x:v>68</x:v>
      </x:c>
      <x:c r="O214" s="12" t="str">
        <x:v>68</x:v>
      </x:c>
      <x:c r="P214" s="16" t="str">
        <x:v>1.0</x:v>
      </x:c>
      <x:c r="Q214" s="12" t="str">
        <x:v>42</x:v>
      </x:c>
      <x:c r="R214" s="16" t="str">
        <x:v>0.6176470588235294</x:v>
      </x:c>
      <x:c r="S214" s="12" t="str">
        <x:v>0.2</x:v>
      </x:c>
      <x:c r="T214" s="12" t="str">
        <x:v>68</x:v>
      </x:c>
      <x:c r="U214" s="16" t="str">
        <x:v>1.0</x:v>
      </x:c>
      <x:c r="V214" s="18" t="str">
        <x:v>0.49991413950920105</x:v>
      </x:c>
      <x:c r="W214" s="18" t="str">
        <x:v>0.644749003648758</x:v>
      </x:c>
      <x:c r="X214" s="18" t="str">
        <x:v>0.7570418119430542</x:v>
      </x:c>
      <x:c r="Y214" s="18" t="str">
        <x:v>0.7953413128852844</x:v>
      </x:c>
      <x:c r="Z214" s="18" t="str">
        <x:v>0.8348493218421936</x:v>
      </x:c>
      <x:c r="AA214" s="18" t="str">
        <x:v>0.8654171228408813</x:v>
      </x:c>
      <x:c r="AB214" s="20" t="str">
        <x:v>196.04989999788813</x:v>
      </x:c>
      <x:c r="AC214" s="12" t="str">
        <x:v>overlays\neutral_013.png</x:v>
      </x:c>
      <x:c r="AD214" s="12" t="str"/>
      <x:c r="AE214" s="12" t="str"/>
      <x:c r="AF214" s="12" t="str">
        <x:v>acceptable</x:v>
      </x:c>
      <x:c r="AG214" s="12" t="n">
        <x:v>1</x:v>
      </x:c>
      <x:c r="AH214" s="12" t="str">
        <x:v>acceptable</x:v>
      </x:c>
      <x:c r="AI214" s="12" t="str">
        <x:v>acceptable</x:v>
      </x:c>
      <x:c r="AJ214" s="12" t="str">
        <x:v>acceptable</x:v>
      </x:c>
      <x:c r="AK214" s="12" t="str">
        <x:v>not_applicable</x:v>
      </x:c>
      <x:c r="AL214" s="12" t="str">
        <x:v>mild</x:v>
      </x:c>
      <x:c r="AM214" s="14" t="str">
        <x:v>Tight crop places several contour points outside the frame; central facial landmarks remain usable.</x:v>
      </x:c>
    </x:row>
    <x:row r="215" ht="28" customHeight="1">
      <x:c r="A215" s="12" t="str">
        <x:v>neutral_014</x:v>
      </x:c>
      <x:c r="B215" s="12" t="str">
        <x:v>neutral</x:v>
      </x:c>
      <x:c r="C215" s="14" t="str">
        <x:v>neutral/Training_64976925.jpg</x:v>
      </x:c>
      <x:c r="D215" s="12" t="str">
        <x:v>513915fb6bff4568528c91981db630eac7fff3dffe5ce253a6a95e999870663a</x:v>
      </x:c>
      <x:c r="E215" s="12" t="str">
        <x:v>513915fb6bff4568528c91981db630eac7fff3dffe5ce253a6a95e999870663a</x:v>
      </x:c>
      <x:c r="F215" s="12" t="str">
        <x:v>True</x:v>
      </x:c>
      <x:c r="G215" s="12" t="str">
        <x:v>48</x:v>
      </x:c>
      <x:c r="H215" s="12" t="str">
        <x:v>48</x:v>
      </x:c>
      <x:c r="I215" s="12" t="str">
        <x:v>0.0</x:v>
      </x:c>
      <x:c r="J215" s="12" t="str">
        <x:v>0.0</x:v>
      </x:c>
      <x:c r="K215" s="12" t="str">
        <x:v>47.0</x:v>
      </x:c>
      <x:c r="L215" s="12" t="str">
        <x:v>47.0</x:v>
      </x:c>
      <x:c r="M215" s="12" t="str">
        <x:v>True</x:v>
      </x:c>
      <x:c r="N215" s="12" t="str">
        <x:v>68</x:v>
      </x:c>
      <x:c r="O215" s="12" t="str">
        <x:v>68</x:v>
      </x:c>
      <x:c r="P215" s="16" t="str">
        <x:v>1.0</x:v>
      </x:c>
      <x:c r="Q215" s="12" t="str">
        <x:v>68</x:v>
      </x:c>
      <x:c r="R215" s="16" t="str">
        <x:v>1.0</x:v>
      </x:c>
      <x:c r="S215" s="12" t="str">
        <x:v>0.2</x:v>
      </x:c>
      <x:c r="T215" s="12" t="str">
        <x:v>68</x:v>
      </x:c>
      <x:c r="U215" s="16" t="str">
        <x:v>1.0</x:v>
      </x:c>
      <x:c r="V215" s="18" t="str">
        <x:v>0.4144163131713867</x:v>
      </x:c>
      <x:c r="W215" s="18" t="str">
        <x:v>0.6377182960510254</x:v>
      </x:c>
      <x:c r="X215" s="18" t="str">
        <x:v>0.7543624043464661</x:v>
      </x:c>
      <x:c r="Y215" s="18" t="str">
        <x:v>0.7851731777191162</x:v>
      </x:c>
      <x:c r="Z215" s="18" t="str">
        <x:v>0.8409700572490693</x:v>
      </x:c>
      <x:c r="AA215" s="18" t="str">
        <x:v>0.8769943118095398</x:v>
      </x:c>
      <x:c r="AB215" s="20" t="str">
        <x:v>176.23679999815067</x:v>
      </x:c>
      <x:c r="AC215" s="12" t="str">
        <x:v>overlays\neutral_014.png</x:v>
      </x:c>
      <x:c r="AD215" s="12" t="str"/>
      <x:c r="AE215" s="12" t="str"/>
      <x:c r="AF215" s="12" t="str">
        <x:v>acceptable</x:v>
      </x:c>
      <x:c r="AG215" s="12" t="n">
        <x:v>1</x:v>
      </x:c>
      <x:c r="AH215" s="12" t="str">
        <x:v>acceptable</x:v>
      </x:c>
      <x:c r="AI215" s="12" t="str">
        <x:v>acceptable</x:v>
      </x:c>
      <x:c r="AJ215" s="12" t="str">
        <x:v>acceptable</x:v>
      </x:c>
      <x:c r="AK215" s="12" t="str">
        <x:v>not_applicable</x:v>
      </x:c>
      <x:c r="AL215" s="12" t="str">
        <x:v>mild</x:v>
      </x:c>
      <x:c r="AM215" s="14" t="str">
        <x:v>Moderate pose, crop, blur, or facial texture causes minor landmark uncertainty; the result remains usable.</x:v>
      </x:c>
    </x:row>
    <x:row r="216" ht="28" customHeight="1">
      <x:c r="A216" s="12" t="str">
        <x:v>neutral_015</x:v>
      </x:c>
      <x:c r="B216" s="12" t="str">
        <x:v>neutral</x:v>
      </x:c>
      <x:c r="C216" s="14" t="str">
        <x:v>neutral/Training_7509514.jpg</x:v>
      </x:c>
      <x:c r="D216" s="12" t="str">
        <x:v>06b59f5bc5450b838114fef47c4fd630c05dafc85189e9cb942166399528bbc7</x:v>
      </x:c>
      <x:c r="E216" s="12" t="str">
        <x:v>06b59f5bc5450b838114fef47c4fd630c05dafc85189e9cb942166399528bbc7</x:v>
      </x:c>
      <x:c r="F216" s="12" t="str">
        <x:v>True</x:v>
      </x:c>
      <x:c r="G216" s="12" t="str">
        <x:v>48</x:v>
      </x:c>
      <x:c r="H216" s="12" t="str">
        <x:v>48</x:v>
      </x:c>
      <x:c r="I216" s="12" t="str">
        <x:v>0.0</x:v>
      </x:c>
      <x:c r="J216" s="12" t="str">
        <x:v>0.0</x:v>
      </x:c>
      <x:c r="K216" s="12" t="str">
        <x:v>47.0</x:v>
      </x:c>
      <x:c r="L216" s="12" t="str">
        <x:v>47.0</x:v>
      </x:c>
      <x:c r="M216" s="12" t="str">
        <x:v>True</x:v>
      </x:c>
      <x:c r="N216" s="12" t="str">
        <x:v>68</x:v>
      </x:c>
      <x:c r="O216" s="12" t="str">
        <x:v>68</x:v>
      </x:c>
      <x:c r="P216" s="16" t="str">
        <x:v>1.0</x:v>
      </x:c>
      <x:c r="Q216" s="12" t="str">
        <x:v>67</x:v>
      </x:c>
      <x:c r="R216" s="16" t="str">
        <x:v>0.9852941176470589</x:v>
      </x:c>
      <x:c r="S216" s="12" t="str">
        <x:v>0.2</x:v>
      </x:c>
      <x:c r="T216" s="12" t="str">
        <x:v>68</x:v>
      </x:c>
      <x:c r="U216" s="16" t="str">
        <x:v>1.0</x:v>
      </x:c>
      <x:c r="V216" s="18" t="str">
        <x:v>0.676476776599884</x:v>
      </x:c>
      <x:c r="W216" s="18" t="str">
        <x:v>0.7678268551826477</x:v>
      </x:c>
      <x:c r="X216" s="18" t="str">
        <x:v>0.8197058439254761</x:v>
      </x:c>
      <x:c r="Y216" s="18" t="str">
        <x:v>0.8289573192596436</x:v>
      </x:c>
      <x:c r="Z216" s="18" t="str">
        <x:v>0.8556537330150604</x:v>
      </x:c>
      <x:c r="AA216" s="18" t="str">
        <x:v>0.8894402980804443</x:v>
      </x:c>
      <x:c r="AB216" s="20" t="str">
        <x:v>181.42190000071423</x:v>
      </x:c>
      <x:c r="AC216" s="12" t="str">
        <x:v>overlays\neutral_015.png</x:v>
      </x:c>
      <x:c r="AD216" s="12" t="str"/>
      <x:c r="AE216" s="12" t="str"/>
      <x:c r="AF216" s="12" t="str">
        <x:v>good</x:v>
      </x:c>
      <x:c r="AG216" s="12" t="n">
        <x:v>1</x:v>
      </x:c>
      <x:c r="AH216" s="12" t="str">
        <x:v>good</x:v>
      </x:c>
      <x:c r="AI216" s="12" t="str">
        <x:v>good</x:v>
      </x:c>
      <x:c r="AJ216" s="12" t="str">
        <x:v>good</x:v>
      </x:c>
      <x:c r="AK216" s="12" t="str">
        <x:v>not_applicable</x:v>
      </x:c>
      <x:c r="AL216" s="12" t="str">
        <x:v>none</x:v>
      </x:c>
      <x:c r="AM216" s="14" t="str">
        <x:v>Clear and well-aligned facial landmarks with no major pose, crop, or occlusion issue.</x:v>
      </x:c>
    </x:row>
    <x:row r="217" ht="28" customHeight="1">
      <x:c r="A217" s="12" t="str">
        <x:v>neutral_016</x:v>
      </x:c>
      <x:c r="B217" s="12" t="str">
        <x:v>neutral</x:v>
      </x:c>
      <x:c r="C217" s="14" t="str">
        <x:v>neutral/Training_86836016.jpg</x:v>
      </x:c>
      <x:c r="D217" s="12" t="str">
        <x:v>e0ec3fd9f8679ceb30ac16f90702a72bf0c388f5e330b8af2b2506e6bead2a49</x:v>
      </x:c>
      <x:c r="E217" s="12" t="str">
        <x:v>e0ec3fd9f8679ceb30ac16f90702a72bf0c388f5e330b8af2b2506e6bead2a49</x:v>
      </x:c>
      <x:c r="F217" s="12" t="str">
        <x:v>True</x:v>
      </x:c>
      <x:c r="G217" s="12" t="str">
        <x:v>48</x:v>
      </x:c>
      <x:c r="H217" s="12" t="str">
        <x:v>48</x:v>
      </x:c>
      <x:c r="I217" s="12" t="str">
        <x:v>0.0</x:v>
      </x:c>
      <x:c r="J217" s="12" t="str">
        <x:v>0.0</x:v>
      </x:c>
      <x:c r="K217" s="12" t="str">
        <x:v>47.0</x:v>
      </x:c>
      <x:c r="L217" s="12" t="str">
        <x:v>47.0</x:v>
      </x:c>
      <x:c r="M217" s="12" t="str">
        <x:v>True</x:v>
      </x:c>
      <x:c r="N217" s="12" t="str">
        <x:v>68</x:v>
      </x:c>
      <x:c r="O217" s="12" t="str">
        <x:v>68</x:v>
      </x:c>
      <x:c r="P217" s="16" t="str">
        <x:v>1.0</x:v>
      </x:c>
      <x:c r="Q217" s="12" t="str">
        <x:v>65</x:v>
      </x:c>
      <x:c r="R217" s="16" t="str">
        <x:v>0.9558823529411765</x:v>
      </x:c>
      <x:c r="S217" s="12" t="str">
        <x:v>0.2</x:v>
      </x:c>
      <x:c r="T217" s="12" t="str">
        <x:v>68</x:v>
      </x:c>
      <x:c r="U217" s="16" t="str">
        <x:v>1.0</x:v>
      </x:c>
      <x:c r="V217" s="18" t="str">
        <x:v>0.7021589875221252</x:v>
      </x:c>
      <x:c r="W217" s="18" t="str">
        <x:v>0.74017533659935</x:v>
      </x:c>
      <x:c r="X217" s="18" t="str">
        <x:v>0.8145292401313782</x:v>
      </x:c>
      <x:c r="Y217" s="18" t="str">
        <x:v>0.825098991394043</x:v>
      </x:c>
      <x:c r="Z217" s="18" t="str">
        <x:v>0.8726709306240081</x:v>
      </x:c>
      <x:c r="AA217" s="18" t="str">
        <x:v>0.8954959511756897</x:v>
      </x:c>
      <x:c r="AB217" s="20" t="str">
        <x:v>159.0619999988121</x:v>
      </x:c>
      <x:c r="AC217" s="12" t="str">
        <x:v>overlays\neutral_016.png</x:v>
      </x:c>
      <x:c r="AD217" s="12" t="str"/>
      <x:c r="AE217" s="12" t="str"/>
      <x:c r="AF217" s="12" t="str">
        <x:v>good</x:v>
      </x:c>
      <x:c r="AG217" s="12" t="n">
        <x:v>1</x:v>
      </x:c>
      <x:c r="AH217" s="12" t="str">
        <x:v>good</x:v>
      </x:c>
      <x:c r="AI217" s="12" t="str">
        <x:v>good</x:v>
      </x:c>
      <x:c r="AJ217" s="12" t="str">
        <x:v>good</x:v>
      </x:c>
      <x:c r="AK217" s="12" t="str">
        <x:v>not_applicable</x:v>
      </x:c>
      <x:c r="AL217" s="12" t="str">
        <x:v>none</x:v>
      </x:c>
      <x:c r="AM217" s="14" t="str">
        <x:v>Clear and well-aligned facial landmarks with no major pose, crop, or occlusion issue.</x:v>
      </x:c>
    </x:row>
    <x:row r="218" ht="28" customHeight="1">
      <x:c r="A218" s="12" t="str">
        <x:v>neutral_017</x:v>
      </x:c>
      <x:c r="B218" s="12" t="str">
        <x:v>neutral</x:v>
      </x:c>
      <x:c r="C218" s="14" t="str">
        <x:v>neutral/Training_77226354.jpg</x:v>
      </x:c>
      <x:c r="D218" s="12" t="str">
        <x:v>fc0dd8b5115ed7fc4fbf52c2662409cb439d863d9cfb41d92102510addaa5ae4</x:v>
      </x:c>
      <x:c r="E218" s="12" t="str">
        <x:v>fc0dd8b5115ed7fc4fbf52c2662409cb439d863d9cfb41d92102510addaa5ae4</x:v>
      </x:c>
      <x:c r="F218" s="12" t="str">
        <x:v>True</x:v>
      </x:c>
      <x:c r="G218" s="12" t="str">
        <x:v>48</x:v>
      </x:c>
      <x:c r="H218" s="12" t="str">
        <x:v>48</x:v>
      </x:c>
      <x:c r="I218" s="12" t="str">
        <x:v>0.0</x:v>
      </x:c>
      <x:c r="J218" s="12" t="str">
        <x:v>0.0</x:v>
      </x:c>
      <x:c r="K218" s="12" t="str">
        <x:v>47.0</x:v>
      </x:c>
      <x:c r="L218" s="12" t="str">
        <x:v>47.0</x:v>
      </x:c>
      <x:c r="M218" s="12" t="str">
        <x:v>True</x:v>
      </x:c>
      <x:c r="N218" s="12" t="str">
        <x:v>68</x:v>
      </x:c>
      <x:c r="O218" s="12" t="str">
        <x:v>68</x:v>
      </x:c>
      <x:c r="P218" s="16" t="str">
        <x:v>1.0</x:v>
      </x:c>
      <x:c r="Q218" s="12" t="str">
        <x:v>66</x:v>
      </x:c>
      <x:c r="R218" s="16" t="str">
        <x:v>0.9705882352941176</x:v>
      </x:c>
      <x:c r="S218" s="12" t="str">
        <x:v>0.2</x:v>
      </x:c>
      <x:c r="T218" s="12" t="str">
        <x:v>68</x:v>
      </x:c>
      <x:c r="U218" s="16" t="str">
        <x:v>1.0</x:v>
      </x:c>
      <x:c r="V218" s="18" t="str">
        <x:v>0.5646913647651672</x:v>
      </x:c>
      <x:c r="W218" s="18" t="str">
        <x:v>0.6712503135204315</x:v>
      </x:c>
      <x:c r="X218" s="18" t="str">
        <x:v>0.7812870740890503</x:v>
      </x:c>
      <x:c r="Y218" s="18" t="str">
        <x:v>0.8013142347335815</x:v>
      </x:c>
      <x:c r="Z218" s="18" t="str">
        <x:v>0.845185261964798</x:v>
      </x:c>
      <x:c r="AA218" s="18" t="str">
        <x:v>0.900908887386322</x:v>
      </x:c>
      <x:c r="AB218" s="20" t="str">
        <x:v>183.98119999619666</x:v>
      </x:c>
      <x:c r="AC218" s="12" t="str">
        <x:v>overlays\neutral_017.png</x:v>
      </x:c>
      <x:c r="AD218" s="12" t="str"/>
      <x:c r="AE218" s="12" t="str"/>
      <x:c r="AF218" s="12" t="str">
        <x:v>good</x:v>
      </x:c>
      <x:c r="AG218" s="12" t="n">
        <x:v>1</x:v>
      </x:c>
      <x:c r="AH218" s="12" t="str">
        <x:v>good</x:v>
      </x:c>
      <x:c r="AI218" s="12" t="str">
        <x:v>good</x:v>
      </x:c>
      <x:c r="AJ218" s="12" t="str">
        <x:v>good</x:v>
      </x:c>
      <x:c r="AK218" s="12" t="str">
        <x:v>not_applicable</x:v>
      </x:c>
      <x:c r="AL218" s="12" t="str">
        <x:v>none</x:v>
      </x:c>
      <x:c r="AM218" s="14" t="str">
        <x:v>Clear and well-aligned facial landmarks with no major pose, crop, or occlusion issue.</x:v>
      </x:c>
    </x:row>
    <x:row r="219" ht="28" customHeight="1">
      <x:c r="A219" s="12" t="str">
        <x:v>neutral_018</x:v>
      </x:c>
      <x:c r="B219" s="12" t="str">
        <x:v>neutral</x:v>
      </x:c>
      <x:c r="C219" s="14" t="str">
        <x:v>neutral/Training_2691434.jpg</x:v>
      </x:c>
      <x:c r="D219" s="12" t="str">
        <x:v>d5388a86e9e9eb727d196431cca037c382e4591e5027b93970b0c67ded3b24aa</x:v>
      </x:c>
      <x:c r="E219" s="12" t="str">
        <x:v>d5388a86e9e9eb727d196431cca037c382e4591e5027b93970b0c67ded3b24aa</x:v>
      </x:c>
      <x:c r="F219" s="12" t="str">
        <x:v>True</x:v>
      </x:c>
      <x:c r="G219" s="12" t="str">
        <x:v>48</x:v>
      </x:c>
      <x:c r="H219" s="12" t="str">
        <x:v>48</x:v>
      </x:c>
      <x:c r="I219" s="12" t="str">
        <x:v>0.0</x:v>
      </x:c>
      <x:c r="J219" s="12" t="str">
        <x:v>0.0</x:v>
      </x:c>
      <x:c r="K219" s="12" t="str">
        <x:v>47.0</x:v>
      </x:c>
      <x:c r="L219" s="12" t="str">
        <x:v>47.0</x:v>
      </x:c>
      <x:c r="M219" s="12" t="str">
        <x:v>True</x:v>
      </x:c>
      <x:c r="N219" s="12" t="str">
        <x:v>68</x:v>
      </x:c>
      <x:c r="O219" s="12" t="str">
        <x:v>68</x:v>
      </x:c>
      <x:c r="P219" s="16" t="str">
        <x:v>1.0</x:v>
      </x:c>
      <x:c r="Q219" s="12" t="str">
        <x:v>67</x:v>
      </x:c>
      <x:c r="R219" s="16" t="str">
        <x:v>0.9852941176470589</x:v>
      </x:c>
      <x:c r="S219" s="12" t="str">
        <x:v>0.2</x:v>
      </x:c>
      <x:c r="T219" s="12" t="str">
        <x:v>68</x:v>
      </x:c>
      <x:c r="U219" s="16" t="str">
        <x:v>1.0</x:v>
      </x:c>
      <x:c r="V219" s="18" t="str">
        <x:v>0.7514232993125916</x:v>
      </x:c>
      <x:c r="W219" s="18" t="str">
        <x:v>0.7852841496467591</x:v>
      </x:c>
      <x:c r="X219" s="18" t="str">
        <x:v>0.8440564870834351</x:v>
      </x:c>
      <x:c r="Y219" s="18" t="str">
        <x:v>0.8529114127159119</x:v>
      </x:c>
      <x:c r="Z219" s="18" t="str">
        <x:v>0.8916066944599151</x:v>
      </x:c>
      <x:c r="AA219" s="18" t="str">
        <x:v>0.9151715636253357</x:v>
      </x:c>
      <x:c r="AB219" s="20" t="str">
        <x:v>178.4607000008691</x:v>
      </x:c>
      <x:c r="AC219" s="12" t="str">
        <x:v>overlays\neutral_018.png</x:v>
      </x:c>
      <x:c r="AD219" s="12" t="str"/>
      <x:c r="AE219" s="12" t="str"/>
      <x:c r="AF219" s="12" t="str">
        <x:v>good</x:v>
      </x:c>
      <x:c r="AG219" s="12" t="n">
        <x:v>1</x:v>
      </x:c>
      <x:c r="AH219" s="12" t="str">
        <x:v>good</x:v>
      </x:c>
      <x:c r="AI219" s="12" t="str">
        <x:v>good</x:v>
      </x:c>
      <x:c r="AJ219" s="12" t="str">
        <x:v>good</x:v>
      </x:c>
      <x:c r="AK219" s="12" t="str">
        <x:v>not_applicable</x:v>
      </x:c>
      <x:c r="AL219" s="12" t="str">
        <x:v>none</x:v>
      </x:c>
      <x:c r="AM219" s="14" t="str">
        <x:v>Clear and well-aligned facial landmarks with no major pose, crop, or occlusion issue.</x:v>
      </x:c>
    </x:row>
    <x:row r="220" ht="28" customHeight="1">
      <x:c r="A220" s="12" t="str">
        <x:v>neutral_019</x:v>
      </x:c>
      <x:c r="B220" s="12" t="str">
        <x:v>neutral</x:v>
      </x:c>
      <x:c r="C220" s="14" t="str">
        <x:v>neutral/Training_46447165.jpg</x:v>
      </x:c>
      <x:c r="D220" s="12" t="str">
        <x:v>f68c63e5248cd60ca9bf84b87464867802ef76bc7299477f5afa3b3780eee5fa</x:v>
      </x:c>
      <x:c r="E220" s="12" t="str">
        <x:v>f68c63e5248cd60ca9bf84b87464867802ef76bc7299477f5afa3b3780eee5fa</x:v>
      </x:c>
      <x:c r="F220" s="12" t="str">
        <x:v>True</x:v>
      </x:c>
      <x:c r="G220" s="12" t="str">
        <x:v>48</x:v>
      </x:c>
      <x:c r="H220" s="12" t="str">
        <x:v>48</x:v>
      </x:c>
      <x:c r="I220" s="12" t="str">
        <x:v>0.0</x:v>
      </x:c>
      <x:c r="J220" s="12" t="str">
        <x:v>0.0</x:v>
      </x:c>
      <x:c r="K220" s="12" t="str">
        <x:v>47.0</x:v>
      </x:c>
      <x:c r="L220" s="12" t="str">
        <x:v>47.0</x:v>
      </x:c>
      <x:c r="M220" s="12" t="str">
        <x:v>True</x:v>
      </x:c>
      <x:c r="N220" s="12" t="str">
        <x:v>68</x:v>
      </x:c>
      <x:c r="O220" s="12" t="str">
        <x:v>68</x:v>
      </x:c>
      <x:c r="P220" s="16" t="str">
        <x:v>1.0</x:v>
      </x:c>
      <x:c r="Q220" s="12" t="str">
        <x:v>68</x:v>
      </x:c>
      <x:c r="R220" s="16" t="str">
        <x:v>1.0</x:v>
      </x:c>
      <x:c r="S220" s="12" t="str">
        <x:v>0.2</x:v>
      </x:c>
      <x:c r="T220" s="12" t="str">
        <x:v>68</x:v>
      </x:c>
      <x:c r="U220" s="16" t="str">
        <x:v>1.0</x:v>
      </x:c>
      <x:c r="V220" s="18" t="str">
        <x:v>0.7589958906173706</x:v>
      </x:c>
      <x:c r="W220" s="18" t="str">
        <x:v>0.7802008628845215</x:v>
      </x:c>
      <x:c r="X220" s="18" t="str">
        <x:v>0.8223555088043213</x:v>
      </x:c>
      <x:c r="Y220" s="18" t="str">
        <x:v>0.8241059184074402</x:v>
      </x:c>
      <x:c r="Z220" s="18" t="str">
        <x:v>0.863617080450058</x:v>
      </x:c>
      <x:c r="AA220" s="18" t="str">
        <x:v>0.873370349407196</x:v>
      </x:c>
      <x:c r="AB220" s="20" t="str">
        <x:v>230.87179999856744</x:v>
      </x:c>
      <x:c r="AC220" s="12" t="str">
        <x:v>overlays\neutral_019.png</x:v>
      </x:c>
      <x:c r="AD220" s="12" t="str"/>
      <x:c r="AE220" s="12" t="str"/>
      <x:c r="AF220" s="12" t="str">
        <x:v>acceptable</x:v>
      </x:c>
      <x:c r="AG220" s="12" t="n">
        <x:v>1</x:v>
      </x:c>
      <x:c r="AH220" s="12" t="str">
        <x:v>acceptable</x:v>
      </x:c>
      <x:c r="AI220" s="12" t="str">
        <x:v>acceptable</x:v>
      </x:c>
      <x:c r="AJ220" s="12" t="str">
        <x:v>acceptable</x:v>
      </x:c>
      <x:c r="AK220" s="12" t="str">
        <x:v>not_applicable</x:v>
      </x:c>
      <x:c r="AL220" s="12" t="str">
        <x:v>mild</x:v>
      </x:c>
      <x:c r="AM220" s="14" t="str">
        <x:v>Moderate pose, crop, blur, or facial texture causes minor landmark uncertainty; the result remains usable.</x:v>
      </x:c>
    </x:row>
    <x:row r="221" ht="28" customHeight="1">
      <x:c r="A221" s="12" t="str">
        <x:v>neutral_020</x:v>
      </x:c>
      <x:c r="B221" s="12" t="str">
        <x:v>neutral</x:v>
      </x:c>
      <x:c r="C221" s="14" t="str">
        <x:v>neutral/Training_42619196.jpg</x:v>
      </x:c>
      <x:c r="D221" s="12" t="str">
        <x:v>a526261d24a544066c1dce3e9cd4eb99a1438068a2ade825c786f119eaab4e30</x:v>
      </x:c>
      <x:c r="E221" s="12" t="str">
        <x:v>a526261d24a544066c1dce3e9cd4eb99a1438068a2ade825c786f119eaab4e30</x:v>
      </x:c>
      <x:c r="F221" s="12" t="str">
        <x:v>True</x:v>
      </x:c>
      <x:c r="G221" s="12" t="str">
        <x:v>48</x:v>
      </x:c>
      <x:c r="H221" s="12" t="str">
        <x:v>48</x:v>
      </x:c>
      <x:c r="I221" s="12" t="str">
        <x:v>0.0</x:v>
      </x:c>
      <x:c r="J221" s="12" t="str">
        <x:v>0.0</x:v>
      </x:c>
      <x:c r="K221" s="12" t="str">
        <x:v>47.0</x:v>
      </x:c>
      <x:c r="L221" s="12" t="str">
        <x:v>47.0</x:v>
      </x:c>
      <x:c r="M221" s="12" t="str">
        <x:v>True</x:v>
      </x:c>
      <x:c r="N221" s="12" t="str">
        <x:v>68</x:v>
      </x:c>
      <x:c r="O221" s="12" t="str">
        <x:v>68</x:v>
      </x:c>
      <x:c r="P221" s="16" t="str">
        <x:v>1.0</x:v>
      </x:c>
      <x:c r="Q221" s="12" t="str">
        <x:v>68</x:v>
      </x:c>
      <x:c r="R221" s="16" t="str">
        <x:v>1.0</x:v>
      </x:c>
      <x:c r="S221" s="12" t="str">
        <x:v>0.2</x:v>
      </x:c>
      <x:c r="T221" s="12" t="str">
        <x:v>68</x:v>
      </x:c>
      <x:c r="U221" s="16" t="str">
        <x:v>1.0</x:v>
      </x:c>
      <x:c r="V221" s="18" t="str">
        <x:v>0.6797598600387573</x:v>
      </x:c>
      <x:c r="W221" s="18" t="str">
        <x:v>0.7272149801254273</x:v>
      </x:c>
      <x:c r="X221" s="18" t="str">
        <x:v>0.8027389049530029</x:v>
      </x:c>
      <x:c r="Y221" s="18" t="str">
        <x:v>0.8097933530807495</x:v>
      </x:c>
      <x:c r="Z221" s="18" t="str">
        <x:v>0.8656581699848175</x:v>
      </x:c>
      <x:c r="AA221" s="18" t="str">
        <x:v>0.8871814012527466</x:v>
      </x:c>
      <x:c r="AB221" s="20" t="str">
        <x:v>187.89210000250023</x:v>
      </x:c>
      <x:c r="AC221" s="12" t="str">
        <x:v>overlays\neutral_020.png</x:v>
      </x:c>
      <x:c r="AD221" s="12" t="str"/>
      <x:c r="AE221" s="12" t="str"/>
      <x:c r="AF221" s="12" t="str">
        <x:v>acceptable</x:v>
      </x:c>
      <x:c r="AG221" s="12" t="n">
        <x:v>1</x:v>
      </x:c>
      <x:c r="AH221" s="12" t="str">
        <x:v>acceptable</x:v>
      </x:c>
      <x:c r="AI221" s="12" t="str">
        <x:v>acceptable</x:v>
      </x:c>
      <x:c r="AJ221" s="12" t="str">
        <x:v>acceptable</x:v>
      </x:c>
      <x:c r="AK221" s="12" t="str">
        <x:v>not_applicable</x:v>
      </x:c>
      <x:c r="AL221" s="12" t="str">
        <x:v>mild</x:v>
      </x:c>
      <x:c r="AM221" s="14" t="str">
        <x:v>Moderate pose, crop, blur, or facial texture causes minor landmark uncertainty; the result remains usable.</x:v>
      </x:c>
    </x:row>
    <x:row r="222" ht="28" customHeight="1">
      <x:c r="A222" s="12" t="str">
        <x:v>neutral_021</x:v>
      </x:c>
      <x:c r="B222" s="12" t="str">
        <x:v>neutral</x:v>
      </x:c>
      <x:c r="C222" s="14" t="str">
        <x:v>neutral/Training_1894515.jpg</x:v>
      </x:c>
      <x:c r="D222" s="12" t="str">
        <x:v>7db7b8c79e66690bcfe44ac11a94dece2b004ee3bfbb6e29e32275a6c9a99f0b</x:v>
      </x:c>
      <x:c r="E222" s="12" t="str">
        <x:v>7db7b8c79e66690bcfe44ac11a94dece2b004ee3bfbb6e29e32275a6c9a99f0b</x:v>
      </x:c>
      <x:c r="F222" s="12" t="str">
        <x:v>True</x:v>
      </x:c>
      <x:c r="G222" s="12" t="str">
        <x:v>48</x:v>
      </x:c>
      <x:c r="H222" s="12" t="str">
        <x:v>48</x:v>
      </x:c>
      <x:c r="I222" s="12" t="str">
        <x:v>0.0</x:v>
      </x:c>
      <x:c r="J222" s="12" t="str">
        <x:v>0.0</x:v>
      </x:c>
      <x:c r="K222" s="12" t="str">
        <x:v>47.0</x:v>
      </x:c>
      <x:c r="L222" s="12" t="str">
        <x:v>47.0</x:v>
      </x:c>
      <x:c r="M222" s="12" t="str">
        <x:v>True</x:v>
      </x:c>
      <x:c r="N222" s="12" t="str">
        <x:v>68</x:v>
      </x:c>
      <x:c r="O222" s="12" t="str">
        <x:v>68</x:v>
      </x:c>
      <x:c r="P222" s="16" t="str">
        <x:v>1.0</x:v>
      </x:c>
      <x:c r="Q222" s="12" t="str">
        <x:v>68</x:v>
      </x:c>
      <x:c r="R222" s="16" t="str">
        <x:v>1.0</x:v>
      </x:c>
      <x:c r="S222" s="12" t="str">
        <x:v>0.2</x:v>
      </x:c>
      <x:c r="T222" s="12" t="str">
        <x:v>68</x:v>
      </x:c>
      <x:c r="U222" s="16" t="str">
        <x:v>1.0</x:v>
      </x:c>
      <x:c r="V222" s="18" t="str">
        <x:v>0.6467999219894409</x:v>
      </x:c>
      <x:c r="W222" s="18" t="str">
        <x:v>0.7067903041839599</x:v>
      </x:c>
      <x:c r="X222" s="18" t="str">
        <x:v>0.7969347834587097</x:v>
      </x:c>
      <x:c r="Y222" s="18" t="str">
        <x:v>0.8117501735687256</x:v>
      </x:c>
      <x:c r="Z222" s="18" t="str">
        <x:v>0.8476880669593811</x:v>
      </x:c>
      <x:c r="AA222" s="18" t="str">
        <x:v>0.8855207562446594</x:v>
      </x:c>
      <x:c r="AB222" s="20" t="str">
        <x:v>184.72029999975348</x:v>
      </x:c>
      <x:c r="AC222" s="12" t="str">
        <x:v>overlays\neutral_021.png</x:v>
      </x:c>
      <x:c r="AD222" s="12" t="str"/>
      <x:c r="AE222" s="12" t="str"/>
      <x:c r="AF222" s="12" t="str">
        <x:v>acceptable</x:v>
      </x:c>
      <x:c r="AG222" s="12" t="n">
        <x:v>1</x:v>
      </x:c>
      <x:c r="AH222" s="12" t="str">
        <x:v>acceptable</x:v>
      </x:c>
      <x:c r="AI222" s="12" t="str">
        <x:v>acceptable</x:v>
      </x:c>
      <x:c r="AJ222" s="12" t="str">
        <x:v>acceptable</x:v>
      </x:c>
      <x:c r="AK222" s="12" t="str">
        <x:v>not_applicable</x:v>
      </x:c>
      <x:c r="AL222" s="12" t="str">
        <x:v>mild</x:v>
      </x:c>
      <x:c r="AM222" s="14" t="str">
        <x:v>Large pose or profile; visible landmarks remain useful, while hidden-side and contour points are inferred.</x:v>
      </x:c>
    </x:row>
    <x:row r="223" ht="28" customHeight="1">
      <x:c r="A223" s="12" t="str">
        <x:v>neutral_022</x:v>
      </x:c>
      <x:c r="B223" s="12" t="str">
        <x:v>neutral</x:v>
      </x:c>
      <x:c r="C223" s="14" t="str">
        <x:v>neutral/Training_59677452.jpg</x:v>
      </x:c>
      <x:c r="D223" s="12" t="str">
        <x:v>d7ba25d91c57adf2bceb23cabbd7fd147cb115286c1a6b1742c7781073a93127</x:v>
      </x:c>
      <x:c r="E223" s="12" t="str">
        <x:v>d7ba25d91c57adf2bceb23cabbd7fd147cb115286c1a6b1742c7781073a93127</x:v>
      </x:c>
      <x:c r="F223" s="12" t="str">
        <x:v>True</x:v>
      </x:c>
      <x:c r="G223" s="12" t="str">
        <x:v>48</x:v>
      </x:c>
      <x:c r="H223" s="12" t="str">
        <x:v>48</x:v>
      </x:c>
      <x:c r="I223" s="12" t="str">
        <x:v>0.0</x:v>
      </x:c>
      <x:c r="J223" s="12" t="str">
        <x:v>0.0</x:v>
      </x:c>
      <x:c r="K223" s="12" t="str">
        <x:v>47.0</x:v>
      </x:c>
      <x:c r="L223" s="12" t="str">
        <x:v>47.0</x:v>
      </x:c>
      <x:c r="M223" s="12" t="str">
        <x:v>True</x:v>
      </x:c>
      <x:c r="N223" s="12" t="str">
        <x:v>68</x:v>
      </x:c>
      <x:c r="O223" s="12" t="str">
        <x:v>68</x:v>
      </x:c>
      <x:c r="P223" s="16" t="str">
        <x:v>1.0</x:v>
      </x:c>
      <x:c r="Q223" s="12" t="str">
        <x:v>66</x:v>
      </x:c>
      <x:c r="R223" s="16" t="str">
        <x:v>0.9705882352941176</x:v>
      </x:c>
      <x:c r="S223" s="12" t="str">
        <x:v>0.2</x:v>
      </x:c>
      <x:c r="T223" s="12" t="str">
        <x:v>68</x:v>
      </x:c>
      <x:c r="U223" s="16" t="str">
        <x:v>1.0</x:v>
      </x:c>
      <x:c r="V223" s="18" t="str">
        <x:v>0.7062715888023376</x:v>
      </x:c>
      <x:c r="W223" s="18" t="str">
        <x:v>0.7511030614376069</x:v>
      </x:c>
      <x:c r="X223" s="18" t="str">
        <x:v>0.8087913990020752</x:v>
      </x:c>
      <x:c r="Y223" s="18" t="str">
        <x:v>0.8121739625930786</x:v>
      </x:c>
      <x:c r="Z223" s="18" t="str">
        <x:v>0.8532426655292511</x:v>
      </x:c>
      <x:c r="AA223" s="18" t="str">
        <x:v>0.8793346881866455</x:v>
      </x:c>
      <x:c r="AB223" s="20" t="str">
        <x:v>180.6291999964742</x:v>
      </x:c>
      <x:c r="AC223" s="12" t="str">
        <x:v>overlays\neutral_022.png</x:v>
      </x:c>
      <x:c r="AD223" s="12" t="str"/>
      <x:c r="AE223" s="12" t="str"/>
      <x:c r="AF223" s="12" t="str">
        <x:v>good</x:v>
      </x:c>
      <x:c r="AG223" s="12" t="n">
        <x:v>1</x:v>
      </x:c>
      <x:c r="AH223" s="12" t="str">
        <x:v>good</x:v>
      </x:c>
      <x:c r="AI223" s="12" t="str">
        <x:v>good</x:v>
      </x:c>
      <x:c r="AJ223" s="12" t="str">
        <x:v>good</x:v>
      </x:c>
      <x:c r="AK223" s="12" t="str">
        <x:v>not_applicable</x:v>
      </x:c>
      <x:c r="AL223" s="12" t="str">
        <x:v>none</x:v>
      </x:c>
      <x:c r="AM223" s="14" t="str">
        <x:v>Clear and well-aligned facial landmarks with no major pose, crop, or occlusion issue.</x:v>
      </x:c>
    </x:row>
    <x:row r="224" ht="28" customHeight="1">
      <x:c r="A224" s="12" t="str">
        <x:v>neutral_023</x:v>
      </x:c>
      <x:c r="B224" s="12" t="str">
        <x:v>neutral</x:v>
      </x:c>
      <x:c r="C224" s="14" t="str">
        <x:v>neutral/Training_13130856.jpg</x:v>
      </x:c>
      <x:c r="D224" s="12" t="str">
        <x:v>091cafb4f6ab9f46508ff1ef11f0eb0cf29aea525de5a6a7572629703f8fbeb1</x:v>
      </x:c>
      <x:c r="E224" s="12" t="str">
        <x:v>091cafb4f6ab9f46508ff1ef11f0eb0cf29aea525de5a6a7572629703f8fbeb1</x:v>
      </x:c>
      <x:c r="F224" s="12" t="str">
        <x:v>True</x:v>
      </x:c>
      <x:c r="G224" s="12" t="str">
        <x:v>48</x:v>
      </x:c>
      <x:c r="H224" s="12" t="str">
        <x:v>48</x:v>
      </x:c>
      <x:c r="I224" s="12" t="str">
        <x:v>0.0</x:v>
      </x:c>
      <x:c r="J224" s="12" t="str">
        <x:v>0.0</x:v>
      </x:c>
      <x:c r="K224" s="12" t="str">
        <x:v>47.0</x:v>
      </x:c>
      <x:c r="L224" s="12" t="str">
        <x:v>47.0</x:v>
      </x:c>
      <x:c r="M224" s="12" t="str">
        <x:v>True</x:v>
      </x:c>
      <x:c r="N224" s="12" t="str">
        <x:v>68</x:v>
      </x:c>
      <x:c r="O224" s="12" t="str">
        <x:v>68</x:v>
      </x:c>
      <x:c r="P224" s="16" t="str">
        <x:v>1.0</x:v>
      </x:c>
      <x:c r="Q224" s="12" t="str">
        <x:v>67</x:v>
      </x:c>
      <x:c r="R224" s="16" t="str">
        <x:v>0.9852941176470589</x:v>
      </x:c>
      <x:c r="S224" s="12" t="str">
        <x:v>0.2</x:v>
      </x:c>
      <x:c r="T224" s="12" t="str">
        <x:v>68</x:v>
      </x:c>
      <x:c r="U224" s="16" t="str">
        <x:v>1.0</x:v>
      </x:c>
      <x:c r="V224" s="18" t="str">
        <x:v>0.6733827590942383</x:v>
      </x:c>
      <x:c r="W224" s="18" t="str">
        <x:v>0.7472304344177246</x:v>
      </x:c>
      <x:c r="X224" s="18" t="str">
        <x:v>0.8276833295822144</x:v>
      </x:c>
      <x:c r="Y224" s="18" t="str">
        <x:v>0.8386080265045166</x:v>
      </x:c>
      <x:c r="Z224" s="18" t="str">
        <x:v>0.8746264219284058</x:v>
      </x:c>
      <x:c r="AA224" s="18" t="str">
        <x:v>0.9151040315628052</x:v>
      </x:c>
      <x:c r="AB224" s="20" t="str">
        <x:v>157.80780000204686</x:v>
      </x:c>
      <x:c r="AC224" s="12" t="str">
        <x:v>overlays\neutral_023.png</x:v>
      </x:c>
      <x:c r="AD224" s="12" t="str"/>
      <x:c r="AE224" s="12" t="str"/>
      <x:c r="AF224" s="12" t="str">
        <x:v>good</x:v>
      </x:c>
      <x:c r="AG224" s="12" t="n">
        <x:v>1</x:v>
      </x:c>
      <x:c r="AH224" s="12" t="str">
        <x:v>good</x:v>
      </x:c>
      <x:c r="AI224" s="12" t="str">
        <x:v>good</x:v>
      </x:c>
      <x:c r="AJ224" s="12" t="str">
        <x:v>good</x:v>
      </x:c>
      <x:c r="AK224" s="12" t="str">
        <x:v>good</x:v>
      </x:c>
      <x:c r="AL224" s="12" t="str">
        <x:v>none</x:v>
      </x:c>
      <x:c r="AM224" s="14" t="str">
        <x:v>Clear and well-aligned facial landmarks with no major pose, crop, or occlusion issue.</x:v>
      </x:c>
    </x:row>
    <x:row r="225" ht="28" customHeight="1">
      <x:c r="A225" s="12" t="str">
        <x:v>neutral_024</x:v>
      </x:c>
      <x:c r="B225" s="12" t="str">
        <x:v>neutral</x:v>
      </x:c>
      <x:c r="C225" s="14" t="str">
        <x:v>neutral/Training_97267200.jpg</x:v>
      </x:c>
      <x:c r="D225" s="12" t="str">
        <x:v>58a46d895228f08f6e4772becbc2913b6d904f6acb69774e449d107e285d735b</x:v>
      </x:c>
      <x:c r="E225" s="12" t="str">
        <x:v>58a46d895228f08f6e4772becbc2913b6d904f6acb69774e449d107e285d735b</x:v>
      </x:c>
      <x:c r="F225" s="12" t="str">
        <x:v>True</x:v>
      </x:c>
      <x:c r="G225" s="12" t="str">
        <x:v>48</x:v>
      </x:c>
      <x:c r="H225" s="12" t="str">
        <x:v>48</x:v>
      </x:c>
      <x:c r="I225" s="12" t="str">
        <x:v>0.0</x:v>
      </x:c>
      <x:c r="J225" s="12" t="str">
        <x:v>0.0</x:v>
      </x:c>
      <x:c r="K225" s="12" t="str">
        <x:v>47.0</x:v>
      </x:c>
      <x:c r="L225" s="12" t="str">
        <x:v>47.0</x:v>
      </x:c>
      <x:c r="M225" s="12" t="str">
        <x:v>True</x:v>
      </x:c>
      <x:c r="N225" s="12" t="str">
        <x:v>68</x:v>
      </x:c>
      <x:c r="O225" s="12" t="str">
        <x:v>68</x:v>
      </x:c>
      <x:c r="P225" s="16" t="str">
        <x:v>1.0</x:v>
      </x:c>
      <x:c r="Q225" s="12" t="str">
        <x:v>68</x:v>
      </x:c>
      <x:c r="R225" s="16" t="str">
        <x:v>1.0</x:v>
      </x:c>
      <x:c r="S225" s="12" t="str">
        <x:v>0.2</x:v>
      </x:c>
      <x:c r="T225" s="12" t="str">
        <x:v>68</x:v>
      </x:c>
      <x:c r="U225" s="16" t="str">
        <x:v>1.0</x:v>
      </x:c>
      <x:c r="V225" s="18" t="str">
        <x:v>0.6334294080734253</x:v>
      </x:c>
      <x:c r="W225" s="18" t="str">
        <x:v>0.7980970978736878</x:v>
      </x:c>
      <x:c r="X225" s="18" t="str">
        <x:v>0.827049195766449</x:v>
      </x:c>
      <x:c r="Y225" s="18" t="str">
        <x:v>0.8332669734954834</x:v>
      </x:c>
      <x:c r="Z225" s="18" t="str">
        <x:v>0.8599317848682404</x:v>
      </x:c>
      <x:c r="AA225" s="18" t="str">
        <x:v>0.8785378336906433</x:v>
      </x:c>
      <x:c r="AB225" s="20" t="str">
        <x:v>150.87900000071386</x:v>
      </x:c>
      <x:c r="AC225" s="12" t="str">
        <x:v>overlays\neutral_024.png</x:v>
      </x:c>
      <x:c r="AD225" s="12" t="str"/>
      <x:c r="AE225" s="12" t="str"/>
      <x:c r="AF225" s="12" t="str">
        <x:v>acceptable</x:v>
      </x:c>
      <x:c r="AG225" s="12" t="n">
        <x:v>1</x:v>
      </x:c>
      <x:c r="AH225" s="12" t="str">
        <x:v>acceptable</x:v>
      </x:c>
      <x:c r="AI225" s="12" t="str">
        <x:v>acceptable</x:v>
      </x:c>
      <x:c r="AJ225" s="12" t="str">
        <x:v>acceptable</x:v>
      </x:c>
      <x:c r="AK225" s="12" t="str">
        <x:v>not_applicable</x:v>
      </x:c>
      <x:c r="AL225" s="12" t="str">
        <x:v>mild</x:v>
      </x:c>
      <x:c r="AM225" s="14" t="str">
        <x:v>Large pose or profile; visible landmarks remain useful, while hidden-side and contour points are inferred.</x:v>
      </x:c>
    </x:row>
    <x:row r="226" ht="28" customHeight="1">
      <x:c r="A226" s="12" t="str">
        <x:v>neutral_025</x:v>
      </x:c>
      <x:c r="B226" s="12" t="str">
        <x:v>neutral</x:v>
      </x:c>
      <x:c r="C226" s="14" t="str">
        <x:v>neutral/Training_9220409.jpg</x:v>
      </x:c>
      <x:c r="D226" s="12" t="str">
        <x:v>8a79dd3f714dd484efc7def177e498714d8d2b92f1fc5cead3736671b33f3d83</x:v>
      </x:c>
      <x:c r="E226" s="12" t="str">
        <x:v>8a79dd3f714dd484efc7def177e498714d8d2b92f1fc5cead3736671b33f3d83</x:v>
      </x:c>
      <x:c r="F226" s="12" t="str">
        <x:v>True</x:v>
      </x:c>
      <x:c r="G226" s="12" t="str">
        <x:v>48</x:v>
      </x:c>
      <x:c r="H226" s="12" t="str">
        <x:v>48</x:v>
      </x:c>
      <x:c r="I226" s="12" t="str">
        <x:v>0.0</x:v>
      </x:c>
      <x:c r="J226" s="12" t="str">
        <x:v>0.0</x:v>
      </x:c>
      <x:c r="K226" s="12" t="str">
        <x:v>47.0</x:v>
      </x:c>
      <x:c r="L226" s="12" t="str">
        <x:v>47.0</x:v>
      </x:c>
      <x:c r="M226" s="12" t="str">
        <x:v>True</x:v>
      </x:c>
      <x:c r="N226" s="12" t="str">
        <x:v>68</x:v>
      </x:c>
      <x:c r="O226" s="12" t="str">
        <x:v>68</x:v>
      </x:c>
      <x:c r="P226" s="16" t="str">
        <x:v>1.0</x:v>
      </x:c>
      <x:c r="Q226" s="12" t="str">
        <x:v>68</x:v>
      </x:c>
      <x:c r="R226" s="16" t="str">
        <x:v>1.0</x:v>
      </x:c>
      <x:c r="S226" s="12" t="str">
        <x:v>0.2</x:v>
      </x:c>
      <x:c r="T226" s="12" t="str">
        <x:v>68</x:v>
      </x:c>
      <x:c r="U226" s="16" t="str">
        <x:v>1.0</x:v>
      </x:c>
      <x:c r="V226" s="18" t="str">
        <x:v>0.7112078070640564</x:v>
      </x:c>
      <x:c r="W226" s="18" t="str">
        <x:v>0.7593573033809662</x:v>
      </x:c>
      <x:c r="X226" s="18" t="str">
        <x:v>0.8158907294273376</x:v>
      </x:c>
      <x:c r="Y226" s="18" t="str">
        <x:v>0.8216795921325684</x:v>
      </x:c>
      <x:c r="Z226" s="18" t="str">
        <x:v>0.8667522370815277</x:v>
      </x:c>
      <x:c r="AA226" s="18" t="str">
        <x:v>0.8950203657150269</x:v>
      </x:c>
      <x:c r="AB226" s="20" t="str">
        <x:v>154.71830000024056</x:v>
      </x:c>
      <x:c r="AC226" s="12" t="str">
        <x:v>overlays\neutral_025.png</x:v>
      </x:c>
      <x:c r="AD226" s="12" t="str"/>
      <x:c r="AE226" s="12" t="str"/>
      <x:c r="AF226" s="12" t="str">
        <x:v>acceptable</x:v>
      </x:c>
      <x:c r="AG226" s="12" t="n">
        <x:v>1</x:v>
      </x:c>
      <x:c r="AH226" s="12" t="str">
        <x:v>occluded</x:v>
      </x:c>
      <x:c r="AI226" s="12" t="str">
        <x:v>occluded</x:v>
      </x:c>
      <x:c r="AJ226" s="12" t="str">
        <x:v>occluded</x:v>
      </x:c>
      <x:c r="AK226" s="12" t="str">
        <x:v>not_applicable</x:v>
      </x:c>
      <x:c r="AL226" s="12" t="str">
        <x:v>mild</x:v>
      </x:c>
      <x:c r="AM226" s="14" t="str">
        <x:v>Occlusion affects part of the face; visible landmarks remain usable, but hidden points are inferred.</x:v>
      </x:c>
    </x:row>
    <x:row r="227" ht="28" customHeight="1">
      <x:c r="A227" s="12" t="str">
        <x:v>neutral_026</x:v>
      </x:c>
      <x:c r="B227" s="12" t="str">
        <x:v>neutral</x:v>
      </x:c>
      <x:c r="C227" s="14" t="str">
        <x:v>neutral/Training_43673644.jpg</x:v>
      </x:c>
      <x:c r="D227" s="12" t="str">
        <x:v>671d9a4fafee64ad10bf9beefb6386a42c96d4adb8504fef2ca97982163861d9</x:v>
      </x:c>
      <x:c r="E227" s="12" t="str">
        <x:v>671d9a4fafee64ad10bf9beefb6386a42c96d4adb8504fef2ca97982163861d9</x:v>
      </x:c>
      <x:c r="F227" s="12" t="str">
        <x:v>True</x:v>
      </x:c>
      <x:c r="G227" s="12" t="str">
        <x:v>48</x:v>
      </x:c>
      <x:c r="H227" s="12" t="str">
        <x:v>48</x:v>
      </x:c>
      <x:c r="I227" s="12" t="str">
        <x:v>0.0</x:v>
      </x:c>
      <x:c r="J227" s="12" t="str">
        <x:v>0.0</x:v>
      </x:c>
      <x:c r="K227" s="12" t="str">
        <x:v>47.0</x:v>
      </x:c>
      <x:c r="L227" s="12" t="str">
        <x:v>47.0</x:v>
      </x:c>
      <x:c r="M227" s="12" t="str">
        <x:v>True</x:v>
      </x:c>
      <x:c r="N227" s="12" t="str">
        <x:v>68</x:v>
      </x:c>
      <x:c r="O227" s="12" t="str">
        <x:v>68</x:v>
      </x:c>
      <x:c r="P227" s="16" t="str">
        <x:v>1.0</x:v>
      </x:c>
      <x:c r="Q227" s="12" t="str">
        <x:v>68</x:v>
      </x:c>
      <x:c r="R227" s="16" t="str">
        <x:v>1.0</x:v>
      </x:c>
      <x:c r="S227" s="12" t="str">
        <x:v>0.2</x:v>
      </x:c>
      <x:c r="T227" s="12" t="str">
        <x:v>67</x:v>
      </x:c>
      <x:c r="U227" s="16" t="str">
        <x:v>0.9852941176470589</x:v>
      </x:c>
      <x:c r="V227" s="18" t="str">
        <x:v>0.1459622085094452</x:v>
      </x:c>
      <x:c r="W227" s="18" t="str">
        <x:v>0.4800983816385269</x:v>
      </x:c>
      <x:c r="X227" s="18" t="str">
        <x:v>0.6800178289413452</x:v>
      </x:c>
      <x:c r="Y227" s="18" t="str">
        <x:v>0.699384331703186</x:v>
      </x:c>
      <x:c r="Z227" s="18" t="str">
        <x:v>0.8156134724617005</x:v>
      </x:c>
      <x:c r="AA227" s="18" t="str">
        <x:v>0.8589479923248291</x:v>
      </x:c>
      <x:c r="AB227" s="20" t="str">
        <x:v>171.36930000560824</x:v>
      </x:c>
      <x:c r="AC227" s="12" t="str">
        <x:v>overlays\neutral_026.png</x:v>
      </x:c>
      <x:c r="AD227" s="12" t="str"/>
      <x:c r="AE227" s="12" t="str"/>
      <x:c r="AF227" s="12" t="str">
        <x:v>acceptable</x:v>
      </x:c>
      <x:c r="AG227" s="12" t="n">
        <x:v>1</x:v>
      </x:c>
      <x:c r="AH227" s="12" t="str">
        <x:v>acceptable</x:v>
      </x:c>
      <x:c r="AI227" s="12" t="str">
        <x:v>acceptable</x:v>
      </x:c>
      <x:c r="AJ227" s="12" t="str">
        <x:v>acceptable</x:v>
      </x:c>
      <x:c r="AK227" s="12" t="str">
        <x:v>not_applicable</x:v>
      </x:c>
      <x:c r="AL227" s="12" t="str">
        <x:v>mild</x:v>
      </x:c>
      <x:c r="AM227" s="14" t="str">
        <x:v>Large pose or profile; visible landmarks remain useful, while hidden-side and contour points are inferred.</x:v>
      </x:c>
    </x:row>
    <x:row r="228" ht="28" customHeight="1">
      <x:c r="A228" s="12" t="str">
        <x:v>neutral_027</x:v>
      </x:c>
      <x:c r="B228" s="12" t="str">
        <x:v>neutral</x:v>
      </x:c>
      <x:c r="C228" s="14" t="str">
        <x:v>neutral/Training_97270054.jpg</x:v>
      </x:c>
      <x:c r="D228" s="12" t="str">
        <x:v>5661345c581d9336fb44aba569158d41fcd2ce24a7507c983c92bcb0c0e00ab8</x:v>
      </x:c>
      <x:c r="E228" s="12" t="str">
        <x:v>5661345c581d9336fb44aba569158d41fcd2ce24a7507c983c92bcb0c0e00ab8</x:v>
      </x:c>
      <x:c r="F228" s="12" t="str">
        <x:v>True</x:v>
      </x:c>
      <x:c r="G228" s="12" t="str">
        <x:v>48</x:v>
      </x:c>
      <x:c r="H228" s="12" t="str">
        <x:v>48</x:v>
      </x:c>
      <x:c r="I228" s="12" t="str">
        <x:v>0.0</x:v>
      </x:c>
      <x:c r="J228" s="12" t="str">
        <x:v>0.0</x:v>
      </x:c>
      <x:c r="K228" s="12" t="str">
        <x:v>47.0</x:v>
      </x:c>
      <x:c r="L228" s="12" t="str">
        <x:v>47.0</x:v>
      </x:c>
      <x:c r="M228" s="12" t="str">
        <x:v>True</x:v>
      </x:c>
      <x:c r="N228" s="12" t="str">
        <x:v>68</x:v>
      </x:c>
      <x:c r="O228" s="12" t="str">
        <x:v>68</x:v>
      </x:c>
      <x:c r="P228" s="16" t="str">
        <x:v>1.0</x:v>
      </x:c>
      <x:c r="Q228" s="12" t="str">
        <x:v>68</x:v>
      </x:c>
      <x:c r="R228" s="16" t="str">
        <x:v>1.0</x:v>
      </x:c>
      <x:c r="S228" s="12" t="str">
        <x:v>0.2</x:v>
      </x:c>
      <x:c r="T228" s="12" t="str">
        <x:v>68</x:v>
      </x:c>
      <x:c r="U228" s="16" t="str">
        <x:v>1.0</x:v>
      </x:c>
      <x:c r="V228" s="18" t="str">
        <x:v>0.6794478893280029</x:v>
      </x:c>
      <x:c r="W228" s="18" t="str">
        <x:v>0.776951014995575</x:v>
      </x:c>
      <x:c r="X228" s="18" t="str">
        <x:v>0.8287935256958008</x:v>
      </x:c>
      <x:c r="Y228" s="18" t="str">
        <x:v>0.8371310830116272</x:v>
      </x:c>
      <x:c r="Z228" s="18" t="str">
        <x:v>0.8779845356941223</x:v>
      </x:c>
      <x:c r="AA228" s="18" t="str">
        <x:v>0.8970925807952881</x:v>
      </x:c>
      <x:c r="AB228" s="20" t="str">
        <x:v>152.8007999950205</x:v>
      </x:c>
      <x:c r="AC228" s="12" t="str">
        <x:v>overlays\neutral_027.png</x:v>
      </x:c>
      <x:c r="AD228" s="12" t="str"/>
      <x:c r="AE228" s="12" t="str"/>
      <x:c r="AF228" s="12" t="str">
        <x:v>acceptable</x:v>
      </x:c>
      <x:c r="AG228" s="12" t="n">
        <x:v>1</x:v>
      </x:c>
      <x:c r="AH228" s="12" t="str">
        <x:v>acceptable</x:v>
      </x:c>
      <x:c r="AI228" s="12" t="str">
        <x:v>acceptable</x:v>
      </x:c>
      <x:c r="AJ228" s="12" t="str">
        <x:v>acceptable</x:v>
      </x:c>
      <x:c r="AK228" s="12" t="str">
        <x:v>not_applicable</x:v>
      </x:c>
      <x:c r="AL228" s="12" t="str">
        <x:v>mild</x:v>
      </x:c>
      <x:c r="AM228" s="14" t="str">
        <x:v>Moderate pose, crop, blur, or facial texture causes minor landmark uncertainty; the result remains usable.</x:v>
      </x:c>
    </x:row>
    <x:row r="229" ht="28" customHeight="1">
      <x:c r="A229" s="12" t="str">
        <x:v>neutral_028</x:v>
      </x:c>
      <x:c r="B229" s="12" t="str">
        <x:v>neutral</x:v>
      </x:c>
      <x:c r="C229" s="14" t="str">
        <x:v>neutral/Training_41999489.jpg</x:v>
      </x:c>
      <x:c r="D229" s="12" t="str">
        <x:v>172e78bdc9a9ab5ebe4fd27c65b9b28bd074c18ae544e30b494b47e68c855c4d</x:v>
      </x:c>
      <x:c r="E229" s="12" t="str">
        <x:v>172e78bdc9a9ab5ebe4fd27c65b9b28bd074c18ae544e30b494b47e68c855c4d</x:v>
      </x:c>
      <x:c r="F229" s="12" t="str">
        <x:v>True</x:v>
      </x:c>
      <x:c r="G229" s="12" t="str">
        <x:v>48</x:v>
      </x:c>
      <x:c r="H229" s="12" t="str">
        <x:v>48</x:v>
      </x:c>
      <x:c r="I229" s="12" t="str">
        <x:v>0.0</x:v>
      </x:c>
      <x:c r="J229" s="12" t="str">
        <x:v>0.0</x:v>
      </x:c>
      <x:c r="K229" s="12" t="str">
        <x:v>47.0</x:v>
      </x:c>
      <x:c r="L229" s="12" t="str">
        <x:v>47.0</x:v>
      </x:c>
      <x:c r="M229" s="12" t="str">
        <x:v>True</x:v>
      </x:c>
      <x:c r="N229" s="12" t="str">
        <x:v>68</x:v>
      </x:c>
      <x:c r="O229" s="12" t="str">
        <x:v>68</x:v>
      </x:c>
      <x:c r="P229" s="16" t="str">
        <x:v>1.0</x:v>
      </x:c>
      <x:c r="Q229" s="12" t="str">
        <x:v>68</x:v>
      </x:c>
      <x:c r="R229" s="16" t="str">
        <x:v>1.0</x:v>
      </x:c>
      <x:c r="S229" s="12" t="str">
        <x:v>0.2</x:v>
      </x:c>
      <x:c r="T229" s="12" t="str">
        <x:v>68</x:v>
      </x:c>
      <x:c r="U229" s="16" t="str">
        <x:v>1.0</x:v>
      </x:c>
      <x:c r="V229" s="18" t="str">
        <x:v>0.7151505351066589</x:v>
      </x:c>
      <x:c r="W229" s="18" t="str">
        <x:v>0.7866351246833801</x:v>
      </x:c>
      <x:c r="X229" s="18" t="str">
        <x:v>0.8293013572692871</x:v>
      </x:c>
      <x:c r="Y229" s="18" t="str">
        <x:v>0.8342246413230896</x:v>
      </x:c>
      <x:c r="Z229" s="18" t="str">
        <x:v>0.871123081445694</x:v>
      </x:c>
      <x:c r="AA229" s="18" t="str">
        <x:v>0.8856740593910217</x:v>
      </x:c>
      <x:c r="AB229" s="20" t="str">
        <x:v>156.66939999937313</x:v>
      </x:c>
      <x:c r="AC229" s="12" t="str">
        <x:v>overlays\neutral_028.png</x:v>
      </x:c>
      <x:c r="AD229" s="12" t="str"/>
      <x:c r="AE229" s="12" t="str"/>
      <x:c r="AF229" s="12" t="str">
        <x:v>acceptable</x:v>
      </x:c>
      <x:c r="AG229" s="12" t="n">
        <x:v>1</x:v>
      </x:c>
      <x:c r="AH229" s="12" t="str">
        <x:v>acceptable</x:v>
      </x:c>
      <x:c r="AI229" s="12" t="str">
        <x:v>acceptable</x:v>
      </x:c>
      <x:c r="AJ229" s="12" t="str">
        <x:v>acceptable</x:v>
      </x:c>
      <x:c r="AK229" s="12" t="str">
        <x:v>not_applicable</x:v>
      </x:c>
      <x:c r="AL229" s="12" t="str">
        <x:v>mild</x:v>
      </x:c>
      <x:c r="AM229" s="14" t="str">
        <x:v>Large pose or profile; visible landmarks remain useful, while hidden-side and contour points are inferred.</x:v>
      </x:c>
    </x:row>
    <x:row r="230" ht="28" customHeight="1">
      <x:c r="A230" s="12" t="str">
        <x:v>neutral_029</x:v>
      </x:c>
      <x:c r="B230" s="12" t="str">
        <x:v>neutral</x:v>
      </x:c>
      <x:c r="C230" s="14" t="str">
        <x:v>neutral/Training_11078984.jpg</x:v>
      </x:c>
      <x:c r="D230" s="12" t="str">
        <x:v>e0d18c2dbe815c74e5c7a17ac22a0e5ff7b63c8270d2939d64ef9640af960d87</x:v>
      </x:c>
      <x:c r="E230" s="12" t="str">
        <x:v>e0d18c2dbe815c74e5c7a17ac22a0e5ff7b63c8270d2939d64ef9640af960d87</x:v>
      </x:c>
      <x:c r="F230" s="12" t="str">
        <x:v>True</x:v>
      </x:c>
      <x:c r="G230" s="12" t="str">
        <x:v>48</x:v>
      </x:c>
      <x:c r="H230" s="12" t="str">
        <x:v>48</x:v>
      </x:c>
      <x:c r="I230" s="12" t="str">
        <x:v>0.0</x:v>
      </x:c>
      <x:c r="J230" s="12" t="str">
        <x:v>0.0</x:v>
      </x:c>
      <x:c r="K230" s="12" t="str">
        <x:v>47.0</x:v>
      </x:c>
      <x:c r="L230" s="12" t="str">
        <x:v>47.0</x:v>
      </x:c>
      <x:c r="M230" s="12" t="str">
        <x:v>True</x:v>
      </x:c>
      <x:c r="N230" s="12" t="str">
        <x:v>68</x:v>
      </x:c>
      <x:c r="O230" s="12" t="str">
        <x:v>68</x:v>
      </x:c>
      <x:c r="P230" s="16" t="str">
        <x:v>1.0</x:v>
      </x:c>
      <x:c r="Q230" s="12" t="str">
        <x:v>68</x:v>
      </x:c>
      <x:c r="R230" s="16" t="str">
        <x:v>1.0</x:v>
      </x:c>
      <x:c r="S230" s="12" t="str">
        <x:v>0.2</x:v>
      </x:c>
      <x:c r="T230" s="12" t="str">
        <x:v>68</x:v>
      </x:c>
      <x:c r="U230" s="16" t="str">
        <x:v>1.0</x:v>
      </x:c>
      <x:c r="V230" s="18" t="str">
        <x:v>0.6698386073112488</x:v>
      </x:c>
      <x:c r="W230" s="18" t="str">
        <x:v>0.7838018894195556</x:v>
      </x:c>
      <x:c r="X230" s="18" t="str">
        <x:v>0.8284001350402832</x:v>
      </x:c>
      <x:c r="Y230" s="18" t="str">
        <x:v>0.8296244144439697</x:v>
      </x:c>
      <x:c r="Z230" s="18" t="str">
        <x:v>0.8736656308174133</x:v>
      </x:c>
      <x:c r="AA230" s="18" t="str">
        <x:v>0.9138806462287903</x:v>
      </x:c>
      <x:c r="AB230" s="20" t="str">
        <x:v>168.95640000439016</x:v>
      </x:c>
      <x:c r="AC230" s="12" t="str">
        <x:v>overlays\neutral_029.png</x:v>
      </x:c>
      <x:c r="AD230" s="12" t="str"/>
      <x:c r="AE230" s="12" t="str"/>
      <x:c r="AF230" s="12" t="str">
        <x:v>acceptable</x:v>
      </x:c>
      <x:c r="AG230" s="12" t="n">
        <x:v>1</x:v>
      </x:c>
      <x:c r="AH230" s="12" t="str">
        <x:v>acceptable</x:v>
      </x:c>
      <x:c r="AI230" s="12" t="str">
        <x:v>acceptable</x:v>
      </x:c>
      <x:c r="AJ230" s="12" t="str">
        <x:v>acceptable</x:v>
      </x:c>
      <x:c r="AK230" s="12" t="str">
        <x:v>not_applicable</x:v>
      </x:c>
      <x:c r="AL230" s="12" t="str">
        <x:v>mild</x:v>
      </x:c>
      <x:c r="AM230" s="14" t="str">
        <x:v>Large pose or profile; visible landmarks remain useful, while hidden-side and contour points are inferred.</x:v>
      </x:c>
    </x:row>
    <x:row r="231" ht="28" customHeight="1">
      <x:c r="A231" s="12" t="str">
        <x:v>neutral_030</x:v>
      </x:c>
      <x:c r="B231" s="12" t="str">
        <x:v>neutral</x:v>
      </x:c>
      <x:c r="C231" s="14" t="str">
        <x:v>neutral/Training_19876280.jpg</x:v>
      </x:c>
      <x:c r="D231" s="12" t="str">
        <x:v>22b59e53932eea26ad8cf54fec8c5697d9bf428e93d39a19474949880a954b8f</x:v>
      </x:c>
      <x:c r="E231" s="12" t="str">
        <x:v>22b59e53932eea26ad8cf54fec8c5697d9bf428e93d39a19474949880a954b8f</x:v>
      </x:c>
      <x:c r="F231" s="12" t="str">
        <x:v>True</x:v>
      </x:c>
      <x:c r="G231" s="12" t="str">
        <x:v>48</x:v>
      </x:c>
      <x:c r="H231" s="12" t="str">
        <x:v>48</x:v>
      </x:c>
      <x:c r="I231" s="12" t="str">
        <x:v>0.0</x:v>
      </x:c>
      <x:c r="J231" s="12" t="str">
        <x:v>0.0</x:v>
      </x:c>
      <x:c r="K231" s="12" t="str">
        <x:v>47.0</x:v>
      </x:c>
      <x:c r="L231" s="12" t="str">
        <x:v>47.0</x:v>
      </x:c>
      <x:c r="M231" s="12" t="str">
        <x:v>True</x:v>
      </x:c>
      <x:c r="N231" s="12" t="str">
        <x:v>68</x:v>
      </x:c>
      <x:c r="O231" s="12" t="str">
        <x:v>68</x:v>
      </x:c>
      <x:c r="P231" s="16" t="str">
        <x:v>1.0</x:v>
      </x:c>
      <x:c r="Q231" s="12" t="str">
        <x:v>68</x:v>
      </x:c>
      <x:c r="R231" s="16" t="str">
        <x:v>1.0</x:v>
      </x:c>
      <x:c r="S231" s="12" t="str">
        <x:v>0.2</x:v>
      </x:c>
      <x:c r="T231" s="12" t="str">
        <x:v>68</x:v>
      </x:c>
      <x:c r="U231" s="16" t="str">
        <x:v>1.0</x:v>
      </x:c>
      <x:c r="V231" s="18" t="str">
        <x:v>0.7426677346229553</x:v>
      </x:c>
      <x:c r="W231" s="18" t="str">
        <x:v>0.8046404004096985</x:v>
      </x:c>
      <x:c r="X231" s="18" t="str">
        <x:v>0.8386889100074768</x:v>
      </x:c>
      <x:c r="Y231" s="18" t="str">
        <x:v>0.8432170748710632</x:v>
      </x:c>
      <x:c r="Z231" s="18" t="str">
        <x:v>0.8675506889820099</x:v>
      </x:c>
      <x:c r="AA231" s="18" t="str">
        <x:v>0.9061915874481201</x:v>
      </x:c>
      <x:c r="AB231" s="20" t="str">
        <x:v>187.27510000462644</x:v>
      </x:c>
      <x:c r="AC231" s="12" t="str">
        <x:v>overlays\neutral_030.png</x:v>
      </x:c>
      <x:c r="AD231" s="12" t="str"/>
      <x:c r="AE231" s="12" t="str"/>
      <x:c r="AF231" s="12" t="str">
        <x:v>good</x:v>
      </x:c>
      <x:c r="AG231" s="12" t="n">
        <x:v>1</x:v>
      </x:c>
      <x:c r="AH231" s="12" t="str">
        <x:v>good</x:v>
      </x:c>
      <x:c r="AI231" s="12" t="str">
        <x:v>good</x:v>
      </x:c>
      <x:c r="AJ231" s="12" t="str">
        <x:v>good</x:v>
      </x:c>
      <x:c r="AK231" s="12" t="str">
        <x:v>not_applicable</x:v>
      </x:c>
      <x:c r="AL231" s="12" t="str">
        <x:v>none</x:v>
      </x:c>
      <x:c r="AM231" s="14" t="str">
        <x:v>Clear and well-aligned facial landmarks with no major pose, crop, or occlusion issue.</x:v>
      </x:c>
    </x:row>
    <x:row r="232" ht="28" customHeight="1">
      <x:c r="A232" s="12" t="str">
        <x:v>neutral_031</x:v>
      </x:c>
      <x:c r="B232" s="12" t="str">
        <x:v>neutral</x:v>
      </x:c>
      <x:c r="C232" s="14" t="str">
        <x:v>neutral/Training_18279248.jpg</x:v>
      </x:c>
      <x:c r="D232" s="12" t="str">
        <x:v>d5ae7b1d9f8a87f71207408720303cca66cb4cd687c2603923425be3176e404b</x:v>
      </x:c>
      <x:c r="E232" s="12" t="str">
        <x:v>d5ae7b1d9f8a87f71207408720303cca66cb4cd687c2603923425be3176e404b</x:v>
      </x:c>
      <x:c r="F232" s="12" t="str">
        <x:v>True</x:v>
      </x:c>
      <x:c r="G232" s="12" t="str">
        <x:v>48</x:v>
      </x:c>
      <x:c r="H232" s="12" t="str">
        <x:v>48</x:v>
      </x:c>
      <x:c r="I232" s="12" t="str">
        <x:v>0.0</x:v>
      </x:c>
      <x:c r="J232" s="12" t="str">
        <x:v>0.0</x:v>
      </x:c>
      <x:c r="K232" s="12" t="str">
        <x:v>47.0</x:v>
      </x:c>
      <x:c r="L232" s="12" t="str">
        <x:v>47.0</x:v>
      </x:c>
      <x:c r="M232" s="12" t="str">
        <x:v>True</x:v>
      </x:c>
      <x:c r="N232" s="12" t="str">
        <x:v>68</x:v>
      </x:c>
      <x:c r="O232" s="12" t="str">
        <x:v>68</x:v>
      </x:c>
      <x:c r="P232" s="16" t="str">
        <x:v>1.0</x:v>
      </x:c>
      <x:c r="Q232" s="12" t="str">
        <x:v>65</x:v>
      </x:c>
      <x:c r="R232" s="16" t="str">
        <x:v>0.9558823529411765</x:v>
      </x:c>
      <x:c r="S232" s="12" t="str">
        <x:v>0.2</x:v>
      </x:c>
      <x:c r="T232" s="12" t="str">
        <x:v>68</x:v>
      </x:c>
      <x:c r="U232" s="16" t="str">
        <x:v>1.0</x:v>
      </x:c>
      <x:c r="V232" s="18" t="str">
        <x:v>0.6891047954559326</x:v>
      </x:c>
      <x:c r="W232" s="18" t="str">
        <x:v>0.7667880296707154</x:v>
      </x:c>
      <x:c r="X232" s="18" t="str">
        <x:v>0.8271125555038452</x:v>
      </x:c>
      <x:c r="Y232" s="18" t="str">
        <x:v>0.8304133415222168</x:v>
      </x:c>
      <x:c r="Z232" s="18" t="str">
        <x:v>0.8776758790016175</x:v>
      </x:c>
      <x:c r="AA232" s="18" t="str">
        <x:v>0.9066499471664429</x:v>
      </x:c>
      <x:c r="AB232" s="20" t="str">
        <x:v>153.9033000008203</x:v>
      </x:c>
      <x:c r="AC232" s="12" t="str">
        <x:v>overlays\neutral_031.png</x:v>
      </x:c>
      <x:c r="AD232" s="12" t="str"/>
      <x:c r="AE232" s="12" t="str"/>
      <x:c r="AF232" s="12" t="str">
        <x:v>acceptable</x:v>
      </x:c>
      <x:c r="AG232" s="12" t="n">
        <x:v>1</x:v>
      </x:c>
      <x:c r="AH232" s="12" t="str">
        <x:v>acceptable</x:v>
      </x:c>
      <x:c r="AI232" s="12" t="str">
        <x:v>acceptable</x:v>
      </x:c>
      <x:c r="AJ232" s="12" t="str">
        <x:v>acceptable</x:v>
      </x:c>
      <x:c r="AK232" s="12" t="str">
        <x:v>not_applicable</x:v>
      </x:c>
      <x:c r="AL232" s="12" t="str">
        <x:v>mild</x:v>
      </x:c>
      <x:c r="AM232" s="14" t="str">
        <x:v>Moderate pose, crop, blur, or facial texture causes minor landmark uncertainty; the result remains usable.</x:v>
      </x:c>
    </x:row>
    <x:row r="233" ht="28" customHeight="1">
      <x:c r="A233" s="12" t="str">
        <x:v>neutral_032</x:v>
      </x:c>
      <x:c r="B233" s="12" t="str">
        <x:v>neutral</x:v>
      </x:c>
      <x:c r="C233" s="14" t="str">
        <x:v>neutral/Training_43421592.jpg</x:v>
      </x:c>
      <x:c r="D233" s="12" t="str">
        <x:v>c230c2b628f1fc7b7a7a696d663439a3172a7e9b376fb2e262fba3fce21a77a5</x:v>
      </x:c>
      <x:c r="E233" s="12" t="str">
        <x:v>c230c2b628f1fc7b7a7a696d663439a3172a7e9b376fb2e262fba3fce21a77a5</x:v>
      </x:c>
      <x:c r="F233" s="12" t="str">
        <x:v>True</x:v>
      </x:c>
      <x:c r="G233" s="12" t="str">
        <x:v>48</x:v>
      </x:c>
      <x:c r="H233" s="12" t="str">
        <x:v>48</x:v>
      </x:c>
      <x:c r="I233" s="12" t="str">
        <x:v>0.0</x:v>
      </x:c>
      <x:c r="J233" s="12" t="str">
        <x:v>0.0</x:v>
      </x:c>
      <x:c r="K233" s="12" t="str">
        <x:v>47.0</x:v>
      </x:c>
      <x:c r="L233" s="12" t="str">
        <x:v>47.0</x:v>
      </x:c>
      <x:c r="M233" s="12" t="str">
        <x:v>True</x:v>
      </x:c>
      <x:c r="N233" s="12" t="str">
        <x:v>68</x:v>
      </x:c>
      <x:c r="O233" s="12" t="str">
        <x:v>68</x:v>
      </x:c>
      <x:c r="P233" s="16" t="str">
        <x:v>1.0</x:v>
      </x:c>
      <x:c r="Q233" s="12" t="str">
        <x:v>68</x:v>
      </x:c>
      <x:c r="R233" s="16" t="str">
        <x:v>1.0</x:v>
      </x:c>
      <x:c r="S233" s="12" t="str">
        <x:v>0.2</x:v>
      </x:c>
      <x:c r="T233" s="12" t="str">
        <x:v>68</x:v>
      </x:c>
      <x:c r="U233" s="16" t="str">
        <x:v>1.0</x:v>
      </x:c>
      <x:c r="V233" s="18" t="str">
        <x:v>0.5915293097496033</x:v>
      </x:c>
      <x:c r="W233" s="18" t="str">
        <x:v>0.6638419389724731</x:v>
      </x:c>
      <x:c r="X233" s="18" t="str">
        <x:v>0.7904583811759949</x:v>
      </x:c>
      <x:c r="Y233" s="18" t="str">
        <x:v>0.8148549795150757</x:v>
      </x:c>
      <x:c r="Z233" s="18" t="str">
        <x:v>0.8679426133632661</x:v>
      </x:c>
      <x:c r="AA233" s="18" t="str">
        <x:v>0.8992459177970886</x:v>
      </x:c>
      <x:c r="AB233" s="20" t="str">
        <x:v>154.22500000568107</x:v>
      </x:c>
      <x:c r="AC233" s="12" t="str">
        <x:v>overlays\neutral_032.png</x:v>
      </x:c>
      <x:c r="AD233" s="12" t="str"/>
      <x:c r="AE233" s="12" t="str"/>
      <x:c r="AF233" s="12" t="str">
        <x:v>good</x:v>
      </x:c>
      <x:c r="AG233" s="12" t="n">
        <x:v>1</x:v>
      </x:c>
      <x:c r="AH233" s="12" t="str">
        <x:v>good</x:v>
      </x:c>
      <x:c r="AI233" s="12" t="str">
        <x:v>good</x:v>
      </x:c>
      <x:c r="AJ233" s="12" t="str">
        <x:v>good</x:v>
      </x:c>
      <x:c r="AK233" s="12" t="str">
        <x:v>not_applicable</x:v>
      </x:c>
      <x:c r="AL233" s="12" t="str">
        <x:v>none</x:v>
      </x:c>
      <x:c r="AM233" s="14" t="str">
        <x:v>Clear and well-aligned facial landmarks with no major pose, crop, or occlusion issue.</x:v>
      </x:c>
    </x:row>
    <x:row r="234" ht="28" customHeight="1">
      <x:c r="A234" s="12" t="str">
        <x:v>neutral_033</x:v>
      </x:c>
      <x:c r="B234" s="12" t="str">
        <x:v>neutral</x:v>
      </x:c>
      <x:c r="C234" s="14" t="str">
        <x:v>neutral/Training_19361454.jpg</x:v>
      </x:c>
      <x:c r="D234" s="12" t="str">
        <x:v>16c26f454a1114f9a33e5d38bd083f9d3ca4f6ef65ec01aa1b24704f75388b1d</x:v>
      </x:c>
      <x:c r="E234" s="12" t="str">
        <x:v>16c26f454a1114f9a33e5d38bd083f9d3ca4f6ef65ec01aa1b24704f75388b1d</x:v>
      </x:c>
      <x:c r="F234" s="12" t="str">
        <x:v>True</x:v>
      </x:c>
      <x:c r="G234" s="12" t="str">
        <x:v>48</x:v>
      </x:c>
      <x:c r="H234" s="12" t="str">
        <x:v>48</x:v>
      </x:c>
      <x:c r="I234" s="12" t="str">
        <x:v>0.0</x:v>
      </x:c>
      <x:c r="J234" s="12" t="str">
        <x:v>0.0</x:v>
      </x:c>
      <x:c r="K234" s="12" t="str">
        <x:v>47.0</x:v>
      </x:c>
      <x:c r="L234" s="12" t="str">
        <x:v>47.0</x:v>
      </x:c>
      <x:c r="M234" s="12" t="str">
        <x:v>True</x:v>
      </x:c>
      <x:c r="N234" s="12" t="str">
        <x:v>68</x:v>
      </x:c>
      <x:c r="O234" s="12" t="str">
        <x:v>68</x:v>
      </x:c>
      <x:c r="P234" s="16" t="str">
        <x:v>1.0</x:v>
      </x:c>
      <x:c r="Q234" s="12" t="str">
        <x:v>67</x:v>
      </x:c>
      <x:c r="R234" s="16" t="str">
        <x:v>0.9852941176470589</x:v>
      </x:c>
      <x:c r="S234" s="12" t="str">
        <x:v>0.2</x:v>
      </x:c>
      <x:c r="T234" s="12" t="str">
        <x:v>68</x:v>
      </x:c>
      <x:c r="U234" s="16" t="str">
        <x:v>1.0</x:v>
      </x:c>
      <x:c r="V234" s="18" t="str">
        <x:v>0.6805356740951538</x:v>
      </x:c>
      <x:c r="W234" s="18" t="str">
        <x:v>0.7418757200241088</x:v>
      </x:c>
      <x:c r="X234" s="18" t="str">
        <x:v>0.8165249228477478</x:v>
      </x:c>
      <x:c r="Y234" s="18" t="str">
        <x:v>0.8217109441757202</x:v>
      </x:c>
      <x:c r="Z234" s="18" t="str">
        <x:v>0.8750292599201203</x:v>
      </x:c>
      <x:c r="AA234" s="18" t="str">
        <x:v>0.8956947922706604</x:v>
      </x:c>
      <x:c r="AB234" s="20" t="str">
        <x:v>212.93129999685334</x:v>
      </x:c>
      <x:c r="AC234" s="12" t="str">
        <x:v>overlays\neutral_033.png</x:v>
      </x:c>
      <x:c r="AD234" s="12" t="str"/>
      <x:c r="AE234" s="12" t="str"/>
      <x:c r="AF234" s="12" t="str">
        <x:v>good</x:v>
      </x:c>
      <x:c r="AG234" s="12" t="n">
        <x:v>1</x:v>
      </x:c>
      <x:c r="AH234" s="12" t="str">
        <x:v>good</x:v>
      </x:c>
      <x:c r="AI234" s="12" t="str">
        <x:v>good</x:v>
      </x:c>
      <x:c r="AJ234" s="12" t="str">
        <x:v>good</x:v>
      </x:c>
      <x:c r="AK234" s="12" t="str">
        <x:v>not_applicable</x:v>
      </x:c>
      <x:c r="AL234" s="12" t="str">
        <x:v>none</x:v>
      </x:c>
      <x:c r="AM234" s="14" t="str">
        <x:v>Clear and well-aligned facial landmarks with no major pose, crop, or occlusion issue.</x:v>
      </x:c>
    </x:row>
    <x:row r="235" ht="28" customHeight="1">
      <x:c r="A235" s="12" t="str">
        <x:v>neutral_034</x:v>
      </x:c>
      <x:c r="B235" s="12" t="str">
        <x:v>neutral</x:v>
      </x:c>
      <x:c r="C235" s="14" t="str">
        <x:v>neutral/Training_14708731.jpg</x:v>
      </x:c>
      <x:c r="D235" s="12" t="str">
        <x:v>4487f6f29cf32e49886f58bc9e171518b12204da319730d89e9f9f8c0b069752</x:v>
      </x:c>
      <x:c r="E235" s="12" t="str">
        <x:v>4487f6f29cf32e49886f58bc9e171518b12204da319730d89e9f9f8c0b069752</x:v>
      </x:c>
      <x:c r="F235" s="12" t="str">
        <x:v>True</x:v>
      </x:c>
      <x:c r="G235" s="12" t="str">
        <x:v>48</x:v>
      </x:c>
      <x:c r="H235" s="12" t="str">
        <x:v>48</x:v>
      </x:c>
      <x:c r="I235" s="12" t="str">
        <x:v>0.0</x:v>
      </x:c>
      <x:c r="J235" s="12" t="str">
        <x:v>0.0</x:v>
      </x:c>
      <x:c r="K235" s="12" t="str">
        <x:v>47.0</x:v>
      </x:c>
      <x:c r="L235" s="12" t="str">
        <x:v>47.0</x:v>
      </x:c>
      <x:c r="M235" s="12" t="str">
        <x:v>True</x:v>
      </x:c>
      <x:c r="N235" s="12" t="str">
        <x:v>68</x:v>
      </x:c>
      <x:c r="O235" s="12" t="str">
        <x:v>68</x:v>
      </x:c>
      <x:c r="P235" s="16" t="str">
        <x:v>1.0</x:v>
      </x:c>
      <x:c r="Q235" s="12" t="str">
        <x:v>66</x:v>
      </x:c>
      <x:c r="R235" s="16" t="str">
        <x:v>0.9705882352941176</x:v>
      </x:c>
      <x:c r="S235" s="12" t="str">
        <x:v>0.2</x:v>
      </x:c>
      <x:c r="T235" s="12" t="str">
        <x:v>68</x:v>
      </x:c>
      <x:c r="U235" s="16" t="str">
        <x:v>1.0</x:v>
      </x:c>
      <x:c r="V235" s="18" t="str">
        <x:v>0.6993758082389832</x:v>
      </x:c>
      <x:c r="W235" s="18" t="str">
        <x:v>0.7633190333843232</x:v>
      </x:c>
      <x:c r="X235" s="18" t="str">
        <x:v>0.8362999558448792</x:v>
      </x:c>
      <x:c r="Y235" s="18" t="str">
        <x:v>0.8440445065498352</x:v>
      </x:c>
      <x:c r="Z235" s="18" t="str">
        <x:v>0.8868675589561462</x:v>
      </x:c>
      <x:c r="AA235" s="18" t="str">
        <x:v>0.9073440432548523</x:v>
      </x:c>
      <x:c r="AB235" s="20" t="str">
        <x:v>155.36759999667993</x:v>
      </x:c>
      <x:c r="AC235" s="12" t="str">
        <x:v>overlays\neutral_034.png</x:v>
      </x:c>
      <x:c r="AD235" s="12" t="str"/>
      <x:c r="AE235" s="12" t="str"/>
      <x:c r="AF235" s="12" t="str">
        <x:v>good</x:v>
      </x:c>
      <x:c r="AG235" s="12" t="n">
        <x:v>1</x:v>
      </x:c>
      <x:c r="AH235" s="12" t="str">
        <x:v>good</x:v>
      </x:c>
      <x:c r="AI235" s="12" t="str">
        <x:v>good</x:v>
      </x:c>
      <x:c r="AJ235" s="12" t="str">
        <x:v>good</x:v>
      </x:c>
      <x:c r="AK235" s="12" t="str">
        <x:v>not_applicable</x:v>
      </x:c>
      <x:c r="AL235" s="12" t="str">
        <x:v>none</x:v>
      </x:c>
      <x:c r="AM235" s="14" t="str">
        <x:v>Clear and well-aligned facial landmarks with no major pose, crop, or occlusion issue.</x:v>
      </x:c>
    </x:row>
    <x:row r="236" ht="28" customHeight="1">
      <x:c r="A236" s="12" t="str">
        <x:v>neutral_035</x:v>
      </x:c>
      <x:c r="B236" s="12" t="str">
        <x:v>neutral</x:v>
      </x:c>
      <x:c r="C236" s="14" t="str">
        <x:v>neutral/Training_58665762.jpg</x:v>
      </x:c>
      <x:c r="D236" s="12" t="str">
        <x:v>79a31b956c2dccf82b7402b5688e296602efa7d135cbb0c21abb03e570a5d12d</x:v>
      </x:c>
      <x:c r="E236" s="12" t="str">
        <x:v>79a31b956c2dccf82b7402b5688e296602efa7d135cbb0c21abb03e570a5d12d</x:v>
      </x:c>
      <x:c r="F236" s="12" t="str">
        <x:v>True</x:v>
      </x:c>
      <x:c r="G236" s="12" t="str">
        <x:v>48</x:v>
      </x:c>
      <x:c r="H236" s="12" t="str">
        <x:v>48</x:v>
      </x:c>
      <x:c r="I236" s="12" t="str">
        <x:v>0.0</x:v>
      </x:c>
      <x:c r="J236" s="12" t="str">
        <x:v>0.0</x:v>
      </x:c>
      <x:c r="K236" s="12" t="str">
        <x:v>47.0</x:v>
      </x:c>
      <x:c r="L236" s="12" t="str">
        <x:v>47.0</x:v>
      </x:c>
      <x:c r="M236" s="12" t="str">
        <x:v>True</x:v>
      </x:c>
      <x:c r="N236" s="12" t="str">
        <x:v>68</x:v>
      </x:c>
      <x:c r="O236" s="12" t="str">
        <x:v>68</x:v>
      </x:c>
      <x:c r="P236" s="16" t="str">
        <x:v>1.0</x:v>
      </x:c>
      <x:c r="Q236" s="12" t="str">
        <x:v>68</x:v>
      </x:c>
      <x:c r="R236" s="16" t="str">
        <x:v>1.0</x:v>
      </x:c>
      <x:c r="S236" s="12" t="str">
        <x:v>0.2</x:v>
      </x:c>
      <x:c r="T236" s="12" t="str">
        <x:v>68</x:v>
      </x:c>
      <x:c r="U236" s="16" t="str">
        <x:v>1.0</x:v>
      </x:c>
      <x:c r="V236" s="18" t="str">
        <x:v>0.6317542791366577</x:v>
      </x:c>
      <x:c r="W236" s="18" t="str">
        <x:v>0.7486746788024903</x:v>
      </x:c>
      <x:c r="X236" s="18" t="str">
        <x:v>0.8067932724952698</x:v>
      </x:c>
      <x:c r="Y236" s="18" t="str">
        <x:v>0.8142399787902832</x:v>
      </x:c>
      <x:c r="Z236" s="18" t="str">
        <x:v>0.8613996386528016</x:v>
      </x:c>
      <x:c r="AA236" s="18" t="str">
        <x:v>0.8933302164077759</x:v>
      </x:c>
      <x:c r="AB236" s="20" t="str">
        <x:v>200.9159000008367</x:v>
      </x:c>
      <x:c r="AC236" s="12" t="str">
        <x:v>overlays\neutral_035.png</x:v>
      </x:c>
      <x:c r="AD236" s="12" t="str"/>
      <x:c r="AE236" s="12" t="str"/>
      <x:c r="AF236" s="12" t="str">
        <x:v>acceptable</x:v>
      </x:c>
      <x:c r="AG236" s="12" t="n">
        <x:v>1</x:v>
      </x:c>
      <x:c r="AH236" s="12" t="str">
        <x:v>acceptable</x:v>
      </x:c>
      <x:c r="AI236" s="12" t="str">
        <x:v>acceptable</x:v>
      </x:c>
      <x:c r="AJ236" s="12" t="str">
        <x:v>acceptable</x:v>
      </x:c>
      <x:c r="AK236" s="12" t="str">
        <x:v>not_applicable</x:v>
      </x:c>
      <x:c r="AL236" s="12" t="str">
        <x:v>mild</x:v>
      </x:c>
      <x:c r="AM236" s="14" t="str">
        <x:v>Large pose or profile; visible landmarks remain useful, while hidden-side and contour points are inferred.</x:v>
      </x:c>
    </x:row>
    <x:row r="237" ht="28" customHeight="1">
      <x:c r="A237" s="12" t="str">
        <x:v>neutral_036</x:v>
      </x:c>
      <x:c r="B237" s="12" t="str">
        <x:v>neutral</x:v>
      </x:c>
      <x:c r="C237" s="14" t="str">
        <x:v>neutral/Training_19862124.jpg</x:v>
      </x:c>
      <x:c r="D237" s="12" t="str">
        <x:v>70bdc11331d0b34c8ad1d05291b7d4f6065ae32f52902d005f77b15ef7282528</x:v>
      </x:c>
      <x:c r="E237" s="12" t="str">
        <x:v>70bdc11331d0b34c8ad1d05291b7d4f6065ae32f52902d005f77b15ef7282528</x:v>
      </x:c>
      <x:c r="F237" s="12" t="str">
        <x:v>True</x:v>
      </x:c>
      <x:c r="G237" s="12" t="str">
        <x:v>48</x:v>
      </x:c>
      <x:c r="H237" s="12" t="str">
        <x:v>48</x:v>
      </x:c>
      <x:c r="I237" s="12" t="str">
        <x:v>0.0</x:v>
      </x:c>
      <x:c r="J237" s="12" t="str">
        <x:v>0.0</x:v>
      </x:c>
      <x:c r="K237" s="12" t="str">
        <x:v>47.0</x:v>
      </x:c>
      <x:c r="L237" s="12" t="str">
        <x:v>47.0</x:v>
      </x:c>
      <x:c r="M237" s="12" t="str">
        <x:v>True</x:v>
      </x:c>
      <x:c r="N237" s="12" t="str">
        <x:v>68</x:v>
      </x:c>
      <x:c r="O237" s="12" t="str">
        <x:v>68</x:v>
      </x:c>
      <x:c r="P237" s="16" t="str">
        <x:v>1.0</x:v>
      </x:c>
      <x:c r="Q237" s="12" t="str">
        <x:v>68</x:v>
      </x:c>
      <x:c r="R237" s="16" t="str">
        <x:v>1.0</x:v>
      </x:c>
      <x:c r="S237" s="12" t="str">
        <x:v>0.2</x:v>
      </x:c>
      <x:c r="T237" s="12" t="str">
        <x:v>68</x:v>
      </x:c>
      <x:c r="U237" s="16" t="str">
        <x:v>1.0</x:v>
      </x:c>
      <x:c r="V237" s="18" t="str">
        <x:v>0.6843388676643372</x:v>
      </x:c>
      <x:c r="W237" s="18" t="str">
        <x:v>0.7644386947154999</x:v>
      </x:c>
      <x:c r="X237" s="18" t="str">
        <x:v>0.8351009488105774</x:v>
      </x:c>
      <x:c r="Y237" s="18" t="str">
        <x:v>0.8480064272880554</x:v>
      </x:c>
      <x:c r="Z237" s="18" t="str">
        <x:v>0.8869419515132904</x:v>
      </x:c>
      <x:c r="AA237" s="18" t="str">
        <x:v>0.9008445739746094</x:v>
      </x:c>
      <x:c r="AB237" s="20" t="str">
        <x:v>152.0334000015282</x:v>
      </x:c>
      <x:c r="AC237" s="12" t="str">
        <x:v>overlays\neutral_036.png</x:v>
      </x:c>
      <x:c r="AD237" s="12" t="str"/>
      <x:c r="AE237" s="12" t="str"/>
      <x:c r="AF237" s="12" t="str">
        <x:v>good</x:v>
      </x:c>
      <x:c r="AG237" s="12" t="n">
        <x:v>1</x:v>
      </x:c>
      <x:c r="AH237" s="12" t="str">
        <x:v>good</x:v>
      </x:c>
      <x:c r="AI237" s="12" t="str">
        <x:v>good</x:v>
      </x:c>
      <x:c r="AJ237" s="12" t="str">
        <x:v>good</x:v>
      </x:c>
      <x:c r="AK237" s="12" t="str">
        <x:v>good</x:v>
      </x:c>
      <x:c r="AL237" s="12" t="str">
        <x:v>none</x:v>
      </x:c>
      <x:c r="AM237" s="14" t="str">
        <x:v>Clear and well-aligned facial landmarks with no major pose, crop, or occlusion issue.</x:v>
      </x:c>
    </x:row>
    <x:row r="238" ht="28" customHeight="1">
      <x:c r="A238" s="12" t="str">
        <x:v>neutral_037</x:v>
      </x:c>
      <x:c r="B238" s="12" t="str">
        <x:v>neutral</x:v>
      </x:c>
      <x:c r="C238" s="14" t="str">
        <x:v>neutral/Training_86387957.jpg</x:v>
      </x:c>
      <x:c r="D238" s="12" t="str">
        <x:v>644e2af2732fe21c974a3dc8f3aa5bdb92ffb79c6c1ba893e7f1d2e1a4443044</x:v>
      </x:c>
      <x:c r="E238" s="12" t="str">
        <x:v>644e2af2732fe21c974a3dc8f3aa5bdb92ffb79c6c1ba893e7f1d2e1a4443044</x:v>
      </x:c>
      <x:c r="F238" s="12" t="str">
        <x:v>True</x:v>
      </x:c>
      <x:c r="G238" s="12" t="str">
        <x:v>48</x:v>
      </x:c>
      <x:c r="H238" s="12" t="str">
        <x:v>48</x:v>
      </x:c>
      <x:c r="I238" s="12" t="str">
        <x:v>0.0</x:v>
      </x:c>
      <x:c r="J238" s="12" t="str">
        <x:v>0.0</x:v>
      </x:c>
      <x:c r="K238" s="12" t="str">
        <x:v>47.0</x:v>
      </x:c>
      <x:c r="L238" s="12" t="str">
        <x:v>47.0</x:v>
      </x:c>
      <x:c r="M238" s="12" t="str">
        <x:v>True</x:v>
      </x:c>
      <x:c r="N238" s="12" t="str">
        <x:v>68</x:v>
      </x:c>
      <x:c r="O238" s="12" t="str">
        <x:v>68</x:v>
      </x:c>
      <x:c r="P238" s="16" t="str">
        <x:v>1.0</x:v>
      </x:c>
      <x:c r="Q238" s="12" t="str">
        <x:v>67</x:v>
      </x:c>
      <x:c r="R238" s="16" t="str">
        <x:v>0.9852941176470589</x:v>
      </x:c>
      <x:c r="S238" s="12" t="str">
        <x:v>0.2</x:v>
      </x:c>
      <x:c r="T238" s="12" t="str">
        <x:v>68</x:v>
      </x:c>
      <x:c r="U238" s="16" t="str">
        <x:v>1.0</x:v>
      </x:c>
      <x:c r="V238" s="18" t="str">
        <x:v>0.761770486831665</x:v>
      </x:c>
      <x:c r="W238" s="18" t="str">
        <x:v>0.8107301890850067</x:v>
      </x:c>
      <x:c r="X238" s="18" t="str">
        <x:v>0.8546868562698364</x:v>
      </x:c>
      <x:c r="Y238" s="18" t="str">
        <x:v>0.8547909259796143</x:v>
      </x:c>
      <x:c r="Z238" s="18" t="str">
        <x:v>0.8919105529785156</x:v>
      </x:c>
      <x:c r="AA238" s="18" t="str">
        <x:v>0.9174037575721741</x:v>
      </x:c>
      <x:c r="AB238" s="20" t="str">
        <x:v>152.33509999961825</x:v>
      </x:c>
      <x:c r="AC238" s="12" t="str">
        <x:v>overlays\neutral_037.png</x:v>
      </x:c>
      <x:c r="AD238" s="12" t="str"/>
      <x:c r="AE238" s="12" t="str"/>
      <x:c r="AF238" s="12" t="str">
        <x:v>good</x:v>
      </x:c>
      <x:c r="AG238" s="12" t="n">
        <x:v>1</x:v>
      </x:c>
      <x:c r="AH238" s="12" t="str">
        <x:v>good</x:v>
      </x:c>
      <x:c r="AI238" s="12" t="str">
        <x:v>good</x:v>
      </x:c>
      <x:c r="AJ238" s="12" t="str">
        <x:v>good</x:v>
      </x:c>
      <x:c r="AK238" s="12" t="str">
        <x:v>good</x:v>
      </x:c>
      <x:c r="AL238" s="12" t="str">
        <x:v>none</x:v>
      </x:c>
      <x:c r="AM238" s="14" t="str">
        <x:v>Clear and well-aligned facial landmarks with no major pose, crop, or occlusion issue.</x:v>
      </x:c>
    </x:row>
    <x:row r="239" ht="28" customHeight="1">
      <x:c r="A239" s="12" t="str">
        <x:v>neutral_038</x:v>
      </x:c>
      <x:c r="B239" s="12" t="str">
        <x:v>neutral</x:v>
      </x:c>
      <x:c r="C239" s="14" t="str">
        <x:v>neutral/Training_44950675.jpg</x:v>
      </x:c>
      <x:c r="D239" s="12" t="str">
        <x:v>bfec0c9df4f154a34141754761e347a8f88220a560f78f8e55ab86aa7baa3250</x:v>
      </x:c>
      <x:c r="E239" s="12" t="str">
        <x:v>bfec0c9df4f154a34141754761e347a8f88220a560f78f8e55ab86aa7baa3250</x:v>
      </x:c>
      <x:c r="F239" s="12" t="str">
        <x:v>True</x:v>
      </x:c>
      <x:c r="G239" s="12" t="str">
        <x:v>48</x:v>
      </x:c>
      <x:c r="H239" s="12" t="str">
        <x:v>48</x:v>
      </x:c>
      <x:c r="I239" s="12" t="str">
        <x:v>0.0</x:v>
      </x:c>
      <x:c r="J239" s="12" t="str">
        <x:v>0.0</x:v>
      </x:c>
      <x:c r="K239" s="12" t="str">
        <x:v>47.0</x:v>
      </x:c>
      <x:c r="L239" s="12" t="str">
        <x:v>47.0</x:v>
      </x:c>
      <x:c r="M239" s="12" t="str">
        <x:v>True</x:v>
      </x:c>
      <x:c r="N239" s="12" t="str">
        <x:v>68</x:v>
      </x:c>
      <x:c r="O239" s="12" t="str">
        <x:v>68</x:v>
      </x:c>
      <x:c r="P239" s="16" t="str">
        <x:v>1.0</x:v>
      </x:c>
      <x:c r="Q239" s="12" t="str">
        <x:v>66</x:v>
      </x:c>
      <x:c r="R239" s="16" t="str">
        <x:v>0.9705882352941176</x:v>
      </x:c>
      <x:c r="S239" s="12" t="str">
        <x:v>0.2</x:v>
      </x:c>
      <x:c r="T239" s="12" t="str">
        <x:v>68</x:v>
      </x:c>
      <x:c r="U239" s="16" t="str">
        <x:v>1.0</x:v>
      </x:c>
      <x:c r="V239" s="18" t="str">
        <x:v>0.7017661929130554</x:v>
      </x:c>
      <x:c r="W239" s="18" t="str">
        <x:v>0.7446807205677033</x:v>
      </x:c>
      <x:c r="X239" s="18" t="str">
        <x:v>0.799629271030426</x:v>
      </x:c>
      <x:c r="Y239" s="18" t="str">
        <x:v>0.8078738451004028</x:v>
      </x:c>
      <x:c r="Z239" s="18" t="str">
        <x:v>0.84139084815979</x:v>
      </x:c>
      <x:c r="AA239" s="18" t="str">
        <x:v>0.8529844880104065</x:v>
      </x:c>
      <x:c r="AB239" s="20" t="str">
        <x:v>154.60219999658875</x:v>
      </x:c>
      <x:c r="AC239" s="12" t="str">
        <x:v>overlays\neutral_038.png</x:v>
      </x:c>
      <x:c r="AD239" s="12" t="str"/>
      <x:c r="AE239" s="12" t="str"/>
      <x:c r="AF239" s="12" t="str">
        <x:v>acceptable</x:v>
      </x:c>
      <x:c r="AG239" s="12" t="n">
        <x:v>1</x:v>
      </x:c>
      <x:c r="AH239" s="12" t="str">
        <x:v>acceptable</x:v>
      </x:c>
      <x:c r="AI239" s="12" t="str">
        <x:v>acceptable</x:v>
      </x:c>
      <x:c r="AJ239" s="12" t="str">
        <x:v>acceptable</x:v>
      </x:c>
      <x:c r="AK239" s="12" t="str">
        <x:v>not_applicable</x:v>
      </x:c>
      <x:c r="AL239" s="12" t="str">
        <x:v>mild</x:v>
      </x:c>
      <x:c r="AM239" s="14" t="str">
        <x:v>Large pose or profile; visible landmarks remain useful, while hidden-side and contour points are inferred.</x:v>
      </x:c>
    </x:row>
    <x:row r="240" ht="28" customHeight="1">
      <x:c r="A240" s="12" t="str">
        <x:v>neutral_039</x:v>
      </x:c>
      <x:c r="B240" s="12" t="str">
        <x:v>neutral</x:v>
      </x:c>
      <x:c r="C240" s="14" t="str">
        <x:v>neutral/Training_51009443.jpg</x:v>
      </x:c>
      <x:c r="D240" s="12" t="str">
        <x:v>9647f8a7f2a427af879e5a5fc6d3ae5b65ac7a9a43b88c181ae8bd95e2433e0d</x:v>
      </x:c>
      <x:c r="E240" s="12" t="str">
        <x:v>9647f8a7f2a427af879e5a5fc6d3ae5b65ac7a9a43b88c181ae8bd95e2433e0d</x:v>
      </x:c>
      <x:c r="F240" s="12" t="str">
        <x:v>True</x:v>
      </x:c>
      <x:c r="G240" s="12" t="str">
        <x:v>48</x:v>
      </x:c>
      <x:c r="H240" s="12" t="str">
        <x:v>48</x:v>
      </x:c>
      <x:c r="I240" s="12" t="str">
        <x:v>0.0</x:v>
      </x:c>
      <x:c r="J240" s="12" t="str">
        <x:v>0.0</x:v>
      </x:c>
      <x:c r="K240" s="12" t="str">
        <x:v>47.0</x:v>
      </x:c>
      <x:c r="L240" s="12" t="str">
        <x:v>47.0</x:v>
      </x:c>
      <x:c r="M240" s="12" t="str">
        <x:v>True</x:v>
      </x:c>
      <x:c r="N240" s="12" t="str">
        <x:v>68</x:v>
      </x:c>
      <x:c r="O240" s="12" t="str">
        <x:v>68</x:v>
      </x:c>
      <x:c r="P240" s="16" t="str">
        <x:v>1.0</x:v>
      </x:c>
      <x:c r="Q240" s="12" t="str">
        <x:v>68</x:v>
      </x:c>
      <x:c r="R240" s="16" t="str">
        <x:v>1.0</x:v>
      </x:c>
      <x:c r="S240" s="12" t="str">
        <x:v>0.2</x:v>
      </x:c>
      <x:c r="T240" s="12" t="str">
        <x:v>68</x:v>
      </x:c>
      <x:c r="U240" s="16" t="str">
        <x:v>1.0</x:v>
      </x:c>
      <x:c r="V240" s="18" t="str">
        <x:v>0.6345354318618774</x:v>
      </x:c>
      <x:c r="W240" s="18" t="str">
        <x:v>0.6855286657810211</x:v>
      </x:c>
      <x:c r="X240" s="18" t="str">
        <x:v>0.7443618774414062</x:v>
      </x:c>
      <x:c r="Y240" s="18" t="str">
        <x:v>0.7506061792373657</x:v>
      </x:c>
      <x:c r="Z240" s="18" t="str">
        <x:v>0.7978063941001893</x:v>
      </x:c>
      <x:c r="AA240" s="18" t="str">
        <x:v>0.8504194617271423</x:v>
      </x:c>
      <x:c r="AB240" s="20" t="str">
        <x:v>176.4785999985179</x:v>
      </x:c>
      <x:c r="AC240" s="12" t="str">
        <x:v>overlays\neutral_039.png</x:v>
      </x:c>
      <x:c r="AD240" s="12" t="str"/>
      <x:c r="AE240" s="12" t="str"/>
      <x:c r="AF240" s="12" t="str">
        <x:v>acceptable</x:v>
      </x:c>
      <x:c r="AG240" s="12" t="n">
        <x:v>1</x:v>
      </x:c>
      <x:c r="AH240" s="12" t="str">
        <x:v>acceptable</x:v>
      </x:c>
      <x:c r="AI240" s="12" t="str">
        <x:v>acceptable</x:v>
      </x:c>
      <x:c r="AJ240" s="12" t="str">
        <x:v>acceptable</x:v>
      </x:c>
      <x:c r="AK240" s="12" t="str">
        <x:v>not_applicable</x:v>
      </x:c>
      <x:c r="AL240" s="12" t="str">
        <x:v>mild</x:v>
      </x:c>
      <x:c r="AM240" s="14" t="str">
        <x:v>Moderate pose, crop, blur, or facial texture causes minor landmark uncertainty; the result remains usable.</x:v>
      </x:c>
    </x:row>
    <x:row r="241" ht="28" customHeight="1">
      <x:c r="A241" s="12" t="str">
        <x:v>neutral_040</x:v>
      </x:c>
      <x:c r="B241" s="12" t="str">
        <x:v>neutral</x:v>
      </x:c>
      <x:c r="C241" s="14" t="str">
        <x:v>neutral/Training_82253395.jpg</x:v>
      </x:c>
      <x:c r="D241" s="12" t="str">
        <x:v>01fe25e2ad960d0bac72bd328e11d972ee8be93167296d2c73e437fc1f821b25</x:v>
      </x:c>
      <x:c r="E241" s="12" t="str">
        <x:v>01fe25e2ad960d0bac72bd328e11d972ee8be93167296d2c73e437fc1f821b25</x:v>
      </x:c>
      <x:c r="F241" s="12" t="str">
        <x:v>True</x:v>
      </x:c>
      <x:c r="G241" s="12" t="str">
        <x:v>48</x:v>
      </x:c>
      <x:c r="H241" s="12" t="str">
        <x:v>48</x:v>
      </x:c>
      <x:c r="I241" s="12" t="str">
        <x:v>0.0</x:v>
      </x:c>
      <x:c r="J241" s="12" t="str">
        <x:v>0.0</x:v>
      </x:c>
      <x:c r="K241" s="12" t="str">
        <x:v>47.0</x:v>
      </x:c>
      <x:c r="L241" s="12" t="str">
        <x:v>47.0</x:v>
      </x:c>
      <x:c r="M241" s="12" t="str">
        <x:v>True</x:v>
      </x:c>
      <x:c r="N241" s="12" t="str">
        <x:v>68</x:v>
      </x:c>
      <x:c r="O241" s="12" t="str">
        <x:v>68</x:v>
      </x:c>
      <x:c r="P241" s="16" t="str">
        <x:v>1.0</x:v>
      </x:c>
      <x:c r="Q241" s="12" t="str">
        <x:v>67</x:v>
      </x:c>
      <x:c r="R241" s="16" t="str">
        <x:v>0.9852941176470589</x:v>
      </x:c>
      <x:c r="S241" s="12" t="str">
        <x:v>0.2</x:v>
      </x:c>
      <x:c r="T241" s="12" t="str">
        <x:v>68</x:v>
      </x:c>
      <x:c r="U241" s="16" t="str">
        <x:v>1.0</x:v>
      </x:c>
      <x:c r="V241" s="18" t="str">
        <x:v>0.6707642674446106</x:v>
      </x:c>
      <x:c r="W241" s="18" t="str">
        <x:v>0.7956731021404266</x:v>
      </x:c>
      <x:c r="X241" s="18" t="str">
        <x:v>0.8300874829292297</x:v>
      </x:c>
      <x:c r="Y241" s="18" t="str">
        <x:v>0.8337537050247192</x:v>
      </x:c>
      <x:c r="Z241" s="18" t="str">
        <x:v>0.8675965964794159</x:v>
      </x:c>
      <x:c r="AA241" s="18" t="str">
        <x:v>0.8940831422805786</x:v>
      </x:c>
      <x:c r="AB241" s="20" t="str">
        <x:v>168.46760000044014</x:v>
      </x:c>
      <x:c r="AC241" s="12" t="str">
        <x:v>overlays\neutral_040.png</x:v>
      </x:c>
      <x:c r="AD241" s="12" t="str"/>
      <x:c r="AE241" s="12" t="str"/>
      <x:c r="AF241" s="12" t="str">
        <x:v>good</x:v>
      </x:c>
      <x:c r="AG241" s="12" t="n">
        <x:v>1</x:v>
      </x:c>
      <x:c r="AH241" s="12" t="str">
        <x:v>good</x:v>
      </x:c>
      <x:c r="AI241" s="12" t="str">
        <x:v>good</x:v>
      </x:c>
      <x:c r="AJ241" s="12" t="str">
        <x:v>good</x:v>
      </x:c>
      <x:c r="AK241" s="12" t="str">
        <x:v>not_applicable</x:v>
      </x:c>
      <x:c r="AL241" s="12" t="str">
        <x:v>none</x:v>
      </x:c>
      <x:c r="AM241" s="14" t="str">
        <x:v>Clear and well-aligned facial landmarks with no major pose, crop, or occlusion issue.</x:v>
      </x:c>
    </x:row>
    <x:row r="242" ht="28" customHeight="1">
      <x:c r="A242" s="12" t="str">
        <x:v>neutral_041</x:v>
      </x:c>
      <x:c r="B242" s="12" t="str">
        <x:v>neutral</x:v>
      </x:c>
      <x:c r="C242" s="14" t="str">
        <x:v>neutral/Training_41253357.jpg</x:v>
      </x:c>
      <x:c r="D242" s="12" t="str">
        <x:v>14e60e54c9ef39a1c0c585f323fd73543549edb7fefd4d08fc6db32d0b776359</x:v>
      </x:c>
      <x:c r="E242" s="12" t="str">
        <x:v>14e60e54c9ef39a1c0c585f323fd73543549edb7fefd4d08fc6db32d0b776359</x:v>
      </x:c>
      <x:c r="F242" s="12" t="str">
        <x:v>True</x:v>
      </x:c>
      <x:c r="G242" s="12" t="str">
        <x:v>48</x:v>
      </x:c>
      <x:c r="H242" s="12" t="str">
        <x:v>48</x:v>
      </x:c>
      <x:c r="I242" s="12" t="str">
        <x:v>0.0</x:v>
      </x:c>
      <x:c r="J242" s="12" t="str">
        <x:v>0.0</x:v>
      </x:c>
      <x:c r="K242" s="12" t="str">
        <x:v>47.0</x:v>
      </x:c>
      <x:c r="L242" s="12" t="str">
        <x:v>47.0</x:v>
      </x:c>
      <x:c r="M242" s="12" t="str">
        <x:v>True</x:v>
      </x:c>
      <x:c r="N242" s="12" t="str">
        <x:v>68</x:v>
      </x:c>
      <x:c r="O242" s="12" t="str">
        <x:v>68</x:v>
      </x:c>
      <x:c r="P242" s="16" t="str">
        <x:v>1.0</x:v>
      </x:c>
      <x:c r="Q242" s="12" t="str">
        <x:v>67</x:v>
      </x:c>
      <x:c r="R242" s="16" t="str">
        <x:v>0.9852941176470589</x:v>
      </x:c>
      <x:c r="S242" s="12" t="str">
        <x:v>0.2</x:v>
      </x:c>
      <x:c r="T242" s="12" t="str">
        <x:v>68</x:v>
      </x:c>
      <x:c r="U242" s="16" t="str">
        <x:v>1.0</x:v>
      </x:c>
      <x:c r="V242" s="18" t="str">
        <x:v>0.7369246482849121</x:v>
      </x:c>
      <x:c r="W242" s="18" t="str">
        <x:v>0.7999351680278778</x:v>
      </x:c>
      <x:c r="X242" s="18" t="str">
        <x:v>0.8405945897102356</x:v>
      </x:c>
      <x:c r="Y242" s="18" t="str">
        <x:v>0.8431805372238159</x:v>
      </x:c>
      <x:c r="Z242" s="18" t="str">
        <x:v>0.8802728533744812</x:v>
      </x:c>
      <x:c r="AA242" s="18" t="str">
        <x:v>0.9224525690078735</x:v>
      </x:c>
      <x:c r="AB242" s="20" t="str">
        <x:v>173.69370000233175</x:v>
      </x:c>
      <x:c r="AC242" s="12" t="str">
        <x:v>overlays\neutral_041.png</x:v>
      </x:c>
      <x:c r="AD242" s="12" t="str"/>
      <x:c r="AE242" s="12" t="str"/>
      <x:c r="AF242" s="12" t="str">
        <x:v>good</x:v>
      </x:c>
      <x:c r="AG242" s="12" t="n">
        <x:v>1</x:v>
      </x:c>
      <x:c r="AH242" s="12" t="str">
        <x:v>good</x:v>
      </x:c>
      <x:c r="AI242" s="12" t="str">
        <x:v>good</x:v>
      </x:c>
      <x:c r="AJ242" s="12" t="str">
        <x:v>good</x:v>
      </x:c>
      <x:c r="AK242" s="12" t="str">
        <x:v>not_applicable</x:v>
      </x:c>
      <x:c r="AL242" s="12" t="str">
        <x:v>none</x:v>
      </x:c>
      <x:c r="AM242" s="14" t="str">
        <x:v>Clear and well-aligned facial landmarks with no major pose, crop, or occlusion issue.</x:v>
      </x:c>
    </x:row>
    <x:row r="243" ht="28" customHeight="1">
      <x:c r="A243" s="12" t="str">
        <x:v>neutral_042</x:v>
      </x:c>
      <x:c r="B243" s="12" t="str">
        <x:v>neutral</x:v>
      </x:c>
      <x:c r="C243" s="14" t="str">
        <x:v>neutral/Training_28918268.jpg</x:v>
      </x:c>
      <x:c r="D243" s="12" t="str">
        <x:v>bbcb37f95b89fa3c837a9c2fe1013e57da7af30da40a6bdc14fe2191d618ec18</x:v>
      </x:c>
      <x:c r="E243" s="12" t="str">
        <x:v>bbcb37f95b89fa3c837a9c2fe1013e57da7af30da40a6bdc14fe2191d618ec18</x:v>
      </x:c>
      <x:c r="F243" s="12" t="str">
        <x:v>True</x:v>
      </x:c>
      <x:c r="G243" s="12" t="str">
        <x:v>48</x:v>
      </x:c>
      <x:c r="H243" s="12" t="str">
        <x:v>48</x:v>
      </x:c>
      <x:c r="I243" s="12" t="str">
        <x:v>0.0</x:v>
      </x:c>
      <x:c r="J243" s="12" t="str">
        <x:v>0.0</x:v>
      </x:c>
      <x:c r="K243" s="12" t="str">
        <x:v>47.0</x:v>
      </x:c>
      <x:c r="L243" s="12" t="str">
        <x:v>47.0</x:v>
      </x:c>
      <x:c r="M243" s="12" t="str">
        <x:v>True</x:v>
      </x:c>
      <x:c r="N243" s="12" t="str">
        <x:v>68</x:v>
      </x:c>
      <x:c r="O243" s="12" t="str">
        <x:v>68</x:v>
      </x:c>
      <x:c r="P243" s="16" t="str">
        <x:v>1.0</x:v>
      </x:c>
      <x:c r="Q243" s="12" t="str">
        <x:v>68</x:v>
      </x:c>
      <x:c r="R243" s="16" t="str">
        <x:v>1.0</x:v>
      </x:c>
      <x:c r="S243" s="12" t="str">
        <x:v>0.2</x:v>
      </x:c>
      <x:c r="T243" s="12" t="str">
        <x:v>68</x:v>
      </x:c>
      <x:c r="U243" s="16" t="str">
        <x:v>1.0</x:v>
      </x:c>
      <x:c r="V243" s="18" t="str">
        <x:v>0.639575719833374</x:v>
      </x:c>
      <x:c r="W243" s="18" t="str">
        <x:v>0.7300114631652832</x:v>
      </x:c>
      <x:c r="X243" s="18" t="str">
        <x:v>0.8194373846054077</x:v>
      </x:c>
      <x:c r="Y243" s="18" t="str">
        <x:v>0.8341954946517944</x:v>
      </x:c>
      <x:c r="Z243" s="18" t="str">
        <x:v>0.8746248483657837</x:v>
      </x:c>
      <x:c r="AA243" s="18" t="str">
        <x:v>0.899969220161438</x:v>
      </x:c>
      <x:c r="AB243" s="20" t="str">
        <x:v>160.52959999797167</x:v>
      </x:c>
      <x:c r="AC243" s="12" t="str">
        <x:v>overlays\neutral_042.png</x:v>
      </x:c>
      <x:c r="AD243" s="12" t="str"/>
      <x:c r="AE243" s="12" t="str"/>
      <x:c r="AF243" s="12" t="str">
        <x:v>acceptable</x:v>
      </x:c>
      <x:c r="AG243" s="12" t="n">
        <x:v>1</x:v>
      </x:c>
      <x:c r="AH243" s="12" t="str">
        <x:v>acceptable</x:v>
      </x:c>
      <x:c r="AI243" s="12" t="str">
        <x:v>acceptable</x:v>
      </x:c>
      <x:c r="AJ243" s="12" t="str">
        <x:v>acceptable</x:v>
      </x:c>
      <x:c r="AK243" s="12" t="str">
        <x:v>not_applicable</x:v>
      </x:c>
      <x:c r="AL243" s="12" t="str">
        <x:v>mild</x:v>
      </x:c>
      <x:c r="AM243" s="14" t="str">
        <x:v>Moderate pose, crop, blur, or facial texture causes minor landmark uncertainty; the result remains usable.</x:v>
      </x:c>
    </x:row>
    <x:row r="244" ht="28" customHeight="1">
      <x:c r="A244" s="12" t="str">
        <x:v>neutral_043</x:v>
      </x:c>
      <x:c r="B244" s="12" t="str">
        <x:v>neutral</x:v>
      </x:c>
      <x:c r="C244" s="14" t="str">
        <x:v>neutral/Training_94457993.jpg</x:v>
      </x:c>
      <x:c r="D244" s="12" t="str">
        <x:v>274f8ac0caec25ed40368552f1e02e409b88fa25299c43f804395c60e4ae8658</x:v>
      </x:c>
      <x:c r="E244" s="12" t="str">
        <x:v>274f8ac0caec25ed40368552f1e02e409b88fa25299c43f804395c60e4ae8658</x:v>
      </x:c>
      <x:c r="F244" s="12" t="str">
        <x:v>True</x:v>
      </x:c>
      <x:c r="G244" s="12" t="str">
        <x:v>48</x:v>
      </x:c>
      <x:c r="H244" s="12" t="str">
        <x:v>48</x:v>
      </x:c>
      <x:c r="I244" s="12" t="str">
        <x:v>0.0</x:v>
      </x:c>
      <x:c r="J244" s="12" t="str">
        <x:v>0.0</x:v>
      </x:c>
      <x:c r="K244" s="12" t="str">
        <x:v>47.0</x:v>
      </x:c>
      <x:c r="L244" s="12" t="str">
        <x:v>47.0</x:v>
      </x:c>
      <x:c r="M244" s="12" t="str">
        <x:v>True</x:v>
      </x:c>
      <x:c r="N244" s="12" t="str">
        <x:v>68</x:v>
      </x:c>
      <x:c r="O244" s="12" t="str">
        <x:v>68</x:v>
      </x:c>
      <x:c r="P244" s="16" t="str">
        <x:v>1.0</x:v>
      </x:c>
      <x:c r="Q244" s="12" t="str">
        <x:v>66</x:v>
      </x:c>
      <x:c r="R244" s="16" t="str">
        <x:v>0.9705882352941176</x:v>
      </x:c>
      <x:c r="S244" s="12" t="str">
        <x:v>0.2</x:v>
      </x:c>
      <x:c r="T244" s="12" t="str">
        <x:v>68</x:v>
      </x:c>
      <x:c r="U244" s="16" t="str">
        <x:v>1.0</x:v>
      </x:c>
      <x:c r="V244" s="18" t="str">
        <x:v>0.7520931363105774</x:v>
      </x:c>
      <x:c r="W244" s="18" t="str">
        <x:v>0.7796710908412934</x:v>
      </x:c>
      <x:c r="X244" s="18" t="str">
        <x:v>0.8220245838165283</x:v>
      </x:c>
      <x:c r="Y244" s="18" t="str">
        <x:v>0.8256254196166992</x:v>
      </x:c>
      <x:c r="Z244" s="18" t="str">
        <x:v>0.8583353638648987</x:v>
      </x:c>
      <x:c r="AA244" s="18" t="str">
        <x:v>0.8880923986434937</x:v>
      </x:c>
      <x:c r="AB244" s="20" t="str">
        <x:v>167.48280000319937</x:v>
      </x:c>
      <x:c r="AC244" s="12" t="str">
        <x:v>overlays\neutral_043.png</x:v>
      </x:c>
      <x:c r="AD244" s="12" t="str"/>
      <x:c r="AE244" s="12" t="str"/>
      <x:c r="AF244" s="12" t="str">
        <x:v>acceptable</x:v>
      </x:c>
      <x:c r="AG244" s="12" t="n">
        <x:v>1</x:v>
      </x:c>
      <x:c r="AH244" s="12" t="str">
        <x:v>acceptable</x:v>
      </x:c>
      <x:c r="AI244" s="12" t="str">
        <x:v>acceptable</x:v>
      </x:c>
      <x:c r="AJ244" s="12" t="str">
        <x:v>acceptable</x:v>
      </x:c>
      <x:c r="AK244" s="12" t="str">
        <x:v>not_applicable</x:v>
      </x:c>
      <x:c r="AL244" s="12" t="str">
        <x:v>mild</x:v>
      </x:c>
      <x:c r="AM244" s="14" t="str">
        <x:v>Large pose or profile; visible landmarks remain useful, while hidden-side and contour points are inferred.</x:v>
      </x:c>
    </x:row>
    <x:row r="245" ht="28" customHeight="1">
      <x:c r="A245" s="12" t="str">
        <x:v>neutral_044</x:v>
      </x:c>
      <x:c r="B245" s="12" t="str">
        <x:v>neutral</x:v>
      </x:c>
      <x:c r="C245" s="14" t="str">
        <x:v>neutral/Training_95241865.jpg</x:v>
      </x:c>
      <x:c r="D245" s="12" t="str">
        <x:v>b7891807518379c213ea0f1420940b9487f95aad44a6c2299df158c67a8b87d3</x:v>
      </x:c>
      <x:c r="E245" s="12" t="str">
        <x:v>b7891807518379c213ea0f1420940b9487f95aad44a6c2299df158c67a8b87d3</x:v>
      </x:c>
      <x:c r="F245" s="12" t="str">
        <x:v>True</x:v>
      </x:c>
      <x:c r="G245" s="12" t="str">
        <x:v>48</x:v>
      </x:c>
      <x:c r="H245" s="12" t="str">
        <x:v>48</x:v>
      </x:c>
      <x:c r="I245" s="12" t="str">
        <x:v>0.0</x:v>
      </x:c>
      <x:c r="J245" s="12" t="str">
        <x:v>0.0</x:v>
      </x:c>
      <x:c r="K245" s="12" t="str">
        <x:v>47.0</x:v>
      </x:c>
      <x:c r="L245" s="12" t="str">
        <x:v>47.0</x:v>
      </x:c>
      <x:c r="M245" s="12" t="str">
        <x:v>True</x:v>
      </x:c>
      <x:c r="N245" s="12" t="str">
        <x:v>68</x:v>
      </x:c>
      <x:c r="O245" s="12" t="str">
        <x:v>68</x:v>
      </x:c>
      <x:c r="P245" s="16" t="str">
        <x:v>1.0</x:v>
      </x:c>
      <x:c r="Q245" s="12" t="str">
        <x:v>68</x:v>
      </x:c>
      <x:c r="R245" s="16" t="str">
        <x:v>1.0</x:v>
      </x:c>
      <x:c r="S245" s="12" t="str">
        <x:v>0.2</x:v>
      </x:c>
      <x:c r="T245" s="12" t="str">
        <x:v>68</x:v>
      </x:c>
      <x:c r="U245" s="16" t="str">
        <x:v>1.0</x:v>
      </x:c>
      <x:c r="V245" s="18" t="str">
        <x:v>0.7366319894790649</x:v>
      </x:c>
      <x:c r="W245" s="18" t="str">
        <x:v>0.7552477121353149</x:v>
      </x:c>
      <x:c r="X245" s="18" t="str">
        <x:v>0.8338340520858765</x:v>
      </x:c>
      <x:c r="Y245" s="18" t="str">
        <x:v>0.8431101441383362</x:v>
      </x:c>
      <x:c r="Z245" s="18" t="str">
        <x:v>0.8800039887428284</x:v>
      </x:c>
      <x:c r="AA245" s="18" t="str">
        <x:v>0.9082964062690735</x:v>
      </x:c>
      <x:c r="AB245" s="20" t="str">
        <x:v>165.41420000430662</x:v>
      </x:c>
      <x:c r="AC245" s="12" t="str">
        <x:v>overlays\neutral_044.png</x:v>
      </x:c>
      <x:c r="AD245" s="12" t="str"/>
      <x:c r="AE245" s="12" t="str"/>
      <x:c r="AF245" s="12" t="str">
        <x:v>good</x:v>
      </x:c>
      <x:c r="AG245" s="12" t="n">
        <x:v>1</x:v>
      </x:c>
      <x:c r="AH245" s="12" t="str">
        <x:v>good</x:v>
      </x:c>
      <x:c r="AI245" s="12" t="str">
        <x:v>good</x:v>
      </x:c>
      <x:c r="AJ245" s="12" t="str">
        <x:v>good</x:v>
      </x:c>
      <x:c r="AK245" s="12" t="str">
        <x:v>not_applicable</x:v>
      </x:c>
      <x:c r="AL245" s="12" t="str">
        <x:v>none</x:v>
      </x:c>
      <x:c r="AM245" s="14" t="str">
        <x:v>Clear and well-aligned facial landmarks with no major pose, crop, or occlusion issue.</x:v>
      </x:c>
    </x:row>
    <x:row r="246" ht="28" customHeight="1">
      <x:c r="A246" s="12" t="str">
        <x:v>neutral_045</x:v>
      </x:c>
      <x:c r="B246" s="12" t="str">
        <x:v>neutral</x:v>
      </x:c>
      <x:c r="C246" s="14" t="str">
        <x:v>neutral/Training_80271780.jpg</x:v>
      </x:c>
      <x:c r="D246" s="12" t="str">
        <x:v>e990300163ec5518f13d47d236fee12b1605111c71eb39af8dc44e8506d27600</x:v>
      </x:c>
      <x:c r="E246" s="12" t="str">
        <x:v>e990300163ec5518f13d47d236fee12b1605111c71eb39af8dc44e8506d27600</x:v>
      </x:c>
      <x:c r="F246" s="12" t="str">
        <x:v>True</x:v>
      </x:c>
      <x:c r="G246" s="12" t="str">
        <x:v>48</x:v>
      </x:c>
      <x:c r="H246" s="12" t="str">
        <x:v>48</x:v>
      </x:c>
      <x:c r="I246" s="12" t="str">
        <x:v>0.0</x:v>
      </x:c>
      <x:c r="J246" s="12" t="str">
        <x:v>0.0</x:v>
      </x:c>
      <x:c r="K246" s="12" t="str">
        <x:v>47.0</x:v>
      </x:c>
      <x:c r="L246" s="12" t="str">
        <x:v>47.0</x:v>
      </x:c>
      <x:c r="M246" s="12" t="str">
        <x:v>True</x:v>
      </x:c>
      <x:c r="N246" s="12" t="str">
        <x:v>68</x:v>
      </x:c>
      <x:c r="O246" s="12" t="str">
        <x:v>68</x:v>
      </x:c>
      <x:c r="P246" s="16" t="str">
        <x:v>1.0</x:v>
      </x:c>
      <x:c r="Q246" s="12" t="str">
        <x:v>68</x:v>
      </x:c>
      <x:c r="R246" s="16" t="str">
        <x:v>1.0</x:v>
      </x:c>
      <x:c r="S246" s="12" t="str">
        <x:v>0.2</x:v>
      </x:c>
      <x:c r="T246" s="12" t="str">
        <x:v>68</x:v>
      </x:c>
      <x:c r="U246" s="16" t="str">
        <x:v>1.0</x:v>
      </x:c>
      <x:c r="V246" s="18" t="str">
        <x:v>0.7040184736251831</x:v>
      </x:c>
      <x:c r="W246" s="18" t="str">
        <x:v>0.7597611963748931</x:v>
      </x:c>
      <x:c r="X246" s="18" t="str">
        <x:v>0.821779727935791</x:v>
      </x:c>
      <x:c r="Y246" s="18" t="str">
        <x:v>0.8268173933029175</x:v>
      </x:c>
      <x:c r="Z246" s="18" t="str">
        <x:v>0.8689134418964386</x:v>
      </x:c>
      <x:c r="AA246" s="18" t="str">
        <x:v>0.8849314451217651</x:v>
      </x:c>
      <x:c r="AB246" s="20" t="str">
        <x:v>160.9225000065635</x:v>
      </x:c>
      <x:c r="AC246" s="12" t="str">
        <x:v>overlays\neutral_045.png</x:v>
      </x:c>
      <x:c r="AD246" s="12" t="str"/>
      <x:c r="AE246" s="12" t="str"/>
      <x:c r="AF246" s="12" t="str">
        <x:v>good</x:v>
      </x:c>
      <x:c r="AG246" s="12" t="n">
        <x:v>1</x:v>
      </x:c>
      <x:c r="AH246" s="12" t="str">
        <x:v>good</x:v>
      </x:c>
      <x:c r="AI246" s="12" t="str">
        <x:v>good</x:v>
      </x:c>
      <x:c r="AJ246" s="12" t="str">
        <x:v>good</x:v>
      </x:c>
      <x:c r="AK246" s="12" t="str">
        <x:v>not_applicable</x:v>
      </x:c>
      <x:c r="AL246" s="12" t="str">
        <x:v>none</x:v>
      </x:c>
      <x:c r="AM246" s="14" t="str">
        <x:v>Clear and well-aligned facial landmarks with no major pose, crop, or occlusion issue.</x:v>
      </x:c>
    </x:row>
    <x:row r="247" ht="28" customHeight="1">
      <x:c r="A247" s="12" t="str">
        <x:v>neutral_046</x:v>
      </x:c>
      <x:c r="B247" s="12" t="str">
        <x:v>neutral</x:v>
      </x:c>
      <x:c r="C247" s="14" t="str">
        <x:v>neutral/Training_45782533.jpg</x:v>
      </x:c>
      <x:c r="D247" s="12" t="str">
        <x:v>7a40d7d0fc0c8602ee3da3607e14869743e6ba838642aa8fcfc9392b62d64544</x:v>
      </x:c>
      <x:c r="E247" s="12" t="str">
        <x:v>7a40d7d0fc0c8602ee3da3607e14869743e6ba838642aa8fcfc9392b62d64544</x:v>
      </x:c>
      <x:c r="F247" s="12" t="str">
        <x:v>True</x:v>
      </x:c>
      <x:c r="G247" s="12" t="str">
        <x:v>48</x:v>
      </x:c>
      <x:c r="H247" s="12" t="str">
        <x:v>48</x:v>
      </x:c>
      <x:c r="I247" s="12" t="str">
        <x:v>0.0</x:v>
      </x:c>
      <x:c r="J247" s="12" t="str">
        <x:v>0.0</x:v>
      </x:c>
      <x:c r="K247" s="12" t="str">
        <x:v>47.0</x:v>
      </x:c>
      <x:c r="L247" s="12" t="str">
        <x:v>47.0</x:v>
      </x:c>
      <x:c r="M247" s="12" t="str">
        <x:v>True</x:v>
      </x:c>
      <x:c r="N247" s="12" t="str">
        <x:v>68</x:v>
      </x:c>
      <x:c r="O247" s="12" t="str">
        <x:v>68</x:v>
      </x:c>
      <x:c r="P247" s="16" t="str">
        <x:v>1.0</x:v>
      </x:c>
      <x:c r="Q247" s="12" t="str">
        <x:v>67</x:v>
      </x:c>
      <x:c r="R247" s="16" t="str">
        <x:v>0.9852941176470589</x:v>
      </x:c>
      <x:c r="S247" s="12" t="str">
        <x:v>0.2</x:v>
      </x:c>
      <x:c r="T247" s="12" t="str">
        <x:v>68</x:v>
      </x:c>
      <x:c r="U247" s="16" t="str">
        <x:v>1.0</x:v>
      </x:c>
      <x:c r="V247" s="18" t="str">
        <x:v>0.7672056555747986</x:v>
      </x:c>
      <x:c r="W247" s="18" t="str">
        <x:v>0.7904836416244507</x:v>
      </x:c>
      <x:c r="X247" s="18" t="str">
        <x:v>0.8305496573448181</x:v>
      </x:c>
      <x:c r="Y247" s="18" t="str">
        <x:v>0.8234045505523682</x:v>
      </x:c>
      <x:c r="Z247" s="18" t="str">
        <x:v>0.8804463982582093</x:v>
      </x:c>
      <x:c r="AA247" s="18" t="str">
        <x:v>0.911476731300354</x:v>
      </x:c>
      <x:c r="AB247" s="20" t="str">
        <x:v>169.66900000261376</x:v>
      </x:c>
      <x:c r="AC247" s="12" t="str">
        <x:v>overlays\neutral_046.png</x:v>
      </x:c>
      <x:c r="AD247" s="12" t="str"/>
      <x:c r="AE247" s="12" t="str"/>
      <x:c r="AF247" s="12" t="str">
        <x:v>good</x:v>
      </x:c>
      <x:c r="AG247" s="12" t="n">
        <x:v>1</x:v>
      </x:c>
      <x:c r="AH247" s="12" t="str">
        <x:v>good</x:v>
      </x:c>
      <x:c r="AI247" s="12" t="str">
        <x:v>good</x:v>
      </x:c>
      <x:c r="AJ247" s="12" t="str">
        <x:v>good</x:v>
      </x:c>
      <x:c r="AK247" s="12" t="str">
        <x:v>not_applicable</x:v>
      </x:c>
      <x:c r="AL247" s="12" t="str">
        <x:v>none</x:v>
      </x:c>
      <x:c r="AM247" s="14" t="str">
        <x:v>Clear and well-aligned facial landmarks with no major pose, crop, or occlusion issue.</x:v>
      </x:c>
    </x:row>
    <x:row r="248" ht="28" customHeight="1">
      <x:c r="A248" s="12" t="str">
        <x:v>neutral_047</x:v>
      </x:c>
      <x:c r="B248" s="12" t="str">
        <x:v>neutral</x:v>
      </x:c>
      <x:c r="C248" s="14" t="str">
        <x:v>neutral/Training_80335177.jpg</x:v>
      </x:c>
      <x:c r="D248" s="12" t="str">
        <x:v>fa78d3b0ead7c4fd39c6b89d08f24eb2865b714b5fcfa577ee06c8eb27f00b0d</x:v>
      </x:c>
      <x:c r="E248" s="12" t="str">
        <x:v>fa78d3b0ead7c4fd39c6b89d08f24eb2865b714b5fcfa577ee06c8eb27f00b0d</x:v>
      </x:c>
      <x:c r="F248" s="12" t="str">
        <x:v>True</x:v>
      </x:c>
      <x:c r="G248" s="12" t="str">
        <x:v>48</x:v>
      </x:c>
      <x:c r="H248" s="12" t="str">
        <x:v>48</x:v>
      </x:c>
      <x:c r="I248" s="12" t="str">
        <x:v>0.0</x:v>
      </x:c>
      <x:c r="J248" s="12" t="str">
        <x:v>0.0</x:v>
      </x:c>
      <x:c r="K248" s="12" t="str">
        <x:v>47.0</x:v>
      </x:c>
      <x:c r="L248" s="12" t="str">
        <x:v>47.0</x:v>
      </x:c>
      <x:c r="M248" s="12" t="str">
        <x:v>True</x:v>
      </x:c>
      <x:c r="N248" s="12" t="str">
        <x:v>68</x:v>
      </x:c>
      <x:c r="O248" s="12" t="str">
        <x:v>68</x:v>
      </x:c>
      <x:c r="P248" s="16" t="str">
        <x:v>1.0</x:v>
      </x:c>
      <x:c r="Q248" s="12" t="str">
        <x:v>67</x:v>
      </x:c>
      <x:c r="R248" s="16" t="str">
        <x:v>0.9852941176470589</x:v>
      </x:c>
      <x:c r="S248" s="12" t="str">
        <x:v>0.2</x:v>
      </x:c>
      <x:c r="T248" s="12" t="str">
        <x:v>68</x:v>
      </x:c>
      <x:c r="U248" s="16" t="str">
        <x:v>1.0</x:v>
      </x:c>
      <x:c r="V248" s="18" t="str">
        <x:v>0.6978626251220703</x:v>
      </x:c>
      <x:c r="W248" s="18" t="str">
        <x:v>0.7441502094268799</x:v>
      </x:c>
      <x:c r="X248" s="18" t="str">
        <x:v>0.8160942792892456</x:v>
      </x:c>
      <x:c r="Y248" s="18" t="str">
        <x:v>0.8292617797851562</x:v>
      </x:c>
      <x:c r="Z248" s="18" t="str">
        <x:v>0.862272185087204</x:v>
      </x:c>
      <x:c r="AA248" s="18" t="str">
        <x:v>0.8842988014221191</x:v>
      </x:c>
      <x:c r="AB248" s="20" t="str">
        <x:v>214.3863000019337</x:v>
      </x:c>
      <x:c r="AC248" s="12" t="str">
        <x:v>overlays\neutral_047.png</x:v>
      </x:c>
      <x:c r="AD248" s="12" t="str"/>
      <x:c r="AE248" s="12" t="str"/>
      <x:c r="AF248" s="12" t="str">
        <x:v>acceptable</x:v>
      </x:c>
      <x:c r="AG248" s="12" t="n">
        <x:v>1</x:v>
      </x:c>
      <x:c r="AH248" s="12" t="str">
        <x:v>occluded</x:v>
      </x:c>
      <x:c r="AI248" s="12" t="str">
        <x:v>occluded</x:v>
      </x:c>
      <x:c r="AJ248" s="12" t="str">
        <x:v>acceptable</x:v>
      </x:c>
      <x:c r="AK248" s="12" t="str">
        <x:v>not_applicable</x:v>
      </x:c>
      <x:c r="AL248" s="12" t="str">
        <x:v>mild</x:v>
      </x:c>
      <x:c r="AM248" s="14" t="str">
        <x:v>Occlusion affects part of the face; visible landmarks remain usable, but hidden points are inferred.</x:v>
      </x:c>
    </x:row>
    <x:row r="249" ht="28" customHeight="1">
      <x:c r="A249" s="12" t="str">
        <x:v>neutral_048</x:v>
      </x:c>
      <x:c r="B249" s="12" t="str">
        <x:v>neutral</x:v>
      </x:c>
      <x:c r="C249" s="14" t="str">
        <x:v>neutral/Training_70268633.jpg</x:v>
      </x:c>
      <x:c r="D249" s="12" t="str">
        <x:v>26ede3ff4fe9d4bb16b72fc055ed753609f92eba2b4bf520451de8fce4c92798</x:v>
      </x:c>
      <x:c r="E249" s="12" t="str">
        <x:v>26ede3ff4fe9d4bb16b72fc055ed753609f92eba2b4bf520451de8fce4c92798</x:v>
      </x:c>
      <x:c r="F249" s="12" t="str">
        <x:v>True</x:v>
      </x:c>
      <x:c r="G249" s="12" t="str">
        <x:v>48</x:v>
      </x:c>
      <x:c r="H249" s="12" t="str">
        <x:v>48</x:v>
      </x:c>
      <x:c r="I249" s="12" t="str">
        <x:v>0.0</x:v>
      </x:c>
      <x:c r="J249" s="12" t="str">
        <x:v>0.0</x:v>
      </x:c>
      <x:c r="K249" s="12" t="str">
        <x:v>47.0</x:v>
      </x:c>
      <x:c r="L249" s="12" t="str">
        <x:v>47.0</x:v>
      </x:c>
      <x:c r="M249" s="12" t="str">
        <x:v>True</x:v>
      </x:c>
      <x:c r="N249" s="12" t="str">
        <x:v>68</x:v>
      </x:c>
      <x:c r="O249" s="12" t="str">
        <x:v>68</x:v>
      </x:c>
      <x:c r="P249" s="16" t="str">
        <x:v>1.0</x:v>
      </x:c>
      <x:c r="Q249" s="12" t="str">
        <x:v>68</x:v>
      </x:c>
      <x:c r="R249" s="16" t="str">
        <x:v>1.0</x:v>
      </x:c>
      <x:c r="S249" s="12" t="str">
        <x:v>0.2</x:v>
      </x:c>
      <x:c r="T249" s="12" t="str">
        <x:v>68</x:v>
      </x:c>
      <x:c r="U249" s="16" t="str">
        <x:v>1.0</x:v>
      </x:c>
      <x:c r="V249" s="18" t="str">
        <x:v>0.6916614770889282</x:v>
      </x:c>
      <x:c r="W249" s="18" t="str">
        <x:v>0.7585919916629791</x:v>
      </x:c>
      <x:c r="X249" s="18" t="str">
        <x:v>0.8143981695175171</x:v>
      </x:c>
      <x:c r="Y249" s="18" t="str">
        <x:v>0.8136962652206421</x:v>
      </x:c>
      <x:c r="Z249" s="18" t="str">
        <x:v>0.8688739180564881</x:v>
      </x:c>
      <x:c r="AA249" s="18" t="str">
        <x:v>0.90826016664505</x:v>
      </x:c>
      <x:c r="AB249" s="20" t="str">
        <x:v>163.29700000642333</x:v>
      </x:c>
      <x:c r="AC249" s="12" t="str">
        <x:v>overlays\neutral_048.png</x:v>
      </x:c>
      <x:c r="AD249" s="12" t="str"/>
      <x:c r="AE249" s="12" t="str"/>
      <x:c r="AF249" s="12" t="str">
        <x:v>acceptable</x:v>
      </x:c>
      <x:c r="AG249" s="12" t="n">
        <x:v>1</x:v>
      </x:c>
      <x:c r="AH249" s="12" t="str">
        <x:v>acceptable</x:v>
      </x:c>
      <x:c r="AI249" s="12" t="str">
        <x:v>acceptable</x:v>
      </x:c>
      <x:c r="AJ249" s="12" t="str">
        <x:v>acceptable</x:v>
      </x:c>
      <x:c r="AK249" s="12" t="str">
        <x:v>not_applicable</x:v>
      </x:c>
      <x:c r="AL249" s="12" t="str">
        <x:v>mild</x:v>
      </x:c>
      <x:c r="AM249" s="14" t="str">
        <x:v>Moderate pose, crop, blur, or facial texture causes minor landmark uncertainty; the result remains usable.</x:v>
      </x:c>
    </x:row>
    <x:row r="250" ht="28" customHeight="1">
      <x:c r="A250" s="12" t="str">
        <x:v>neutral_049</x:v>
      </x:c>
      <x:c r="B250" s="12" t="str">
        <x:v>neutral</x:v>
      </x:c>
      <x:c r="C250" s="14" t="str">
        <x:v>neutral/Training_37985686.jpg</x:v>
      </x:c>
      <x:c r="D250" s="12" t="str">
        <x:v>16998f2d296fd2c8142c7ceb71a20faa83eca60ab5fb175f01674afa07165daf</x:v>
      </x:c>
      <x:c r="E250" s="12" t="str">
        <x:v>16998f2d296fd2c8142c7ceb71a20faa83eca60ab5fb175f01674afa07165daf</x:v>
      </x:c>
      <x:c r="F250" s="12" t="str">
        <x:v>True</x:v>
      </x:c>
      <x:c r="G250" s="12" t="str">
        <x:v>48</x:v>
      </x:c>
      <x:c r="H250" s="12" t="str">
        <x:v>48</x:v>
      </x:c>
      <x:c r="I250" s="12" t="str">
        <x:v>0.0</x:v>
      </x:c>
      <x:c r="J250" s="12" t="str">
        <x:v>0.0</x:v>
      </x:c>
      <x:c r="K250" s="12" t="str">
        <x:v>47.0</x:v>
      </x:c>
      <x:c r="L250" s="12" t="str">
        <x:v>47.0</x:v>
      </x:c>
      <x:c r="M250" s="12" t="str">
        <x:v>True</x:v>
      </x:c>
      <x:c r="N250" s="12" t="str">
        <x:v>68</x:v>
      </x:c>
      <x:c r="O250" s="12" t="str">
        <x:v>68</x:v>
      </x:c>
      <x:c r="P250" s="16" t="str">
        <x:v>1.0</x:v>
      </x:c>
      <x:c r="Q250" s="12" t="str">
        <x:v>68</x:v>
      </x:c>
      <x:c r="R250" s="16" t="str">
        <x:v>1.0</x:v>
      </x:c>
      <x:c r="S250" s="12" t="str">
        <x:v>0.2</x:v>
      </x:c>
      <x:c r="T250" s="12" t="str">
        <x:v>68</x:v>
      </x:c>
      <x:c r="U250" s="16" t="str">
        <x:v>1.0</x:v>
      </x:c>
      <x:c r="V250" s="18" t="str">
        <x:v>0.689170777797699</x:v>
      </x:c>
      <x:c r="W250" s="18" t="str">
        <x:v>0.7240075290203094</x:v>
      </x:c>
      <x:c r="X250" s="18" t="str">
        <x:v>0.8107181191444397</x:v>
      </x:c>
      <x:c r="Y250" s="18" t="str">
        <x:v>0.8165404200553894</x:v>
      </x:c>
      <x:c r="Z250" s="18" t="str">
        <x:v>0.8666195213794708</x:v>
      </x:c>
      <x:c r="AA250" s="18" t="str">
        <x:v>0.90857994556427</x:v>
      </x:c>
      <x:c r="AB250" s="20" t="str">
        <x:v>175.01769999944372</x:v>
      </x:c>
      <x:c r="AC250" s="12" t="str">
        <x:v>overlays\neutral_049.png</x:v>
      </x:c>
      <x:c r="AD250" s="12" t="str"/>
      <x:c r="AE250" s="12" t="str"/>
      <x:c r="AF250" s="12" t="str">
        <x:v>good</x:v>
      </x:c>
      <x:c r="AG250" s="12" t="n">
        <x:v>1</x:v>
      </x:c>
      <x:c r="AH250" s="12" t="str">
        <x:v>good</x:v>
      </x:c>
      <x:c r="AI250" s="12" t="str">
        <x:v>good</x:v>
      </x:c>
      <x:c r="AJ250" s="12" t="str">
        <x:v>good</x:v>
      </x:c>
      <x:c r="AK250" s="12" t="str">
        <x:v>not_applicable</x:v>
      </x:c>
      <x:c r="AL250" s="12" t="str">
        <x:v>none</x:v>
      </x:c>
      <x:c r="AM250" s="14" t="str">
        <x:v>Clear and well-aligned facial landmarks with no major pose, crop, or occlusion issue.</x:v>
      </x:c>
    </x:row>
    <x:row r="251" ht="28" customHeight="1">
      <x:c r="A251" s="12" t="str">
        <x:v>neutral_050</x:v>
      </x:c>
      <x:c r="B251" s="12" t="str">
        <x:v>neutral</x:v>
      </x:c>
      <x:c r="C251" s="14" t="str">
        <x:v>neutral/Training_23139059.jpg</x:v>
      </x:c>
      <x:c r="D251" s="12" t="str">
        <x:v>5281810c0360b582ef3d3099ec49b38c87c9065c76d1558712ab3336aa01c0c0</x:v>
      </x:c>
      <x:c r="E251" s="12" t="str">
        <x:v>5281810c0360b582ef3d3099ec49b38c87c9065c76d1558712ab3336aa01c0c0</x:v>
      </x:c>
      <x:c r="F251" s="12" t="str">
        <x:v>True</x:v>
      </x:c>
      <x:c r="G251" s="12" t="str">
        <x:v>48</x:v>
      </x:c>
      <x:c r="H251" s="12" t="str">
        <x:v>48</x:v>
      </x:c>
      <x:c r="I251" s="12" t="str">
        <x:v>0.0</x:v>
      </x:c>
      <x:c r="J251" s="12" t="str">
        <x:v>0.0</x:v>
      </x:c>
      <x:c r="K251" s="12" t="str">
        <x:v>47.0</x:v>
      </x:c>
      <x:c r="L251" s="12" t="str">
        <x:v>47.0</x:v>
      </x:c>
      <x:c r="M251" s="12" t="str">
        <x:v>True</x:v>
      </x:c>
      <x:c r="N251" s="12" t="str">
        <x:v>68</x:v>
      </x:c>
      <x:c r="O251" s="12" t="str">
        <x:v>68</x:v>
      </x:c>
      <x:c r="P251" s="16" t="str">
        <x:v>1.0</x:v>
      </x:c>
      <x:c r="Q251" s="12" t="str">
        <x:v>68</x:v>
      </x:c>
      <x:c r="R251" s="16" t="str">
        <x:v>1.0</x:v>
      </x:c>
      <x:c r="S251" s="12" t="str">
        <x:v>0.2</x:v>
      </x:c>
      <x:c r="T251" s="12" t="str">
        <x:v>68</x:v>
      </x:c>
      <x:c r="U251" s="16" t="str">
        <x:v>1.0</x:v>
      </x:c>
      <x:c r="V251" s="18" t="str">
        <x:v>0.6536911129951477</x:v>
      </x:c>
      <x:c r="W251" s="18" t="str">
        <x:v>0.7103415846824646</x:v>
      </x:c>
      <x:c r="X251" s="18" t="str">
        <x:v>0.7933473587036133</x:v>
      </x:c>
      <x:c r="Y251" s="18" t="str">
        <x:v>0.8107787370681763</x:v>
      </x:c>
      <x:c r="Z251" s="18" t="str">
        <x:v>0.8486296772956848</x:v>
      </x:c>
      <x:c r="AA251" s="18" t="str">
        <x:v>0.8766729831695557</x:v>
      </x:c>
      <x:c r="AB251" s="20" t="str">
        <x:v>153.0778000014834</x:v>
      </x:c>
      <x:c r="AC251" s="12" t="str">
        <x:v>overlays\neutral_050.png</x:v>
      </x:c>
      <x:c r="AD251" s="12" t="str"/>
      <x:c r="AE251" s="12" t="str"/>
      <x:c r="AF251" s="12" t="str">
        <x:v>acceptable</x:v>
      </x:c>
      <x:c r="AG251" s="12" t="n">
        <x:v>1</x:v>
      </x:c>
      <x:c r="AH251" s="12" t="str">
        <x:v>acceptable</x:v>
      </x:c>
      <x:c r="AI251" s="12" t="str">
        <x:v>acceptable</x:v>
      </x:c>
      <x:c r="AJ251" s="12" t="str">
        <x:v>acceptable</x:v>
      </x:c>
      <x:c r="AK251" s="12" t="str">
        <x:v>not_applicable</x:v>
      </x:c>
      <x:c r="AL251" s="12" t="str">
        <x:v>mild</x:v>
      </x:c>
      <x:c r="AM251" s="14" t="str">
        <x:v>Large pose or profile; visible landmarks remain useful, while hidden-side and contour points are inferred.</x:v>
      </x:c>
    </x:row>
    <x:row r="252" ht="28" customHeight="1">
      <x:c r="A252" s="12" t="str">
        <x:v>sad_001</x:v>
      </x:c>
      <x:c r="B252" s="12" t="str">
        <x:v>sad</x:v>
      </x:c>
      <x:c r="C252" s="14" t="str">
        <x:v>sad/Training_24268864.jpg</x:v>
      </x:c>
      <x:c r="D252" s="12" t="str">
        <x:v>b7b3fac398b541b231625fb328c6ce458e42296b8ea306e846761d77246d0df9</x:v>
      </x:c>
      <x:c r="E252" s="12" t="str">
        <x:v>b7b3fac398b541b231625fb328c6ce458e42296b8ea306e846761d77246d0df9</x:v>
      </x:c>
      <x:c r="F252" s="12" t="str">
        <x:v>True</x:v>
      </x:c>
      <x:c r="G252" s="12" t="str">
        <x:v>48</x:v>
      </x:c>
      <x:c r="H252" s="12" t="str">
        <x:v>48</x:v>
      </x:c>
      <x:c r="I252" s="12" t="str">
        <x:v>0.0</x:v>
      </x:c>
      <x:c r="J252" s="12" t="str">
        <x:v>0.0</x:v>
      </x:c>
      <x:c r="K252" s="12" t="str">
        <x:v>47.0</x:v>
      </x:c>
      <x:c r="L252" s="12" t="str">
        <x:v>47.0</x:v>
      </x:c>
      <x:c r="M252" s="12" t="str">
        <x:v>True</x:v>
      </x:c>
      <x:c r="N252" s="12" t="str">
        <x:v>68</x:v>
      </x:c>
      <x:c r="O252" s="12" t="str">
        <x:v>68</x:v>
      </x:c>
      <x:c r="P252" s="16" t="str">
        <x:v>1.0</x:v>
      </x:c>
      <x:c r="Q252" s="12" t="str">
        <x:v>68</x:v>
      </x:c>
      <x:c r="R252" s="16" t="str">
        <x:v>1.0</x:v>
      </x:c>
      <x:c r="S252" s="12" t="str">
        <x:v>0.2</x:v>
      </x:c>
      <x:c r="T252" s="12" t="str">
        <x:v>68</x:v>
      </x:c>
      <x:c r="U252" s="16" t="str">
        <x:v>1.0</x:v>
      </x:c>
      <x:c r="V252" s="18" t="str">
        <x:v>0.7478324770927429</x:v>
      </x:c>
      <x:c r="W252" s="18" t="str">
        <x:v>0.786543095111847</x:v>
      </x:c>
      <x:c r="X252" s="18" t="str">
        <x:v>0.8401364088058472</x:v>
      </x:c>
      <x:c r="Y252" s="18" t="str">
        <x:v>0.8431497812271118</x:v>
      </x:c>
      <x:c r="Z252" s="18" t="str">
        <x:v>0.8844294965267181</x:v>
      </x:c>
      <x:c r="AA252" s="18" t="str">
        <x:v>0.9257835745811462</x:v>
      </x:c>
      <x:c r="AB252" s="20" t="str">
        <x:v>155.5582999935723</x:v>
      </x:c>
      <x:c r="AC252" s="12" t="str">
        <x:v>overlays\sad_001.png</x:v>
      </x:c>
      <x:c r="AD252" s="12" t="str"/>
      <x:c r="AE252" s="12" t="str"/>
      <x:c r="AF252" s="12" t="str">
        <x:v>good</x:v>
      </x:c>
      <x:c r="AG252" s="12" t="n">
        <x:v>1</x:v>
      </x:c>
      <x:c r="AH252" s="12" t="str">
        <x:v>good</x:v>
      </x:c>
      <x:c r="AI252" s="12" t="str">
        <x:v>good</x:v>
      </x:c>
      <x:c r="AJ252" s="12" t="str">
        <x:v>good</x:v>
      </x:c>
      <x:c r="AK252" s="12" t="str">
        <x:v>not_applicable</x:v>
      </x:c>
      <x:c r="AL252" s="12" t="str">
        <x:v>none</x:v>
      </x:c>
      <x:c r="AM252" s="14" t="str">
        <x:v>Clear and well-aligned facial landmarks with no major pose, crop, or occlusion issue.</x:v>
      </x:c>
    </x:row>
    <x:row r="253" ht="28" customHeight="1">
      <x:c r="A253" s="12" t="str">
        <x:v>sad_002</x:v>
      </x:c>
      <x:c r="B253" s="12" t="str">
        <x:v>sad</x:v>
      </x:c>
      <x:c r="C253" s="14" t="str">
        <x:v>sad/Training_7513470.jpg</x:v>
      </x:c>
      <x:c r="D253" s="12" t="str">
        <x:v>623be3f142f7b57648ae28906a5fc4d43bf88b4375eaea8df47121fda8577e59</x:v>
      </x:c>
      <x:c r="E253" s="12" t="str">
        <x:v>623be3f142f7b57648ae28906a5fc4d43bf88b4375eaea8df47121fda8577e59</x:v>
      </x:c>
      <x:c r="F253" s="12" t="str">
        <x:v>True</x:v>
      </x:c>
      <x:c r="G253" s="12" t="str">
        <x:v>48</x:v>
      </x:c>
      <x:c r="H253" s="12" t="str">
        <x:v>48</x:v>
      </x:c>
      <x:c r="I253" s="12" t="str">
        <x:v>0.0</x:v>
      </x:c>
      <x:c r="J253" s="12" t="str">
        <x:v>0.0</x:v>
      </x:c>
      <x:c r="K253" s="12" t="str">
        <x:v>47.0</x:v>
      </x:c>
      <x:c r="L253" s="12" t="str">
        <x:v>47.0</x:v>
      </x:c>
      <x:c r="M253" s="12" t="str">
        <x:v>True</x:v>
      </x:c>
      <x:c r="N253" s="12" t="str">
        <x:v>68</x:v>
      </x:c>
      <x:c r="O253" s="12" t="str">
        <x:v>68</x:v>
      </x:c>
      <x:c r="P253" s="16" t="str">
        <x:v>1.0</x:v>
      </x:c>
      <x:c r="Q253" s="12" t="str">
        <x:v>68</x:v>
      </x:c>
      <x:c r="R253" s="16" t="str">
        <x:v>1.0</x:v>
      </x:c>
      <x:c r="S253" s="12" t="str">
        <x:v>0.2</x:v>
      </x:c>
      <x:c r="T253" s="12" t="str">
        <x:v>68</x:v>
      </x:c>
      <x:c r="U253" s="16" t="str">
        <x:v>1.0</x:v>
      </x:c>
      <x:c r="V253" s="18" t="str">
        <x:v>0.6782671213150024</x:v>
      </x:c>
      <x:c r="W253" s="18" t="str">
        <x:v>0.7589008390903473</x:v>
      </x:c>
      <x:c r="X253" s="18" t="str">
        <x:v>0.8166979551315308</x:v>
      </x:c>
      <x:c r="Y253" s="18" t="str">
        <x:v>0.8165804147720337</x:v>
      </x:c>
      <x:c r="Z253" s="18" t="str">
        <x:v>0.8645390808582306</x:v>
      </x:c>
      <x:c r="AA253" s="18" t="str">
        <x:v>0.8833854794502258</x:v>
      </x:c>
      <x:c r="AB253" s="20" t="str">
        <x:v>190.0378999998793</x:v>
      </x:c>
      <x:c r="AC253" s="12" t="str">
        <x:v>overlays\sad_002.png</x:v>
      </x:c>
      <x:c r="AD253" s="12" t="str"/>
      <x:c r="AE253" s="12" t="str"/>
      <x:c r="AF253" s="12" t="str">
        <x:v>acceptable</x:v>
      </x:c>
      <x:c r="AG253" s="12" t="n">
        <x:v>1</x:v>
      </x:c>
      <x:c r="AH253" s="12" t="str">
        <x:v>acceptable</x:v>
      </x:c>
      <x:c r="AI253" s="12" t="str">
        <x:v>acceptable</x:v>
      </x:c>
      <x:c r="AJ253" s="12" t="str">
        <x:v>acceptable</x:v>
      </x:c>
      <x:c r="AK253" s="12" t="str">
        <x:v>not_applicable</x:v>
      </x:c>
      <x:c r="AL253" s="12" t="str">
        <x:v>mild</x:v>
      </x:c>
      <x:c r="AM253" s="14" t="str">
        <x:v>Moderate pose, crop, blur, or facial texture causes minor landmark uncertainty; the result remains usable.</x:v>
      </x:c>
    </x:row>
    <x:row r="254" ht="28" customHeight="1">
      <x:c r="A254" s="12" t="str">
        <x:v>sad_003</x:v>
      </x:c>
      <x:c r="B254" s="12" t="str">
        <x:v>sad</x:v>
      </x:c>
      <x:c r="C254" s="14" t="str">
        <x:v>sad/Training_63693107.jpg</x:v>
      </x:c>
      <x:c r="D254" s="12" t="str">
        <x:v>8201e1fd235bcc7a6bb9fc808aa6279f7c0f8844b25d734cdaf384b10ae4a2bb</x:v>
      </x:c>
      <x:c r="E254" s="12" t="str">
        <x:v>8201e1fd235bcc7a6bb9fc808aa6279f7c0f8844b25d734cdaf384b10ae4a2bb</x:v>
      </x:c>
      <x:c r="F254" s="12" t="str">
        <x:v>True</x:v>
      </x:c>
      <x:c r="G254" s="12" t="str">
        <x:v>48</x:v>
      </x:c>
      <x:c r="H254" s="12" t="str">
        <x:v>48</x:v>
      </x:c>
      <x:c r="I254" s="12" t="str">
        <x:v>0.0</x:v>
      </x:c>
      <x:c r="J254" s="12" t="str">
        <x:v>0.0</x:v>
      </x:c>
      <x:c r="K254" s="12" t="str">
        <x:v>47.0</x:v>
      </x:c>
      <x:c r="L254" s="12" t="str">
        <x:v>47.0</x:v>
      </x:c>
      <x:c r="M254" s="12" t="str">
        <x:v>True</x:v>
      </x:c>
      <x:c r="N254" s="12" t="str">
        <x:v>68</x:v>
      </x:c>
      <x:c r="O254" s="12" t="str">
        <x:v>68</x:v>
      </x:c>
      <x:c r="P254" s="16" t="str">
        <x:v>1.0</x:v>
      </x:c>
      <x:c r="Q254" s="12" t="str">
        <x:v>68</x:v>
      </x:c>
      <x:c r="R254" s="16" t="str">
        <x:v>1.0</x:v>
      </x:c>
      <x:c r="S254" s="12" t="str">
        <x:v>0.2</x:v>
      </x:c>
      <x:c r="T254" s="12" t="str">
        <x:v>68</x:v>
      </x:c>
      <x:c r="U254" s="16" t="str">
        <x:v>1.0</x:v>
      </x:c>
      <x:c r="V254" s="18" t="str">
        <x:v>0.5627354383468628</x:v>
      </x:c>
      <x:c r="W254" s="18" t="str">
        <x:v>0.6200417101383209</x:v>
      </x:c>
      <x:c r="X254" s="18" t="str">
        <x:v>0.7206241488456726</x:v>
      </x:c>
      <x:c r="Y254" s="18" t="str">
        <x:v>0.7310830950737</x:v>
      </x:c>
      <x:c r="Z254" s="18" t="str">
        <x:v>0.8207842409610748</x:v>
      </x:c>
      <x:c r="AA254" s="18" t="str">
        <x:v>0.8559923768043518</x:v>
      </x:c>
      <x:c r="AB254" s="20" t="str">
        <x:v>158.32429999863962</x:v>
      </x:c>
      <x:c r="AC254" s="12" t="str">
        <x:v>overlays\sad_003.png</x:v>
      </x:c>
      <x:c r="AD254" s="12" t="str"/>
      <x:c r="AE254" s="12" t="str"/>
      <x:c r="AF254" s="12" t="str">
        <x:v>acceptable</x:v>
      </x:c>
      <x:c r="AG254" s="12" t="n">
        <x:v>1</x:v>
      </x:c>
      <x:c r="AH254" s="12" t="str">
        <x:v>acceptable</x:v>
      </x:c>
      <x:c r="AI254" s="12" t="str">
        <x:v>acceptable</x:v>
      </x:c>
      <x:c r="AJ254" s="12" t="str">
        <x:v>acceptable</x:v>
      </x:c>
      <x:c r="AK254" s="12" t="str">
        <x:v>acceptable</x:v>
      </x:c>
      <x:c r="AL254" s="12" t="str">
        <x:v>mild</x:v>
      </x:c>
      <x:c r="AM254" s="14" t="str">
        <x:v>Moderate pose, crop, blur, or facial texture causes minor landmark uncertainty; the result remains usable.</x:v>
      </x:c>
    </x:row>
    <x:row r="255" ht="28" customHeight="1">
      <x:c r="A255" s="12" t="str">
        <x:v>sad_004</x:v>
      </x:c>
      <x:c r="B255" s="12" t="str">
        <x:v>sad</x:v>
      </x:c>
      <x:c r="C255" s="14" t="str">
        <x:v>sad/Training_73972027.jpg</x:v>
      </x:c>
      <x:c r="D255" s="12" t="str">
        <x:v>2d531a6fe3eb23e71b223435974d44955aaffecbb6d37805716e8a76f511b726</x:v>
      </x:c>
      <x:c r="E255" s="12" t="str">
        <x:v>2d531a6fe3eb23e71b223435974d44955aaffecbb6d37805716e8a76f511b726</x:v>
      </x:c>
      <x:c r="F255" s="12" t="str">
        <x:v>True</x:v>
      </x:c>
      <x:c r="G255" s="12" t="str">
        <x:v>48</x:v>
      </x:c>
      <x:c r="H255" s="12" t="str">
        <x:v>48</x:v>
      </x:c>
      <x:c r="I255" s="12" t="str">
        <x:v>0.0</x:v>
      </x:c>
      <x:c r="J255" s="12" t="str">
        <x:v>0.0</x:v>
      </x:c>
      <x:c r="K255" s="12" t="str">
        <x:v>47.0</x:v>
      </x:c>
      <x:c r="L255" s="12" t="str">
        <x:v>47.0</x:v>
      </x:c>
      <x:c r="M255" s="12" t="str">
        <x:v>True</x:v>
      </x:c>
      <x:c r="N255" s="12" t="str">
        <x:v>68</x:v>
      </x:c>
      <x:c r="O255" s="12" t="str">
        <x:v>68</x:v>
      </x:c>
      <x:c r="P255" s="16" t="str">
        <x:v>1.0</x:v>
      </x:c>
      <x:c r="Q255" s="12" t="str">
        <x:v>67</x:v>
      </x:c>
      <x:c r="R255" s="16" t="str">
        <x:v>0.9852941176470589</x:v>
      </x:c>
      <x:c r="S255" s="12" t="str">
        <x:v>0.2</x:v>
      </x:c>
      <x:c r="T255" s="12" t="str">
        <x:v>68</x:v>
      </x:c>
      <x:c r="U255" s="16" t="str">
        <x:v>1.0</x:v>
      </x:c>
      <x:c r="V255" s="18" t="str">
        <x:v>0.3870675563812256</x:v>
      </x:c>
      <x:c r="W255" s="18" t="str">
        <x:v>0.5913371801376343</x:v>
      </x:c>
      <x:c r="X255" s="18" t="str">
        <x:v>0.7566838264465332</x:v>
      </x:c>
      <x:c r="Y255" s="18" t="str">
        <x:v>0.7939107418060303</x:v>
      </x:c>
      <x:c r="Z255" s="18" t="str">
        <x:v>0.8321055173873901</x:v>
      </x:c>
      <x:c r="AA255" s="18" t="str">
        <x:v>0.8575413227081299</x:v>
      </x:c>
      <x:c r="AB255" s="20" t="str">
        <x:v>152.8080999996746</x:v>
      </x:c>
      <x:c r="AC255" s="12" t="str">
        <x:v>overlays\sad_004.png</x:v>
      </x:c>
      <x:c r="AD255" s="12" t="str"/>
      <x:c r="AE255" s="12" t="str"/>
      <x:c r="AF255" s="12" t="str">
        <x:v>acceptable</x:v>
      </x:c>
      <x:c r="AG255" s="12" t="n">
        <x:v>1</x:v>
      </x:c>
      <x:c r="AH255" s="12" t="str">
        <x:v>acceptable</x:v>
      </x:c>
      <x:c r="AI255" s="12" t="str">
        <x:v>acceptable</x:v>
      </x:c>
      <x:c r="AJ255" s="12" t="str">
        <x:v>acceptable</x:v>
      </x:c>
      <x:c r="AK255" s="12" t="str">
        <x:v>not_applicable</x:v>
      </x:c>
      <x:c r="AL255" s="12" t="str">
        <x:v>mild</x:v>
      </x:c>
      <x:c r="AM255" s="14" t="str">
        <x:v>Large pose or profile; visible landmarks remain useful, while hidden-side and contour points are inferred.</x:v>
      </x:c>
    </x:row>
    <x:row r="256" ht="28" customHeight="1">
      <x:c r="A256" s="12" t="str">
        <x:v>sad_005</x:v>
      </x:c>
      <x:c r="B256" s="12" t="str">
        <x:v>sad</x:v>
      </x:c>
      <x:c r="C256" s="14" t="str">
        <x:v>sad/Training_72295557.jpg</x:v>
      </x:c>
      <x:c r="D256" s="12" t="str">
        <x:v>9fe83bed4f1dd99e74214e43fa7bac4a01f505d2e7d82246d91d30ceef3c829f</x:v>
      </x:c>
      <x:c r="E256" s="12" t="str">
        <x:v>9fe83bed4f1dd99e74214e43fa7bac4a01f505d2e7d82246d91d30ceef3c829f</x:v>
      </x:c>
      <x:c r="F256" s="12" t="str">
        <x:v>True</x:v>
      </x:c>
      <x:c r="G256" s="12" t="str">
        <x:v>48</x:v>
      </x:c>
      <x:c r="H256" s="12" t="str">
        <x:v>48</x:v>
      </x:c>
      <x:c r="I256" s="12" t="str">
        <x:v>0.0</x:v>
      </x:c>
      <x:c r="J256" s="12" t="str">
        <x:v>0.0</x:v>
      </x:c>
      <x:c r="K256" s="12" t="str">
        <x:v>47.0</x:v>
      </x:c>
      <x:c r="L256" s="12" t="str">
        <x:v>47.0</x:v>
      </x:c>
      <x:c r="M256" s="12" t="str">
        <x:v>True</x:v>
      </x:c>
      <x:c r="N256" s="12" t="str">
        <x:v>68</x:v>
      </x:c>
      <x:c r="O256" s="12" t="str">
        <x:v>68</x:v>
      </x:c>
      <x:c r="P256" s="16" t="str">
        <x:v>1.0</x:v>
      </x:c>
      <x:c r="Q256" s="12" t="str">
        <x:v>66</x:v>
      </x:c>
      <x:c r="R256" s="16" t="str">
        <x:v>0.9705882352941176</x:v>
      </x:c>
      <x:c r="S256" s="12" t="str">
        <x:v>0.2</x:v>
      </x:c>
      <x:c r="T256" s="12" t="str">
        <x:v>52</x:v>
      </x:c>
      <x:c r="U256" s="16" t="str">
        <x:v>0.7647058823529411</x:v>
      </x:c>
      <x:c r="V256" s="18" t="str">
        <x:v>0.028200751170516014</x:v>
      </x:c>
      <x:c r="W256" s="18" t="str">
        <x:v>0.09699071645736694</x:v>
      </x:c>
      <x:c r="X256" s="18" t="str">
        <x:v>0.4802960157394409</x:v>
      </x:c>
      <x:c r="Y256" s="18" t="str">
        <x:v>0.5751027464866638</x:v>
      </x:c>
      <x:c r="Z256" s="18" t="str">
        <x:v>0.7648971855640412</x:v>
      </x:c>
      <x:c r="AA256" s="18" t="str">
        <x:v>0.8052001595497131</x:v>
      </x:c>
      <x:c r="AB256" s="20" t="str">
        <x:v>156.5617999949609</x:v>
      </x:c>
      <x:c r="AC256" s="12" t="str">
        <x:v>overlays\sad_005.png</x:v>
      </x:c>
      <x:c r="AD256" s="12" t="str"/>
      <x:c r="AE256" s="12" t="str"/>
      <x:c r="AF256" s="12" t="str">
        <x:v>wrong</x:v>
      </x:c>
      <x:c r="AG256" s="12" t="n">
        <x:v>0</x:v>
      </x:c>
      <x:c r="AH256" s="12" t="str">
        <x:v>acceptable</x:v>
      </x:c>
      <x:c r="AI256" s="12" t="str">
        <x:v>wrong</x:v>
      </x:c>
      <x:c r="AJ256" s="12" t="str">
        <x:v>acceptable</x:v>
      </x:c>
      <x:c r="AK256" s="12" t="str">
        <x:v>not_applicable</x:v>
      </x:c>
      <x:c r="AL256" s="12" t="str">
        <x:v>severe</x:v>
      </x:c>
      <x:c r="AM256" s="14" t="str">
        <x:v>Severe profile and partial crop produce low-confidence, misplaced eyebrow and hidden-side landmarks.</x:v>
      </x:c>
    </x:row>
    <x:row r="257" ht="28" customHeight="1">
      <x:c r="A257" s="12" t="str">
        <x:v>sad_006</x:v>
      </x:c>
      <x:c r="B257" s="12" t="str">
        <x:v>sad</x:v>
      </x:c>
      <x:c r="C257" s="14" t="str">
        <x:v>sad/Training_80876097.jpg</x:v>
      </x:c>
      <x:c r="D257" s="12" t="str">
        <x:v>9a233521b68aa3bccb37ca85b14884d59cf456e4444f12c713e5e503029ed9af</x:v>
      </x:c>
      <x:c r="E257" s="12" t="str">
        <x:v>9a233521b68aa3bccb37ca85b14884d59cf456e4444f12c713e5e503029ed9af</x:v>
      </x:c>
      <x:c r="F257" s="12" t="str">
        <x:v>True</x:v>
      </x:c>
      <x:c r="G257" s="12" t="str">
        <x:v>48</x:v>
      </x:c>
      <x:c r="H257" s="12" t="str">
        <x:v>48</x:v>
      </x:c>
      <x:c r="I257" s="12" t="str">
        <x:v>0.0</x:v>
      </x:c>
      <x:c r="J257" s="12" t="str">
        <x:v>0.0</x:v>
      </x:c>
      <x:c r="K257" s="12" t="str">
        <x:v>47.0</x:v>
      </x:c>
      <x:c r="L257" s="12" t="str">
        <x:v>47.0</x:v>
      </x:c>
      <x:c r="M257" s="12" t="str">
        <x:v>True</x:v>
      </x:c>
      <x:c r="N257" s="12" t="str">
        <x:v>68</x:v>
      </x:c>
      <x:c r="O257" s="12" t="str">
        <x:v>68</x:v>
      </x:c>
      <x:c r="P257" s="16" t="str">
        <x:v>1.0</x:v>
      </x:c>
      <x:c r="Q257" s="12" t="str">
        <x:v>68</x:v>
      </x:c>
      <x:c r="R257" s="16" t="str">
        <x:v>1.0</x:v>
      </x:c>
      <x:c r="S257" s="12" t="str">
        <x:v>0.2</x:v>
      </x:c>
      <x:c r="T257" s="12" t="str">
        <x:v>68</x:v>
      </x:c>
      <x:c r="U257" s="16" t="str">
        <x:v>1.0</x:v>
      </x:c>
      <x:c r="V257" s="18" t="str">
        <x:v>0.7849314212799072</x:v>
      </x:c>
      <x:c r="W257" s="18" t="str">
        <x:v>0.8231370747089386</x:v>
      </x:c>
      <x:c r="X257" s="18" t="str">
        <x:v>0.855271577835083</x:v>
      </x:c>
      <x:c r="Y257" s="18" t="str">
        <x:v>0.8563551306724548</x:v>
      </x:c>
      <x:c r="Z257" s="18" t="str">
        <x:v>0.8945711314678192</x:v>
      </x:c>
      <x:c r="AA257" s="18" t="str">
        <x:v>0.9210238456726074</x:v>
      </x:c>
      <x:c r="AB257" s="20" t="str">
        <x:v>177.47899999812944</x:v>
      </x:c>
      <x:c r="AC257" s="12" t="str">
        <x:v>overlays\sad_006.png</x:v>
      </x:c>
      <x:c r="AD257" s="12" t="str"/>
      <x:c r="AE257" s="12" t="str"/>
      <x:c r="AF257" s="12" t="str">
        <x:v>acceptable</x:v>
      </x:c>
      <x:c r="AG257" s="12" t="n">
        <x:v>1</x:v>
      </x:c>
      <x:c r="AH257" s="12" t="str">
        <x:v>occluded</x:v>
      </x:c>
      <x:c r="AI257" s="12" t="str">
        <x:v>occluded</x:v>
      </x:c>
      <x:c r="AJ257" s="12" t="str">
        <x:v>acceptable</x:v>
      </x:c>
      <x:c r="AK257" s="12" t="str">
        <x:v>not_applicable</x:v>
      </x:c>
      <x:c r="AL257" s="12" t="str">
        <x:v>mild</x:v>
      </x:c>
      <x:c r="AM257" s="14" t="str">
        <x:v>Occlusion affects part of the face; visible landmarks remain usable, but hidden points are inferred.</x:v>
      </x:c>
    </x:row>
    <x:row r="258" ht="28" customHeight="1">
      <x:c r="A258" s="12" t="str">
        <x:v>sad_007</x:v>
      </x:c>
      <x:c r="B258" s="12" t="str">
        <x:v>sad</x:v>
      </x:c>
      <x:c r="C258" s="14" t="str">
        <x:v>sad/Training_18164476.jpg</x:v>
      </x:c>
      <x:c r="D258" s="12" t="str">
        <x:v>92f945a9d67c8b63e6eaa54d6542fa8328659ea1f474547d5b7edb763a07081e</x:v>
      </x:c>
      <x:c r="E258" s="12" t="str">
        <x:v>92f945a9d67c8b63e6eaa54d6542fa8328659ea1f474547d5b7edb763a07081e</x:v>
      </x:c>
      <x:c r="F258" s="12" t="str">
        <x:v>True</x:v>
      </x:c>
      <x:c r="G258" s="12" t="str">
        <x:v>48</x:v>
      </x:c>
      <x:c r="H258" s="12" t="str">
        <x:v>48</x:v>
      </x:c>
      <x:c r="I258" s="12" t="str">
        <x:v>0.0</x:v>
      </x:c>
      <x:c r="J258" s="12" t="str">
        <x:v>0.0</x:v>
      </x:c>
      <x:c r="K258" s="12" t="str">
        <x:v>47.0</x:v>
      </x:c>
      <x:c r="L258" s="12" t="str">
        <x:v>47.0</x:v>
      </x:c>
      <x:c r="M258" s="12" t="str">
        <x:v>True</x:v>
      </x:c>
      <x:c r="N258" s="12" t="str">
        <x:v>68</x:v>
      </x:c>
      <x:c r="O258" s="12" t="str">
        <x:v>68</x:v>
      </x:c>
      <x:c r="P258" s="16" t="str">
        <x:v>1.0</x:v>
      </x:c>
      <x:c r="Q258" s="12" t="str">
        <x:v>66</x:v>
      </x:c>
      <x:c r="R258" s="16" t="str">
        <x:v>0.9705882352941176</x:v>
      </x:c>
      <x:c r="S258" s="12" t="str">
        <x:v>0.2</x:v>
      </x:c>
      <x:c r="T258" s="12" t="str">
        <x:v>68</x:v>
      </x:c>
      <x:c r="U258" s="16" t="str">
        <x:v>1.0</x:v>
      </x:c>
      <x:c r="V258" s="18" t="str">
        <x:v>0.7451127171516418</x:v>
      </x:c>
      <x:c r="W258" s="18" t="str">
        <x:v>0.8101023077964783</x:v>
      </x:c>
      <x:c r="X258" s="18" t="str">
        <x:v>0.8565742373466492</x:v>
      </x:c>
      <x:c r="Y258" s="18" t="str">
        <x:v>0.8634421229362488</x:v>
      </x:c>
      <x:c r="Z258" s="18" t="str">
        <x:v>0.8968216776847839</x:v>
      </x:c>
      <x:c r="AA258" s="18" t="str">
        <x:v>0.9243689775466919</x:v>
      </x:c>
      <x:c r="AB258" s="20" t="str">
        <x:v>155.95269999903394</x:v>
      </x:c>
      <x:c r="AC258" s="12" t="str">
        <x:v>overlays\sad_007.png</x:v>
      </x:c>
      <x:c r="AD258" s="12" t="str"/>
      <x:c r="AE258" s="12" t="str"/>
      <x:c r="AF258" s="12" t="str">
        <x:v>good</x:v>
      </x:c>
      <x:c r="AG258" s="12" t="n">
        <x:v>1</x:v>
      </x:c>
      <x:c r="AH258" s="12" t="str">
        <x:v>good</x:v>
      </x:c>
      <x:c r="AI258" s="12" t="str">
        <x:v>good</x:v>
      </x:c>
      <x:c r="AJ258" s="12" t="str">
        <x:v>good</x:v>
      </x:c>
      <x:c r="AK258" s="12" t="str">
        <x:v>not_applicable</x:v>
      </x:c>
      <x:c r="AL258" s="12" t="str">
        <x:v>none</x:v>
      </x:c>
      <x:c r="AM258" s="14" t="str">
        <x:v>Clear and well-aligned facial landmarks with no major pose, crop, or occlusion issue.</x:v>
      </x:c>
    </x:row>
    <x:row r="259" ht="28" customHeight="1">
      <x:c r="A259" s="12" t="str">
        <x:v>sad_008</x:v>
      </x:c>
      <x:c r="B259" s="12" t="str">
        <x:v>sad</x:v>
      </x:c>
      <x:c r="C259" s="14" t="str">
        <x:v>sad/Training_24583037.jpg</x:v>
      </x:c>
      <x:c r="D259" s="12" t="str">
        <x:v>d782f95055a391c2115b9dc15579890f5f274e2a83bd16521be20b5de0c2874c</x:v>
      </x:c>
      <x:c r="E259" s="12" t="str">
        <x:v>d782f95055a391c2115b9dc15579890f5f274e2a83bd16521be20b5de0c2874c</x:v>
      </x:c>
      <x:c r="F259" s="12" t="str">
        <x:v>True</x:v>
      </x:c>
      <x:c r="G259" s="12" t="str">
        <x:v>48</x:v>
      </x:c>
      <x:c r="H259" s="12" t="str">
        <x:v>48</x:v>
      </x:c>
      <x:c r="I259" s="12" t="str">
        <x:v>0.0</x:v>
      </x:c>
      <x:c r="J259" s="12" t="str">
        <x:v>0.0</x:v>
      </x:c>
      <x:c r="K259" s="12" t="str">
        <x:v>47.0</x:v>
      </x:c>
      <x:c r="L259" s="12" t="str">
        <x:v>47.0</x:v>
      </x:c>
      <x:c r="M259" s="12" t="str">
        <x:v>True</x:v>
      </x:c>
      <x:c r="N259" s="12" t="str">
        <x:v>68</x:v>
      </x:c>
      <x:c r="O259" s="12" t="str">
        <x:v>68</x:v>
      </x:c>
      <x:c r="P259" s="16" t="str">
        <x:v>1.0</x:v>
      </x:c>
      <x:c r="Q259" s="12" t="str">
        <x:v>68</x:v>
      </x:c>
      <x:c r="R259" s="16" t="str">
        <x:v>1.0</x:v>
      </x:c>
      <x:c r="S259" s="12" t="str">
        <x:v>0.2</x:v>
      </x:c>
      <x:c r="T259" s="12" t="str">
        <x:v>68</x:v>
      </x:c>
      <x:c r="U259" s="16" t="str">
        <x:v>1.0</x:v>
      </x:c>
      <x:c r="V259" s="18" t="str">
        <x:v>0.6714982390403748</x:v>
      </x:c>
      <x:c r="W259" s="18" t="str">
        <x:v>0.7545863568782807</x:v>
      </x:c>
      <x:c r="X259" s="18" t="str">
        <x:v>0.8157515525817871</x:v>
      </x:c>
      <x:c r="Y259" s="18" t="str">
        <x:v>0.8153076171875</x:v>
      </x:c>
      <x:c r="Z259" s="18" t="str">
        <x:v>0.8763747811317444</x:v>
      </x:c>
      <x:c r="AA259" s="18" t="str">
        <x:v>0.8982840776443481</x:v>
      </x:c>
      <x:c r="AB259" s="20" t="str">
        <x:v>181.77450000075623</x:v>
      </x:c>
      <x:c r="AC259" s="12" t="str">
        <x:v>overlays\sad_008.png</x:v>
      </x:c>
      <x:c r="AD259" s="12" t="str"/>
      <x:c r="AE259" s="12" t="str"/>
      <x:c r="AF259" s="12" t="str">
        <x:v>acceptable</x:v>
      </x:c>
      <x:c r="AG259" s="12" t="n">
        <x:v>1</x:v>
      </x:c>
      <x:c r="AH259" s="12" t="str">
        <x:v>occluded</x:v>
      </x:c>
      <x:c r="AI259" s="12" t="str">
        <x:v>occluded</x:v>
      </x:c>
      <x:c r="AJ259" s="12" t="str">
        <x:v>acceptable</x:v>
      </x:c>
      <x:c r="AK259" s="12" t="str">
        <x:v>not_applicable</x:v>
      </x:c>
      <x:c r="AL259" s="12" t="str">
        <x:v>mild</x:v>
      </x:c>
      <x:c r="AM259" s="14" t="str">
        <x:v>Occlusion affects part of the face; visible landmarks remain usable, but hidden points are inferred.</x:v>
      </x:c>
    </x:row>
    <x:row r="260" ht="28" customHeight="1">
      <x:c r="A260" s="12" t="str">
        <x:v>sad_009</x:v>
      </x:c>
      <x:c r="B260" s="12" t="str">
        <x:v>sad</x:v>
      </x:c>
      <x:c r="C260" s="14" t="str">
        <x:v>sad/Training_19138102.jpg</x:v>
      </x:c>
      <x:c r="D260" s="12" t="str">
        <x:v>f5733a6d2f31a2dce463f8faa0cc10773f5b21ebab7644da898a572b48e12626</x:v>
      </x:c>
      <x:c r="E260" s="12" t="str">
        <x:v>f5733a6d2f31a2dce463f8faa0cc10773f5b21ebab7644da898a572b48e12626</x:v>
      </x:c>
      <x:c r="F260" s="12" t="str">
        <x:v>True</x:v>
      </x:c>
      <x:c r="G260" s="12" t="str">
        <x:v>48</x:v>
      </x:c>
      <x:c r="H260" s="12" t="str">
        <x:v>48</x:v>
      </x:c>
      <x:c r="I260" s="12" t="str">
        <x:v>0.0</x:v>
      </x:c>
      <x:c r="J260" s="12" t="str">
        <x:v>0.0</x:v>
      </x:c>
      <x:c r="K260" s="12" t="str">
        <x:v>47.0</x:v>
      </x:c>
      <x:c r="L260" s="12" t="str">
        <x:v>47.0</x:v>
      </x:c>
      <x:c r="M260" s="12" t="str">
        <x:v>True</x:v>
      </x:c>
      <x:c r="N260" s="12" t="str">
        <x:v>68</x:v>
      </x:c>
      <x:c r="O260" s="12" t="str">
        <x:v>68</x:v>
      </x:c>
      <x:c r="P260" s="16" t="str">
        <x:v>1.0</x:v>
      </x:c>
      <x:c r="Q260" s="12" t="str">
        <x:v>68</x:v>
      </x:c>
      <x:c r="R260" s="16" t="str">
        <x:v>1.0</x:v>
      </x:c>
      <x:c r="S260" s="12" t="str">
        <x:v>0.2</x:v>
      </x:c>
      <x:c r="T260" s="12" t="str">
        <x:v>68</x:v>
      </x:c>
      <x:c r="U260" s="16" t="str">
        <x:v>1.0</x:v>
      </x:c>
      <x:c r="V260" s="18" t="str">
        <x:v>0.7561772465705872</x:v>
      </x:c>
      <x:c r="W260" s="18" t="str">
        <x:v>0.8009348928928375</x:v>
      </x:c>
      <x:c r="X260" s="18" t="str">
        <x:v>0.8580213785171509</x:v>
      </x:c>
      <x:c r="Y260" s="18" t="str">
        <x:v>0.8691986799240112</x:v>
      </x:c>
      <x:c r="Z260" s="18" t="str">
        <x:v>0.9007805764675141</x:v>
      </x:c>
      <x:c r="AA260" s="18" t="str">
        <x:v>0.9228804707527161</x:v>
      </x:c>
      <x:c r="AB260" s="20" t="str">
        <x:v>191.88260000373702</x:v>
      </x:c>
      <x:c r="AC260" s="12" t="str">
        <x:v>overlays\sad_009.png</x:v>
      </x:c>
      <x:c r="AD260" s="12" t="str"/>
      <x:c r="AE260" s="12" t="str"/>
      <x:c r="AF260" s="12" t="str">
        <x:v>acceptable</x:v>
      </x:c>
      <x:c r="AG260" s="12" t="n">
        <x:v>1</x:v>
      </x:c>
      <x:c r="AH260" s="12" t="str">
        <x:v>acceptable</x:v>
      </x:c>
      <x:c r="AI260" s="12" t="str">
        <x:v>acceptable</x:v>
      </x:c>
      <x:c r="AJ260" s="12" t="str">
        <x:v>acceptable</x:v>
      </x:c>
      <x:c r="AK260" s="12" t="str">
        <x:v>not_applicable</x:v>
      </x:c>
      <x:c r="AL260" s="12" t="str">
        <x:v>mild</x:v>
      </x:c>
      <x:c r="AM260" s="14" t="str">
        <x:v>Large pose or profile; visible landmarks remain useful, while hidden-side and contour points are inferred.</x:v>
      </x:c>
    </x:row>
    <x:row r="261" ht="28" customHeight="1">
      <x:c r="A261" s="12" t="str">
        <x:v>sad_010</x:v>
      </x:c>
      <x:c r="B261" s="12" t="str">
        <x:v>sad</x:v>
      </x:c>
      <x:c r="C261" s="14" t="str">
        <x:v>sad/Training_7095418.jpg</x:v>
      </x:c>
      <x:c r="D261" s="12" t="str">
        <x:v>69495884c5b365a659e8c8becc5ee2bbf3ef3492f2de62eb8befc56c73b253b8</x:v>
      </x:c>
      <x:c r="E261" s="12" t="str">
        <x:v>69495884c5b365a659e8c8becc5ee2bbf3ef3492f2de62eb8befc56c73b253b8</x:v>
      </x:c>
      <x:c r="F261" s="12" t="str">
        <x:v>True</x:v>
      </x:c>
      <x:c r="G261" s="12" t="str">
        <x:v>48</x:v>
      </x:c>
      <x:c r="H261" s="12" t="str">
        <x:v>48</x:v>
      </x:c>
      <x:c r="I261" s="12" t="str">
        <x:v>0.0</x:v>
      </x:c>
      <x:c r="J261" s="12" t="str">
        <x:v>0.0</x:v>
      </x:c>
      <x:c r="K261" s="12" t="str">
        <x:v>47.0</x:v>
      </x:c>
      <x:c r="L261" s="12" t="str">
        <x:v>47.0</x:v>
      </x:c>
      <x:c r="M261" s="12" t="str">
        <x:v>True</x:v>
      </x:c>
      <x:c r="N261" s="12" t="str">
        <x:v>68</x:v>
      </x:c>
      <x:c r="O261" s="12" t="str">
        <x:v>68</x:v>
      </x:c>
      <x:c r="P261" s="16" t="str">
        <x:v>1.0</x:v>
      </x:c>
      <x:c r="Q261" s="12" t="str">
        <x:v>67</x:v>
      </x:c>
      <x:c r="R261" s="16" t="str">
        <x:v>0.9852941176470589</x:v>
      </x:c>
      <x:c r="S261" s="12" t="str">
        <x:v>0.2</x:v>
      </x:c>
      <x:c r="T261" s="12" t="str">
        <x:v>68</x:v>
      </x:c>
      <x:c r="U261" s="16" t="str">
        <x:v>1.0</x:v>
      </x:c>
      <x:c r="V261" s="18" t="str">
        <x:v>0.6626952886581421</x:v>
      </x:c>
      <x:c r="W261" s="18" t="str">
        <x:v>0.7144972324371338</x:v>
      </x:c>
      <x:c r="X261" s="18" t="str">
        <x:v>0.8025795817375183</x:v>
      </x:c>
      <x:c r="Y261" s="18" t="str">
        <x:v>0.819369912147522</x:v>
      </x:c>
      <x:c r="Z261" s="18" t="str">
        <x:v>0.8572368144989014</x:v>
      </x:c>
      <x:c r="AA261" s="18" t="str">
        <x:v>0.8755986094474792</x:v>
      </x:c>
      <x:c r="AB261" s="20" t="str">
        <x:v>160.0730999998632</x:v>
      </x:c>
      <x:c r="AC261" s="12" t="str">
        <x:v>overlays\sad_010.png</x:v>
      </x:c>
      <x:c r="AD261" s="12" t="str"/>
      <x:c r="AE261" s="12" t="str"/>
      <x:c r="AF261" s="12" t="str">
        <x:v>acceptable</x:v>
      </x:c>
      <x:c r="AG261" s="12" t="n">
        <x:v>1</x:v>
      </x:c>
      <x:c r="AH261" s="12" t="str">
        <x:v>acceptable</x:v>
      </x:c>
      <x:c r="AI261" s="12" t="str">
        <x:v>acceptable</x:v>
      </x:c>
      <x:c r="AJ261" s="12" t="str">
        <x:v>acceptable</x:v>
      </x:c>
      <x:c r="AK261" s="12" t="str">
        <x:v>not_applicable</x:v>
      </x:c>
      <x:c r="AL261" s="12" t="str">
        <x:v>mild</x:v>
      </x:c>
      <x:c r="AM261" s="14" t="str">
        <x:v>Large pose or profile; visible landmarks remain useful, while hidden-side and contour points are inferred.</x:v>
      </x:c>
    </x:row>
    <x:row r="262" ht="28" customHeight="1">
      <x:c r="A262" s="12" t="str">
        <x:v>sad_011</x:v>
      </x:c>
      <x:c r="B262" s="12" t="str">
        <x:v>sad</x:v>
      </x:c>
      <x:c r="C262" s="14" t="str">
        <x:v>sad/Training_61459765.jpg</x:v>
      </x:c>
      <x:c r="D262" s="12" t="str">
        <x:v>05bbd193920dced77526f06e44890242c5945b9365491ba56637d3ecd3112ab8</x:v>
      </x:c>
      <x:c r="E262" s="12" t="str">
        <x:v>05bbd193920dced77526f06e44890242c5945b9365491ba56637d3ecd3112ab8</x:v>
      </x:c>
      <x:c r="F262" s="12" t="str">
        <x:v>True</x:v>
      </x:c>
      <x:c r="G262" s="12" t="str">
        <x:v>48</x:v>
      </x:c>
      <x:c r="H262" s="12" t="str">
        <x:v>48</x:v>
      </x:c>
      <x:c r="I262" s="12" t="str">
        <x:v>0.0</x:v>
      </x:c>
      <x:c r="J262" s="12" t="str">
        <x:v>0.0</x:v>
      </x:c>
      <x:c r="K262" s="12" t="str">
        <x:v>47.0</x:v>
      </x:c>
      <x:c r="L262" s="12" t="str">
        <x:v>47.0</x:v>
      </x:c>
      <x:c r="M262" s="12" t="str">
        <x:v>True</x:v>
      </x:c>
      <x:c r="N262" s="12" t="str">
        <x:v>68</x:v>
      </x:c>
      <x:c r="O262" s="12" t="str">
        <x:v>68</x:v>
      </x:c>
      <x:c r="P262" s="16" t="str">
        <x:v>1.0</x:v>
      </x:c>
      <x:c r="Q262" s="12" t="str">
        <x:v>68</x:v>
      </x:c>
      <x:c r="R262" s="16" t="str">
        <x:v>1.0</x:v>
      </x:c>
      <x:c r="S262" s="12" t="str">
        <x:v>0.2</x:v>
      </x:c>
      <x:c r="T262" s="12" t="str">
        <x:v>68</x:v>
      </x:c>
      <x:c r="U262" s="16" t="str">
        <x:v>1.0</x:v>
      </x:c>
      <x:c r="V262" s="18" t="str">
        <x:v>0.5937703847885132</x:v>
      </x:c>
      <x:c r="W262" s="18" t="str">
        <x:v>0.7299062728881835</x:v>
      </x:c>
      <x:c r="X262" s="18" t="str">
        <x:v>0.8073732256889343</x:v>
      </x:c>
      <x:c r="Y262" s="18" t="str">
        <x:v>0.8195662498474121</x:v>
      </x:c>
      <x:c r="Z262" s="18" t="str">
        <x:v>0.8647491216659546</x:v>
      </x:c>
      <x:c r="AA262" s="18" t="str">
        <x:v>0.8974315524101257</x:v>
      </x:c>
      <x:c r="AB262" s="20" t="str">
        <x:v>180.18750000192085</x:v>
      </x:c>
      <x:c r="AC262" s="12" t="str">
        <x:v>overlays\sad_011.png</x:v>
      </x:c>
      <x:c r="AD262" s="12" t="str"/>
      <x:c r="AE262" s="12" t="str"/>
      <x:c r="AF262" s="12" t="str">
        <x:v>acceptable</x:v>
      </x:c>
      <x:c r="AG262" s="12" t="n">
        <x:v>1</x:v>
      </x:c>
      <x:c r="AH262" s="12" t="str">
        <x:v>acceptable</x:v>
      </x:c>
      <x:c r="AI262" s="12" t="str">
        <x:v>acceptable</x:v>
      </x:c>
      <x:c r="AJ262" s="12" t="str">
        <x:v>acceptable</x:v>
      </x:c>
      <x:c r="AK262" s="12" t="str">
        <x:v>not_applicable</x:v>
      </x:c>
      <x:c r="AL262" s="12" t="str">
        <x:v>mild</x:v>
      </x:c>
      <x:c r="AM262" s="14" t="str">
        <x:v>Large pose or profile; visible landmarks remain useful, while hidden-side and contour points are inferred.</x:v>
      </x:c>
    </x:row>
    <x:row r="263" ht="28" customHeight="1">
      <x:c r="A263" s="12" t="str">
        <x:v>sad_012</x:v>
      </x:c>
      <x:c r="B263" s="12" t="str">
        <x:v>sad</x:v>
      </x:c>
      <x:c r="C263" s="14" t="str">
        <x:v>sad/Training_26319602.jpg</x:v>
      </x:c>
      <x:c r="D263" s="12" t="str">
        <x:v>177c3e3e2380cbc3cf6674c5b584505e47919d641e4dc1a80c8896b652685d55</x:v>
      </x:c>
      <x:c r="E263" s="12" t="str">
        <x:v>177c3e3e2380cbc3cf6674c5b584505e47919d641e4dc1a80c8896b652685d55</x:v>
      </x:c>
      <x:c r="F263" s="12" t="str">
        <x:v>True</x:v>
      </x:c>
      <x:c r="G263" s="12" t="str">
        <x:v>48</x:v>
      </x:c>
      <x:c r="H263" s="12" t="str">
        <x:v>48</x:v>
      </x:c>
      <x:c r="I263" s="12" t="str">
        <x:v>0.0</x:v>
      </x:c>
      <x:c r="J263" s="12" t="str">
        <x:v>0.0</x:v>
      </x:c>
      <x:c r="K263" s="12" t="str">
        <x:v>47.0</x:v>
      </x:c>
      <x:c r="L263" s="12" t="str">
        <x:v>47.0</x:v>
      </x:c>
      <x:c r="M263" s="12" t="str">
        <x:v>True</x:v>
      </x:c>
      <x:c r="N263" s="12" t="str">
        <x:v>68</x:v>
      </x:c>
      <x:c r="O263" s="12" t="str">
        <x:v>68</x:v>
      </x:c>
      <x:c r="P263" s="16" t="str">
        <x:v>1.0</x:v>
      </x:c>
      <x:c r="Q263" s="12" t="str">
        <x:v>68</x:v>
      </x:c>
      <x:c r="R263" s="16" t="str">
        <x:v>1.0</x:v>
      </x:c>
      <x:c r="S263" s="12" t="str">
        <x:v>0.2</x:v>
      </x:c>
      <x:c r="T263" s="12" t="str">
        <x:v>68</x:v>
      </x:c>
      <x:c r="U263" s="16" t="str">
        <x:v>1.0</x:v>
      </x:c>
      <x:c r="V263" s="18" t="str">
        <x:v>0.702646017074585</x:v>
      </x:c>
      <x:c r="W263" s="18" t="str">
        <x:v>0.7428794503211975</x:v>
      </x:c>
      <x:c r="X263" s="18" t="str">
        <x:v>0.8068230152130127</x:v>
      </x:c>
      <x:c r="Y263" s="18" t="str">
        <x:v>0.8143547773361206</x:v>
      </x:c>
      <x:c r="Z263" s="18" t="str">
        <x:v>0.8644065856933594</x:v>
      </x:c>
      <x:c r="AA263" s="18" t="str">
        <x:v>0.8916371464729309</x:v>
      </x:c>
      <x:c r="AB263" s="20" t="str">
        <x:v>155.5616999976337</x:v>
      </x:c>
      <x:c r="AC263" s="12" t="str">
        <x:v>overlays\sad_012.png</x:v>
      </x:c>
      <x:c r="AD263" s="12" t="str"/>
      <x:c r="AE263" s="12" t="str"/>
      <x:c r="AF263" s="12" t="str">
        <x:v>good</x:v>
      </x:c>
      <x:c r="AG263" s="12" t="n">
        <x:v>1</x:v>
      </x:c>
      <x:c r="AH263" s="12" t="str">
        <x:v>good</x:v>
      </x:c>
      <x:c r="AI263" s="12" t="str">
        <x:v>good</x:v>
      </x:c>
      <x:c r="AJ263" s="12" t="str">
        <x:v>good</x:v>
      </x:c>
      <x:c r="AK263" s="12" t="str">
        <x:v>not_applicable</x:v>
      </x:c>
      <x:c r="AL263" s="12" t="str">
        <x:v>none</x:v>
      </x:c>
      <x:c r="AM263" s="14" t="str">
        <x:v>Clear and well-aligned facial landmarks with no major pose, crop, or occlusion issue.</x:v>
      </x:c>
    </x:row>
    <x:row r="264" ht="28" customHeight="1">
      <x:c r="A264" s="12" t="str">
        <x:v>sad_013</x:v>
      </x:c>
      <x:c r="B264" s="12" t="str">
        <x:v>sad</x:v>
      </x:c>
      <x:c r="C264" s="14" t="str">
        <x:v>sad/Training_47814386.jpg</x:v>
      </x:c>
      <x:c r="D264" s="12" t="str">
        <x:v>7438c31726f833985bf56b4a106d772d611df2d4af1046c52c030ed8306dd9bd</x:v>
      </x:c>
      <x:c r="E264" s="12" t="str">
        <x:v>7438c31726f833985bf56b4a106d772d611df2d4af1046c52c030ed8306dd9bd</x:v>
      </x:c>
      <x:c r="F264" s="12" t="str">
        <x:v>True</x:v>
      </x:c>
      <x:c r="G264" s="12" t="str">
        <x:v>48</x:v>
      </x:c>
      <x:c r="H264" s="12" t="str">
        <x:v>48</x:v>
      </x:c>
      <x:c r="I264" s="12" t="str">
        <x:v>0.0</x:v>
      </x:c>
      <x:c r="J264" s="12" t="str">
        <x:v>0.0</x:v>
      </x:c>
      <x:c r="K264" s="12" t="str">
        <x:v>47.0</x:v>
      </x:c>
      <x:c r="L264" s="12" t="str">
        <x:v>47.0</x:v>
      </x:c>
      <x:c r="M264" s="12" t="str">
        <x:v>True</x:v>
      </x:c>
      <x:c r="N264" s="12" t="str">
        <x:v>68</x:v>
      </x:c>
      <x:c r="O264" s="12" t="str">
        <x:v>68</x:v>
      </x:c>
      <x:c r="P264" s="16" t="str">
        <x:v>1.0</x:v>
      </x:c>
      <x:c r="Q264" s="12" t="str">
        <x:v>67</x:v>
      </x:c>
      <x:c r="R264" s="16" t="str">
        <x:v>0.9852941176470589</x:v>
      </x:c>
      <x:c r="S264" s="12" t="str">
        <x:v>0.2</x:v>
      </x:c>
      <x:c r="T264" s="12" t="str">
        <x:v>59</x:v>
      </x:c>
      <x:c r="U264" s="16" t="str">
        <x:v>0.8676470588235294</x:v>
      </x:c>
      <x:c r="V264" s="18" t="str">
        <x:v>0.013928327709436417</x:v>
      </x:c>
      <x:c r="W264" s="18" t="str">
        <x:v>0.15190861970186234</x:v>
      </x:c>
      <x:c r="X264" s="18" t="str">
        <x:v>0.6352150440216064</x:v>
      </x:c>
      <x:c r="Y264" s="18" t="str">
        <x:v>0.7741201519966125</x:v>
      </x:c>
      <x:c r="Z264" s="18" t="str">
        <x:v>0.8389791786670685</x:v>
      </x:c>
      <x:c r="AA264" s="18" t="str">
        <x:v>0.8690605759620667</x:v>
      </x:c>
      <x:c r="AB264" s="20" t="str">
        <x:v>150.2018000028329</x:v>
      </x:c>
      <x:c r="AC264" s="12" t="str">
        <x:v>overlays\sad_013.png</x:v>
      </x:c>
      <x:c r="AD264" s="12" t="str"/>
      <x:c r="AE264" s="12" t="str"/>
      <x:c r="AF264" s="12" t="str">
        <x:v>acceptable</x:v>
      </x:c>
      <x:c r="AG264" s="12" t="n">
        <x:v>1</x:v>
      </x:c>
      <x:c r="AH264" s="12" t="str">
        <x:v>acceptable</x:v>
      </x:c>
      <x:c r="AI264" s="12" t="str">
        <x:v>acceptable</x:v>
      </x:c>
      <x:c r="AJ264" s="12" t="str">
        <x:v>acceptable</x:v>
      </x:c>
      <x:c r="AK264" s="12" t="str">
        <x:v>acceptable</x:v>
      </x:c>
      <x:c r="AL264" s="12" t="str">
        <x:v>mild</x:v>
      </x:c>
      <x:c r="AM264" s="14" t="str">
        <x:v>Blur, low contrast, or unusual appearance lowers confidence, but the landmark geometry remains usable.</x:v>
      </x:c>
    </x:row>
    <x:row r="265" ht="28" customHeight="1">
      <x:c r="A265" s="12" t="str">
        <x:v>sad_014</x:v>
      </x:c>
      <x:c r="B265" s="12" t="str">
        <x:v>sad</x:v>
      </x:c>
      <x:c r="C265" s="14" t="str">
        <x:v>sad/Training_39290842.jpg</x:v>
      </x:c>
      <x:c r="D265" s="12" t="str">
        <x:v>b959d6cda87f31b7fe017e3a3a61dd5900fabb3be08a13bd2b0984acc4e56286</x:v>
      </x:c>
      <x:c r="E265" s="12" t="str">
        <x:v>b959d6cda87f31b7fe017e3a3a61dd5900fabb3be08a13bd2b0984acc4e56286</x:v>
      </x:c>
      <x:c r="F265" s="12" t="str">
        <x:v>True</x:v>
      </x:c>
      <x:c r="G265" s="12" t="str">
        <x:v>48</x:v>
      </x:c>
      <x:c r="H265" s="12" t="str">
        <x:v>48</x:v>
      </x:c>
      <x:c r="I265" s="12" t="str">
        <x:v>0.0</x:v>
      </x:c>
      <x:c r="J265" s="12" t="str">
        <x:v>0.0</x:v>
      </x:c>
      <x:c r="K265" s="12" t="str">
        <x:v>47.0</x:v>
      </x:c>
      <x:c r="L265" s="12" t="str">
        <x:v>47.0</x:v>
      </x:c>
      <x:c r="M265" s="12" t="str">
        <x:v>True</x:v>
      </x:c>
      <x:c r="N265" s="12" t="str">
        <x:v>68</x:v>
      </x:c>
      <x:c r="O265" s="12" t="str">
        <x:v>68</x:v>
      </x:c>
      <x:c r="P265" s="16" t="str">
        <x:v>1.0</x:v>
      </x:c>
      <x:c r="Q265" s="12" t="str">
        <x:v>68</x:v>
      </x:c>
      <x:c r="R265" s="16" t="str">
        <x:v>1.0</x:v>
      </x:c>
      <x:c r="S265" s="12" t="str">
        <x:v>0.2</x:v>
      </x:c>
      <x:c r="T265" s="12" t="str">
        <x:v>68</x:v>
      </x:c>
      <x:c r="U265" s="16" t="str">
        <x:v>1.0</x:v>
      </x:c>
      <x:c r="V265" s="18" t="str">
        <x:v>0.6186000108718872</x:v>
      </x:c>
      <x:c r="W265" s="18" t="str">
        <x:v>0.6851806402206421</x:v>
      </x:c>
      <x:c r="X265" s="18" t="str">
        <x:v>0.7794689536094666</x:v>
      </x:c>
      <x:c r="Y265" s="18" t="str">
        <x:v>0.7870772480964661</x:v>
      </x:c>
      <x:c r="Z265" s="18" t="str">
        <x:v>0.8535746991634369</x:v>
      </x:c>
      <x:c r="AA265" s="18" t="str">
        <x:v>0.9133434891700745</x:v>
      </x:c>
      <x:c r="AB265" s="20" t="str">
        <x:v>172.40469999524066</x:v>
      </x:c>
      <x:c r="AC265" s="12" t="str">
        <x:v>overlays\sad_014.png</x:v>
      </x:c>
      <x:c r="AD265" s="12" t="str"/>
      <x:c r="AE265" s="12" t="str"/>
      <x:c r="AF265" s="12" t="str">
        <x:v>acceptable</x:v>
      </x:c>
      <x:c r="AG265" s="12" t="n">
        <x:v>1</x:v>
      </x:c>
      <x:c r="AH265" s="12" t="str">
        <x:v>acceptable</x:v>
      </x:c>
      <x:c r="AI265" s="12" t="str">
        <x:v>acceptable</x:v>
      </x:c>
      <x:c r="AJ265" s="12" t="str">
        <x:v>acceptable</x:v>
      </x:c>
      <x:c r="AK265" s="12" t="str">
        <x:v>acceptable</x:v>
      </x:c>
      <x:c r="AL265" s="12" t="str">
        <x:v>mild</x:v>
      </x:c>
      <x:c r="AM265" s="14" t="str">
        <x:v>Moderate pose, crop, blur, or facial texture causes minor landmark uncertainty; the result remains usable.</x:v>
      </x:c>
    </x:row>
    <x:row r="266" ht="28" customHeight="1">
      <x:c r="A266" s="12" t="str">
        <x:v>sad_015</x:v>
      </x:c>
      <x:c r="B266" s="12" t="str">
        <x:v>sad</x:v>
      </x:c>
      <x:c r="C266" s="14" t="str">
        <x:v>sad/Training_39163469.jpg</x:v>
      </x:c>
      <x:c r="D266" s="12" t="str">
        <x:v>800547643302fc393c689ba4943551db1ceed951cdd9b7ebf4424962e21fb857</x:v>
      </x:c>
      <x:c r="E266" s="12" t="str">
        <x:v>800547643302fc393c689ba4943551db1ceed951cdd9b7ebf4424962e21fb857</x:v>
      </x:c>
      <x:c r="F266" s="12" t="str">
        <x:v>True</x:v>
      </x:c>
      <x:c r="G266" s="12" t="str">
        <x:v>48</x:v>
      </x:c>
      <x:c r="H266" s="12" t="str">
        <x:v>48</x:v>
      </x:c>
      <x:c r="I266" s="12" t="str">
        <x:v>0.0</x:v>
      </x:c>
      <x:c r="J266" s="12" t="str">
        <x:v>0.0</x:v>
      </x:c>
      <x:c r="K266" s="12" t="str">
        <x:v>47.0</x:v>
      </x:c>
      <x:c r="L266" s="12" t="str">
        <x:v>47.0</x:v>
      </x:c>
      <x:c r="M266" s="12" t="str">
        <x:v>True</x:v>
      </x:c>
      <x:c r="N266" s="12" t="str">
        <x:v>68</x:v>
      </x:c>
      <x:c r="O266" s="12" t="str">
        <x:v>68</x:v>
      </x:c>
      <x:c r="P266" s="16" t="str">
        <x:v>1.0</x:v>
      </x:c>
      <x:c r="Q266" s="12" t="str">
        <x:v>68</x:v>
      </x:c>
      <x:c r="R266" s="16" t="str">
        <x:v>1.0</x:v>
      </x:c>
      <x:c r="S266" s="12" t="str">
        <x:v>0.2</x:v>
      </x:c>
      <x:c r="T266" s="12" t="str">
        <x:v>68</x:v>
      </x:c>
      <x:c r="U266" s="16" t="str">
        <x:v>1.0</x:v>
      </x:c>
      <x:c r="V266" s="18" t="str">
        <x:v>0.64361572265625</x:v>
      </x:c>
      <x:c r="W266" s="18" t="str">
        <x:v>0.7248540699481965</x:v>
      </x:c>
      <x:c r="X266" s="18" t="str">
        <x:v>0.8169463872909546</x:v>
      </x:c>
      <x:c r="Y266" s="18" t="str">
        <x:v>0.8321024179458618</x:v>
      </x:c>
      <x:c r="Z266" s="18" t="str">
        <x:v>0.8810975551605225</x:v>
      </x:c>
      <x:c r="AA266" s="18" t="str">
        <x:v>0.926226794719696</x:v>
      </x:c>
      <x:c r="AB266" s="20" t="str">
        <x:v>157.4687000029371</x:v>
      </x:c>
      <x:c r="AC266" s="12" t="str">
        <x:v>overlays\sad_015.png</x:v>
      </x:c>
      <x:c r="AD266" s="12" t="str"/>
      <x:c r="AE266" s="12" t="str"/>
      <x:c r="AF266" s="12" t="str">
        <x:v>acceptable</x:v>
      </x:c>
      <x:c r="AG266" s="12" t="n">
        <x:v>1</x:v>
      </x:c>
      <x:c r="AH266" s="12" t="str">
        <x:v>acceptable</x:v>
      </x:c>
      <x:c r="AI266" s="12" t="str">
        <x:v>acceptable</x:v>
      </x:c>
      <x:c r="AJ266" s="12" t="str">
        <x:v>acceptable</x:v>
      </x:c>
      <x:c r="AK266" s="12" t="str">
        <x:v>not_applicable</x:v>
      </x:c>
      <x:c r="AL266" s="12" t="str">
        <x:v>mild</x:v>
      </x:c>
      <x:c r="AM266" s="14" t="str">
        <x:v>Large pose or profile; visible landmarks remain useful, while hidden-side and contour points are inferred.</x:v>
      </x:c>
    </x:row>
    <x:row r="267" ht="28" customHeight="1">
      <x:c r="A267" s="12" t="str">
        <x:v>sad_016</x:v>
      </x:c>
      <x:c r="B267" s="12" t="str">
        <x:v>sad</x:v>
      </x:c>
      <x:c r="C267" s="14" t="str">
        <x:v>sad/Training_91662599.jpg</x:v>
      </x:c>
      <x:c r="D267" s="12" t="str">
        <x:v>d04e51c6a2bc3d6f12c8c7e5c65fd5aa9c38b05810ebeaa9cc50ae39b7002386</x:v>
      </x:c>
      <x:c r="E267" s="12" t="str">
        <x:v>d04e51c6a2bc3d6f12c8c7e5c65fd5aa9c38b05810ebeaa9cc50ae39b7002386</x:v>
      </x:c>
      <x:c r="F267" s="12" t="str">
        <x:v>True</x:v>
      </x:c>
      <x:c r="G267" s="12" t="str">
        <x:v>48</x:v>
      </x:c>
      <x:c r="H267" s="12" t="str">
        <x:v>48</x:v>
      </x:c>
      <x:c r="I267" s="12" t="str">
        <x:v>0.0</x:v>
      </x:c>
      <x:c r="J267" s="12" t="str">
        <x:v>0.0</x:v>
      </x:c>
      <x:c r="K267" s="12" t="str">
        <x:v>47.0</x:v>
      </x:c>
      <x:c r="L267" s="12" t="str">
        <x:v>47.0</x:v>
      </x:c>
      <x:c r="M267" s="12" t="str">
        <x:v>True</x:v>
      </x:c>
      <x:c r="N267" s="12" t="str">
        <x:v>68</x:v>
      </x:c>
      <x:c r="O267" s="12" t="str">
        <x:v>68</x:v>
      </x:c>
      <x:c r="P267" s="16" t="str">
        <x:v>1.0</x:v>
      </x:c>
      <x:c r="Q267" s="12" t="str">
        <x:v>50</x:v>
      </x:c>
      <x:c r="R267" s="16" t="str">
        <x:v>0.7352941176470589</x:v>
      </x:c>
      <x:c r="S267" s="12" t="str">
        <x:v>0.2</x:v>
      </x:c>
      <x:c r="T267" s="12" t="str">
        <x:v>68</x:v>
      </x:c>
      <x:c r="U267" s="16" t="str">
        <x:v>1.0</x:v>
      </x:c>
      <x:c r="V267" s="18" t="str">
        <x:v>0.6204457879066467</x:v>
      </x:c>
      <x:c r="W267" s="18" t="str">
        <x:v>0.7033423960208893</x:v>
      </x:c>
      <x:c r="X267" s="18" t="str">
        <x:v>0.7923482656478882</x:v>
      </x:c>
      <x:c r="Y267" s="18" t="str">
        <x:v>0.8132479190826416</x:v>
      </x:c>
      <x:c r="Z267" s="18" t="str">
        <x:v>0.8517664253711701</x:v>
      </x:c>
      <x:c r="AA267" s="18" t="str">
        <x:v>0.8902637362480164</x:v>
      </x:c>
      <x:c r="AB267" s="20" t="str">
        <x:v>158.69989999919198</x:v>
      </x:c>
      <x:c r="AC267" s="12" t="str">
        <x:v>overlays\sad_016.png</x:v>
      </x:c>
      <x:c r="AD267" s="12" t="str"/>
      <x:c r="AE267" s="12" t="str"/>
      <x:c r="AF267" s="12" t="str">
        <x:v>acceptable</x:v>
      </x:c>
      <x:c r="AG267" s="12" t="n">
        <x:v>1</x:v>
      </x:c>
      <x:c r="AH267" s="12" t="str">
        <x:v>acceptable</x:v>
      </x:c>
      <x:c r="AI267" s="12" t="str">
        <x:v>acceptable</x:v>
      </x:c>
      <x:c r="AJ267" s="12" t="str">
        <x:v>acceptable</x:v>
      </x:c>
      <x:c r="AK267" s="12" t="str">
        <x:v>not_applicable</x:v>
      </x:c>
      <x:c r="AL267" s="12" t="str">
        <x:v>mild</x:v>
      </x:c>
      <x:c r="AM267" s="14" t="str">
        <x:v>Tight crop places several contour points outside the frame; central facial landmarks remain usable.</x:v>
      </x:c>
    </x:row>
    <x:row r="268" ht="28" customHeight="1">
      <x:c r="A268" s="12" t="str">
        <x:v>sad_017</x:v>
      </x:c>
      <x:c r="B268" s="12" t="str">
        <x:v>sad</x:v>
      </x:c>
      <x:c r="C268" s="14" t="str">
        <x:v>sad/Training_78106696.jpg</x:v>
      </x:c>
      <x:c r="D268" s="12" t="str">
        <x:v>7a64d36eab94b8036e714d9bb914191aa954717daea74b804e2550c9a9c4b3b1</x:v>
      </x:c>
      <x:c r="E268" s="12" t="str">
        <x:v>7a64d36eab94b8036e714d9bb914191aa954717daea74b804e2550c9a9c4b3b1</x:v>
      </x:c>
      <x:c r="F268" s="12" t="str">
        <x:v>True</x:v>
      </x:c>
      <x:c r="G268" s="12" t="str">
        <x:v>48</x:v>
      </x:c>
      <x:c r="H268" s="12" t="str">
        <x:v>48</x:v>
      </x:c>
      <x:c r="I268" s="12" t="str">
        <x:v>0.0</x:v>
      </x:c>
      <x:c r="J268" s="12" t="str">
        <x:v>0.0</x:v>
      </x:c>
      <x:c r="K268" s="12" t="str">
        <x:v>47.0</x:v>
      </x:c>
      <x:c r="L268" s="12" t="str">
        <x:v>47.0</x:v>
      </x:c>
      <x:c r="M268" s="12" t="str">
        <x:v>True</x:v>
      </x:c>
      <x:c r="N268" s="12" t="str">
        <x:v>68</x:v>
      </x:c>
      <x:c r="O268" s="12" t="str">
        <x:v>68</x:v>
      </x:c>
      <x:c r="P268" s="16" t="str">
        <x:v>1.0</x:v>
      </x:c>
      <x:c r="Q268" s="12" t="str">
        <x:v>68</x:v>
      </x:c>
      <x:c r="R268" s="16" t="str">
        <x:v>1.0</x:v>
      </x:c>
      <x:c r="S268" s="12" t="str">
        <x:v>0.2</x:v>
      </x:c>
      <x:c r="T268" s="12" t="str">
        <x:v>68</x:v>
      </x:c>
      <x:c r="U268" s="16" t="str">
        <x:v>1.0</x:v>
      </x:c>
      <x:c r="V268" s="18" t="str">
        <x:v>0.7026615738868713</x:v>
      </x:c>
      <x:c r="W268" s="18" t="str">
        <x:v>0.7519382059574127</x:v>
      </x:c>
      <x:c r="X268" s="18" t="str">
        <x:v>0.8165314793586731</x:v>
      </x:c>
      <x:c r="Y268" s="18" t="str">
        <x:v>0.8277690410614014</x:v>
      </x:c>
      <x:c r="Z268" s="18" t="str">
        <x:v>0.8633773624897003</x:v>
      </x:c>
      <x:c r="AA268" s="18" t="str">
        <x:v>0.9068707823753357</x:v>
      </x:c>
      <x:c r="AB268" s="20" t="str">
        <x:v>161.6626000031829</x:v>
      </x:c>
      <x:c r="AC268" s="12" t="str">
        <x:v>overlays\sad_017.png</x:v>
      </x:c>
      <x:c r="AD268" s="12" t="str"/>
      <x:c r="AE268" s="12" t="str"/>
      <x:c r="AF268" s="12" t="str">
        <x:v>good</x:v>
      </x:c>
      <x:c r="AG268" s="12" t="n">
        <x:v>1</x:v>
      </x:c>
      <x:c r="AH268" s="12" t="str">
        <x:v>good</x:v>
      </x:c>
      <x:c r="AI268" s="12" t="str">
        <x:v>good</x:v>
      </x:c>
      <x:c r="AJ268" s="12" t="str">
        <x:v>good</x:v>
      </x:c>
      <x:c r="AK268" s="12" t="str">
        <x:v>not_applicable</x:v>
      </x:c>
      <x:c r="AL268" s="12" t="str">
        <x:v>none</x:v>
      </x:c>
      <x:c r="AM268" s="14" t="str">
        <x:v>Clear and well-aligned facial landmarks with no major pose, crop, or occlusion issue.</x:v>
      </x:c>
    </x:row>
    <x:row r="269" ht="28" customHeight="1">
      <x:c r="A269" s="12" t="str">
        <x:v>sad_018</x:v>
      </x:c>
      <x:c r="B269" s="12" t="str">
        <x:v>sad</x:v>
      </x:c>
      <x:c r="C269" s="14" t="str">
        <x:v>sad/Training_31098779.jpg</x:v>
      </x:c>
      <x:c r="D269" s="12" t="str">
        <x:v>51a9fff21441400722644642ed359e232834b359458bcac591ba7ec6ec91cb21</x:v>
      </x:c>
      <x:c r="E269" s="12" t="str">
        <x:v>51a9fff21441400722644642ed359e232834b359458bcac591ba7ec6ec91cb21</x:v>
      </x:c>
      <x:c r="F269" s="12" t="str">
        <x:v>True</x:v>
      </x:c>
      <x:c r="G269" s="12" t="str">
        <x:v>48</x:v>
      </x:c>
      <x:c r="H269" s="12" t="str">
        <x:v>48</x:v>
      </x:c>
      <x:c r="I269" s="12" t="str">
        <x:v>0.0</x:v>
      </x:c>
      <x:c r="J269" s="12" t="str">
        <x:v>0.0</x:v>
      </x:c>
      <x:c r="K269" s="12" t="str">
        <x:v>47.0</x:v>
      </x:c>
      <x:c r="L269" s="12" t="str">
        <x:v>47.0</x:v>
      </x:c>
      <x:c r="M269" s="12" t="str">
        <x:v>True</x:v>
      </x:c>
      <x:c r="N269" s="12" t="str">
        <x:v>68</x:v>
      </x:c>
      <x:c r="O269" s="12" t="str">
        <x:v>68</x:v>
      </x:c>
      <x:c r="P269" s="16" t="str">
        <x:v>1.0</x:v>
      </x:c>
      <x:c r="Q269" s="12" t="str">
        <x:v>68</x:v>
      </x:c>
      <x:c r="R269" s="16" t="str">
        <x:v>1.0</x:v>
      </x:c>
      <x:c r="S269" s="12" t="str">
        <x:v>0.2</x:v>
      </x:c>
      <x:c r="T269" s="12" t="str">
        <x:v>68</x:v>
      </x:c>
      <x:c r="U269" s="16" t="str">
        <x:v>1.0</x:v>
      </x:c>
      <x:c r="V269" s="18" t="str">
        <x:v>0.6080771088600159</x:v>
      </x:c>
      <x:c r="W269" s="18" t="str">
        <x:v>0.6870866239070892</x:v>
      </x:c>
      <x:c r="X269" s="18" t="str">
        <x:v>0.7863525748252869</x:v>
      </x:c>
      <x:c r="Y269" s="18" t="str">
        <x:v>0.7989823222160339</x:v>
      </x:c>
      <x:c r="Z269" s="18" t="str">
        <x:v>0.8575929343700409</x:v>
      </x:c>
      <x:c r="AA269" s="18" t="str">
        <x:v>0.8828953504562378</x:v>
      </x:c>
      <x:c r="AB269" s="20" t="str">
        <x:v>203.70839999668533</x:v>
      </x:c>
      <x:c r="AC269" s="12" t="str">
        <x:v>overlays\sad_018.png</x:v>
      </x:c>
      <x:c r="AD269" s="12" t="str"/>
      <x:c r="AE269" s="12" t="str"/>
      <x:c r="AF269" s="12" t="str">
        <x:v>acceptable</x:v>
      </x:c>
      <x:c r="AG269" s="12" t="n">
        <x:v>1</x:v>
      </x:c>
      <x:c r="AH269" s="12" t="str">
        <x:v>acceptable</x:v>
      </x:c>
      <x:c r="AI269" s="12" t="str">
        <x:v>acceptable</x:v>
      </x:c>
      <x:c r="AJ269" s="12" t="str">
        <x:v>occluded</x:v>
      </x:c>
      <x:c r="AK269" s="12" t="str">
        <x:v>acceptable</x:v>
      </x:c>
      <x:c r="AL269" s="12" t="str">
        <x:v>mild</x:v>
      </x:c>
      <x:c r="AM269" s="14" t="str">
        <x:v>Occlusion affects part of the face; visible landmarks remain usable, but hidden points are inferred.</x:v>
      </x:c>
    </x:row>
    <x:row r="270" ht="28" customHeight="1">
      <x:c r="A270" s="12" t="str">
        <x:v>sad_019</x:v>
      </x:c>
      <x:c r="B270" s="12" t="str">
        <x:v>sad</x:v>
      </x:c>
      <x:c r="C270" s="14" t="str">
        <x:v>sad/Training_73814276.jpg</x:v>
      </x:c>
      <x:c r="D270" s="12" t="str">
        <x:v>259cb47824376b341c6d8b1d5b5a892f5e51f7a469dda550b7706bf601dd1450</x:v>
      </x:c>
      <x:c r="E270" s="12" t="str">
        <x:v>259cb47824376b341c6d8b1d5b5a892f5e51f7a469dda550b7706bf601dd1450</x:v>
      </x:c>
      <x:c r="F270" s="12" t="str">
        <x:v>True</x:v>
      </x:c>
      <x:c r="G270" s="12" t="str">
        <x:v>48</x:v>
      </x:c>
      <x:c r="H270" s="12" t="str">
        <x:v>48</x:v>
      </x:c>
      <x:c r="I270" s="12" t="str">
        <x:v>0.0</x:v>
      </x:c>
      <x:c r="J270" s="12" t="str">
        <x:v>0.0</x:v>
      </x:c>
      <x:c r="K270" s="12" t="str">
        <x:v>47.0</x:v>
      </x:c>
      <x:c r="L270" s="12" t="str">
        <x:v>47.0</x:v>
      </x:c>
      <x:c r="M270" s="12" t="str">
        <x:v>True</x:v>
      </x:c>
      <x:c r="N270" s="12" t="str">
        <x:v>68</x:v>
      </x:c>
      <x:c r="O270" s="12" t="str">
        <x:v>68</x:v>
      </x:c>
      <x:c r="P270" s="16" t="str">
        <x:v>1.0</x:v>
      </x:c>
      <x:c r="Q270" s="12" t="str">
        <x:v>68</x:v>
      </x:c>
      <x:c r="R270" s="16" t="str">
        <x:v>1.0</x:v>
      </x:c>
      <x:c r="S270" s="12" t="str">
        <x:v>0.2</x:v>
      </x:c>
      <x:c r="T270" s="12" t="str">
        <x:v>68</x:v>
      </x:c>
      <x:c r="U270" s="16" t="str">
        <x:v>1.0</x:v>
      </x:c>
      <x:c r="V270" s="18" t="str">
        <x:v>0.47657856345176697</x:v>
      </x:c>
      <x:c r="W270" s="18" t="str">
        <x:v>0.6949384689331055</x:v>
      </x:c>
      <x:c r="X270" s="18" t="str">
        <x:v>0.7770069241523743</x:v>
      </x:c>
      <x:c r="Y270" s="18" t="str">
        <x:v>0.7882041335105896</x:v>
      </x:c>
      <x:c r="Z270" s="18" t="str">
        <x:v>0.85585817694664</x:v>
      </x:c>
      <x:c r="AA270" s="18" t="str">
        <x:v>0.926251232624054</x:v>
      </x:c>
      <x:c r="AB270" s="20" t="str">
        <x:v>162.41009999794187</x:v>
      </x:c>
      <x:c r="AC270" s="12" t="str">
        <x:v>overlays\sad_019.png</x:v>
      </x:c>
      <x:c r="AD270" s="12" t="str"/>
      <x:c r="AE270" s="12" t="str"/>
      <x:c r="AF270" s="12" t="str">
        <x:v>acceptable</x:v>
      </x:c>
      <x:c r="AG270" s="12" t="n">
        <x:v>1</x:v>
      </x:c>
      <x:c r="AH270" s="12" t="str">
        <x:v>acceptable</x:v>
      </x:c>
      <x:c r="AI270" s="12" t="str">
        <x:v>acceptable</x:v>
      </x:c>
      <x:c r="AJ270" s="12" t="str">
        <x:v>acceptable</x:v>
      </x:c>
      <x:c r="AK270" s="12" t="str">
        <x:v>not_applicable</x:v>
      </x:c>
      <x:c r="AL270" s="12" t="str">
        <x:v>mild</x:v>
      </x:c>
      <x:c r="AM270" s="14" t="str">
        <x:v>Large pose or profile; visible landmarks remain useful, while hidden-side and contour points are inferred.</x:v>
      </x:c>
    </x:row>
    <x:row r="271" ht="28" customHeight="1">
      <x:c r="A271" s="12" t="str">
        <x:v>sad_020</x:v>
      </x:c>
      <x:c r="B271" s="12" t="str">
        <x:v>sad</x:v>
      </x:c>
      <x:c r="C271" s="14" t="str">
        <x:v>sad/Training_38314936.jpg</x:v>
      </x:c>
      <x:c r="D271" s="12" t="str">
        <x:v>6d47cddaf9d57036d5b5ca077ad15a36d13010a88a62e91a64844304610c672f</x:v>
      </x:c>
      <x:c r="E271" s="12" t="str">
        <x:v>6d47cddaf9d57036d5b5ca077ad15a36d13010a88a62e91a64844304610c672f</x:v>
      </x:c>
      <x:c r="F271" s="12" t="str">
        <x:v>True</x:v>
      </x:c>
      <x:c r="G271" s="12" t="str">
        <x:v>48</x:v>
      </x:c>
      <x:c r="H271" s="12" t="str">
        <x:v>48</x:v>
      </x:c>
      <x:c r="I271" s="12" t="str">
        <x:v>0.0</x:v>
      </x:c>
      <x:c r="J271" s="12" t="str">
        <x:v>0.0</x:v>
      </x:c>
      <x:c r="K271" s="12" t="str">
        <x:v>47.0</x:v>
      </x:c>
      <x:c r="L271" s="12" t="str">
        <x:v>47.0</x:v>
      </x:c>
      <x:c r="M271" s="12" t="str">
        <x:v>True</x:v>
      </x:c>
      <x:c r="N271" s="12" t="str">
        <x:v>68</x:v>
      </x:c>
      <x:c r="O271" s="12" t="str">
        <x:v>68</x:v>
      </x:c>
      <x:c r="P271" s="16" t="str">
        <x:v>1.0</x:v>
      </x:c>
      <x:c r="Q271" s="12" t="str">
        <x:v>68</x:v>
      </x:c>
      <x:c r="R271" s="16" t="str">
        <x:v>1.0</x:v>
      </x:c>
      <x:c r="S271" s="12" t="str">
        <x:v>0.2</x:v>
      </x:c>
      <x:c r="T271" s="12" t="str">
        <x:v>68</x:v>
      </x:c>
      <x:c r="U271" s="16" t="str">
        <x:v>1.0</x:v>
      </x:c>
      <x:c r="V271" s="18" t="str">
        <x:v>0.7206295728683472</x:v>
      </x:c>
      <x:c r="W271" s="18" t="str">
        <x:v>0.7684099197387695</x:v>
      </x:c>
      <x:c r="X271" s="18" t="str">
        <x:v>0.8181238770484924</x:v>
      </x:c>
      <x:c r="Y271" s="18" t="str">
        <x:v>0.824120283126831</x:v>
      </x:c>
      <x:c r="Z271" s="18" t="str">
        <x:v>0.8621187686920166</x:v>
      </x:c>
      <x:c r="AA271" s="18" t="str">
        <x:v>0.8973276615142822</x:v>
      </x:c>
      <x:c r="AB271" s="20" t="str">
        <x:v>179.37829999573296</x:v>
      </x:c>
      <x:c r="AC271" s="12" t="str">
        <x:v>overlays\sad_020.png</x:v>
      </x:c>
      <x:c r="AD271" s="12" t="str"/>
      <x:c r="AE271" s="12" t="str"/>
      <x:c r="AF271" s="12" t="str">
        <x:v>acceptable</x:v>
      </x:c>
      <x:c r="AG271" s="12" t="n">
        <x:v>1</x:v>
      </x:c>
      <x:c r="AH271" s="12" t="str">
        <x:v>acceptable</x:v>
      </x:c>
      <x:c r="AI271" s="12" t="str">
        <x:v>acceptable</x:v>
      </x:c>
      <x:c r="AJ271" s="12" t="str">
        <x:v>acceptable</x:v>
      </x:c>
      <x:c r="AK271" s="12" t="str">
        <x:v>not_applicable</x:v>
      </x:c>
      <x:c r="AL271" s="12" t="str">
        <x:v>mild</x:v>
      </x:c>
      <x:c r="AM271" s="14" t="str">
        <x:v>Large pose or profile; visible landmarks remain useful, while hidden-side and contour points are inferred.</x:v>
      </x:c>
    </x:row>
    <x:row r="272" ht="28" customHeight="1">
      <x:c r="A272" s="12" t="str">
        <x:v>sad_021</x:v>
      </x:c>
      <x:c r="B272" s="12" t="str">
        <x:v>sad</x:v>
      </x:c>
      <x:c r="C272" s="14" t="str">
        <x:v>sad/Training_52203125.jpg</x:v>
      </x:c>
      <x:c r="D272" s="12" t="str">
        <x:v>ec7e79b8b1cf9aec34e8c2f1f81acebc9e236776f77a46b2e4ba3ba6e260603e</x:v>
      </x:c>
      <x:c r="E272" s="12" t="str">
        <x:v>ec7e79b8b1cf9aec34e8c2f1f81acebc9e236776f77a46b2e4ba3ba6e260603e</x:v>
      </x:c>
      <x:c r="F272" s="12" t="str">
        <x:v>True</x:v>
      </x:c>
      <x:c r="G272" s="12" t="str">
        <x:v>48</x:v>
      </x:c>
      <x:c r="H272" s="12" t="str">
        <x:v>48</x:v>
      </x:c>
      <x:c r="I272" s="12" t="str">
        <x:v>0.0</x:v>
      </x:c>
      <x:c r="J272" s="12" t="str">
        <x:v>0.0</x:v>
      </x:c>
      <x:c r="K272" s="12" t="str">
        <x:v>47.0</x:v>
      </x:c>
      <x:c r="L272" s="12" t="str">
        <x:v>47.0</x:v>
      </x:c>
      <x:c r="M272" s="12" t="str">
        <x:v>True</x:v>
      </x:c>
      <x:c r="N272" s="12" t="str">
        <x:v>68</x:v>
      </x:c>
      <x:c r="O272" s="12" t="str">
        <x:v>68</x:v>
      </x:c>
      <x:c r="P272" s="16" t="str">
        <x:v>1.0</x:v>
      </x:c>
      <x:c r="Q272" s="12" t="str">
        <x:v>68</x:v>
      </x:c>
      <x:c r="R272" s="16" t="str">
        <x:v>1.0</x:v>
      </x:c>
      <x:c r="S272" s="12" t="str">
        <x:v>0.2</x:v>
      </x:c>
      <x:c r="T272" s="12" t="str">
        <x:v>68</x:v>
      </x:c>
      <x:c r="U272" s="16" t="str">
        <x:v>1.0</x:v>
      </x:c>
      <x:c r="V272" s="18" t="str">
        <x:v>0.3554011583328247</x:v>
      </x:c>
      <x:c r="W272" s="18" t="str">
        <x:v>0.6162637233734131</x:v>
      </x:c>
      <x:c r="X272" s="18" t="str">
        <x:v>0.7423964738845825</x:v>
      </x:c>
      <x:c r="Y272" s="18" t="str">
        <x:v>0.7767101526260376</x:v>
      </x:c>
      <x:c r="Z272" s="18" t="str">
        <x:v>0.8513457536697387</x:v>
      </x:c>
      <x:c r="AA272" s="18" t="str">
        <x:v>0.8983039259910583</x:v>
      </x:c>
      <x:c r="AB272" s="20" t="str">
        <x:v>162.71899999992456</x:v>
      </x:c>
      <x:c r="AC272" s="12" t="str">
        <x:v>overlays\sad_021.png</x:v>
      </x:c>
      <x:c r="AD272" s="12" t="str"/>
      <x:c r="AE272" s="12" t="str"/>
      <x:c r="AF272" s="12" t="str">
        <x:v>good</x:v>
      </x:c>
      <x:c r="AG272" s="12" t="n">
        <x:v>1</x:v>
      </x:c>
      <x:c r="AH272" s="12" t="str">
        <x:v>good</x:v>
      </x:c>
      <x:c r="AI272" s="12" t="str">
        <x:v>good</x:v>
      </x:c>
      <x:c r="AJ272" s="12" t="str">
        <x:v>good</x:v>
      </x:c>
      <x:c r="AK272" s="12" t="str">
        <x:v>not_applicable</x:v>
      </x:c>
      <x:c r="AL272" s="12" t="str">
        <x:v>none</x:v>
      </x:c>
      <x:c r="AM272" s="14" t="str">
        <x:v>Clear and well-aligned facial landmarks with no major pose, crop, or occlusion issue.</x:v>
      </x:c>
    </x:row>
    <x:row r="273" ht="28" customHeight="1">
      <x:c r="A273" s="12" t="str">
        <x:v>sad_022</x:v>
      </x:c>
      <x:c r="B273" s="12" t="str">
        <x:v>sad</x:v>
      </x:c>
      <x:c r="C273" s="14" t="str">
        <x:v>sad/Training_80125846.jpg</x:v>
      </x:c>
      <x:c r="D273" s="12" t="str">
        <x:v>c30b929ca6fa46b7bfaa46b2584df11583e614dacb489c38b076a1290af1a978</x:v>
      </x:c>
      <x:c r="E273" s="12" t="str">
        <x:v>c30b929ca6fa46b7bfaa46b2584df11583e614dacb489c38b076a1290af1a978</x:v>
      </x:c>
      <x:c r="F273" s="12" t="str">
        <x:v>True</x:v>
      </x:c>
      <x:c r="G273" s="12" t="str">
        <x:v>48</x:v>
      </x:c>
      <x:c r="H273" s="12" t="str">
        <x:v>48</x:v>
      </x:c>
      <x:c r="I273" s="12" t="str">
        <x:v>0.0</x:v>
      </x:c>
      <x:c r="J273" s="12" t="str">
        <x:v>0.0</x:v>
      </x:c>
      <x:c r="K273" s="12" t="str">
        <x:v>47.0</x:v>
      </x:c>
      <x:c r="L273" s="12" t="str">
        <x:v>47.0</x:v>
      </x:c>
      <x:c r="M273" s="12" t="str">
        <x:v>True</x:v>
      </x:c>
      <x:c r="N273" s="12" t="str">
        <x:v>68</x:v>
      </x:c>
      <x:c r="O273" s="12" t="str">
        <x:v>68</x:v>
      </x:c>
      <x:c r="P273" s="16" t="str">
        <x:v>1.0</x:v>
      </x:c>
      <x:c r="Q273" s="12" t="str">
        <x:v>67</x:v>
      </x:c>
      <x:c r="R273" s="16" t="str">
        <x:v>0.9852941176470589</x:v>
      </x:c>
      <x:c r="S273" s="12" t="str">
        <x:v>0.2</x:v>
      </x:c>
      <x:c r="T273" s="12" t="str">
        <x:v>68</x:v>
      </x:c>
      <x:c r="U273" s="16" t="str">
        <x:v>1.0</x:v>
      </x:c>
      <x:c r="V273" s="18" t="str">
        <x:v>0.5653143525123596</x:v>
      </x:c>
      <x:c r="W273" s="18" t="str">
        <x:v>0.6889886915683746</x:v>
      </x:c>
      <x:c r="X273" s="18" t="str">
        <x:v>0.7913857102394104</x:v>
      </x:c>
      <x:c r="Y273" s="18" t="str">
        <x:v>0.8105794191360474</x:v>
      </x:c>
      <x:c r="Z273" s="18" t="str">
        <x:v>0.8564520895481109</x:v>
      </x:c>
      <x:c r="AA273" s="18" t="str">
        <x:v>0.8899334669113159</x:v>
      </x:c>
      <x:c r="AB273" s="20" t="str">
        <x:v>162.84319999977015</x:v>
      </x:c>
      <x:c r="AC273" s="12" t="str">
        <x:v>overlays\sad_022.png</x:v>
      </x:c>
      <x:c r="AD273" s="12" t="str"/>
      <x:c r="AE273" s="12" t="str"/>
      <x:c r="AF273" s="12" t="str">
        <x:v>good</x:v>
      </x:c>
      <x:c r="AG273" s="12" t="n">
        <x:v>1</x:v>
      </x:c>
      <x:c r="AH273" s="12" t="str">
        <x:v>good</x:v>
      </x:c>
      <x:c r="AI273" s="12" t="str">
        <x:v>good</x:v>
      </x:c>
      <x:c r="AJ273" s="12" t="str">
        <x:v>good</x:v>
      </x:c>
      <x:c r="AK273" s="12" t="str">
        <x:v>not_applicable</x:v>
      </x:c>
      <x:c r="AL273" s="12" t="str">
        <x:v>none</x:v>
      </x:c>
      <x:c r="AM273" s="14" t="str">
        <x:v>Clear and well-aligned facial landmarks with no major pose, crop, or occlusion issue.</x:v>
      </x:c>
    </x:row>
    <x:row r="274" ht="28" customHeight="1">
      <x:c r="A274" s="12" t="str">
        <x:v>sad_023</x:v>
      </x:c>
      <x:c r="B274" s="12" t="str">
        <x:v>sad</x:v>
      </x:c>
      <x:c r="C274" s="14" t="str">
        <x:v>sad/Training_48011500.jpg</x:v>
      </x:c>
      <x:c r="D274" s="12" t="str">
        <x:v>57058ed8c61588863d8f77076f9e3f09ffd37e44bd5ff154bd193e4d454cade8</x:v>
      </x:c>
      <x:c r="E274" s="12" t="str">
        <x:v>57058ed8c61588863d8f77076f9e3f09ffd37e44bd5ff154bd193e4d454cade8</x:v>
      </x:c>
      <x:c r="F274" s="12" t="str">
        <x:v>True</x:v>
      </x:c>
      <x:c r="G274" s="12" t="str">
        <x:v>48</x:v>
      </x:c>
      <x:c r="H274" s="12" t="str">
        <x:v>48</x:v>
      </x:c>
      <x:c r="I274" s="12" t="str">
        <x:v>0.0</x:v>
      </x:c>
      <x:c r="J274" s="12" t="str">
        <x:v>0.0</x:v>
      </x:c>
      <x:c r="K274" s="12" t="str">
        <x:v>47.0</x:v>
      </x:c>
      <x:c r="L274" s="12" t="str">
        <x:v>47.0</x:v>
      </x:c>
      <x:c r="M274" s="12" t="str">
        <x:v>True</x:v>
      </x:c>
      <x:c r="N274" s="12" t="str">
        <x:v>68</x:v>
      </x:c>
      <x:c r="O274" s="12" t="str">
        <x:v>68</x:v>
      </x:c>
      <x:c r="P274" s="16" t="str">
        <x:v>1.0</x:v>
      </x:c>
      <x:c r="Q274" s="12" t="str">
        <x:v>66</x:v>
      </x:c>
      <x:c r="R274" s="16" t="str">
        <x:v>0.9705882352941176</x:v>
      </x:c>
      <x:c r="S274" s="12" t="str">
        <x:v>0.2</x:v>
      </x:c>
      <x:c r="T274" s="12" t="str">
        <x:v>68</x:v>
      </x:c>
      <x:c r="U274" s="16" t="str">
        <x:v>1.0</x:v>
      </x:c>
      <x:c r="V274" s="18" t="str">
        <x:v>0.7121632695198059</x:v>
      </x:c>
      <x:c r="W274" s="18" t="str">
        <x:v>0.7357352793216705</x:v>
      </x:c>
      <x:c r="X274" s="18" t="str">
        <x:v>0.8177002668380737</x:v>
      </x:c>
      <x:c r="Y274" s="18" t="str">
        <x:v>0.8289123177528381</x:v>
      </x:c>
      <x:c r="Z274" s="18" t="str">
        <x:v>0.8668084025382996</x:v>
      </x:c>
      <x:c r="AA274" s="18" t="str">
        <x:v>0.918184757232666</x:v>
      </x:c>
      <x:c r="AB274" s="20" t="str">
        <x:v>155.5822000009357</x:v>
      </x:c>
      <x:c r="AC274" s="12" t="str">
        <x:v>overlays\sad_023.png</x:v>
      </x:c>
      <x:c r="AD274" s="12" t="str"/>
      <x:c r="AE274" s="12" t="str"/>
      <x:c r="AF274" s="12" t="str">
        <x:v>acceptable</x:v>
      </x:c>
      <x:c r="AG274" s="12" t="n">
        <x:v>1</x:v>
      </x:c>
      <x:c r="AH274" s="12" t="str">
        <x:v>occluded</x:v>
      </x:c>
      <x:c r="AI274" s="12" t="str">
        <x:v>occluded</x:v>
      </x:c>
      <x:c r="AJ274" s="12" t="str">
        <x:v>occluded</x:v>
      </x:c>
      <x:c r="AK274" s="12" t="str">
        <x:v>not_applicable</x:v>
      </x:c>
      <x:c r="AL274" s="12" t="str">
        <x:v>mild</x:v>
      </x:c>
      <x:c r="AM274" s="14" t="str">
        <x:v>Occlusion affects part of the face; visible landmarks remain usable, but hidden points are inferred.</x:v>
      </x:c>
    </x:row>
    <x:row r="275" ht="28" customHeight="1">
      <x:c r="A275" s="12" t="str">
        <x:v>sad_024</x:v>
      </x:c>
      <x:c r="B275" s="12" t="str">
        <x:v>sad</x:v>
      </x:c>
      <x:c r="C275" s="14" t="str">
        <x:v>sad/Training_21216571.jpg</x:v>
      </x:c>
      <x:c r="D275" s="12" t="str">
        <x:v>d47982dd7e21181c5152d543e98d17e587b22a0927e27790d1f7875a3ed2aa19</x:v>
      </x:c>
      <x:c r="E275" s="12" t="str">
        <x:v>d47982dd7e21181c5152d543e98d17e587b22a0927e27790d1f7875a3ed2aa19</x:v>
      </x:c>
      <x:c r="F275" s="12" t="str">
        <x:v>True</x:v>
      </x:c>
      <x:c r="G275" s="12" t="str">
        <x:v>48</x:v>
      </x:c>
      <x:c r="H275" s="12" t="str">
        <x:v>48</x:v>
      </x:c>
      <x:c r="I275" s="12" t="str">
        <x:v>0.0</x:v>
      </x:c>
      <x:c r="J275" s="12" t="str">
        <x:v>0.0</x:v>
      </x:c>
      <x:c r="K275" s="12" t="str">
        <x:v>47.0</x:v>
      </x:c>
      <x:c r="L275" s="12" t="str">
        <x:v>47.0</x:v>
      </x:c>
      <x:c r="M275" s="12" t="str">
        <x:v>True</x:v>
      </x:c>
      <x:c r="N275" s="12" t="str">
        <x:v>68</x:v>
      </x:c>
      <x:c r="O275" s="12" t="str">
        <x:v>68</x:v>
      </x:c>
      <x:c r="P275" s="16" t="str">
        <x:v>1.0</x:v>
      </x:c>
      <x:c r="Q275" s="12" t="str">
        <x:v>68</x:v>
      </x:c>
      <x:c r="R275" s="16" t="str">
        <x:v>1.0</x:v>
      </x:c>
      <x:c r="S275" s="12" t="str">
        <x:v>0.2</x:v>
      </x:c>
      <x:c r="T275" s="12" t="str">
        <x:v>68</x:v>
      </x:c>
      <x:c r="U275" s="16" t="str">
        <x:v>1.0</x:v>
      </x:c>
      <x:c r="V275" s="18" t="str">
        <x:v>0.546663761138916</x:v>
      </x:c>
      <x:c r="W275" s="18" t="str">
        <x:v>0.6544675171375275</x:v>
      </x:c>
      <x:c r="X275" s="18" t="str">
        <x:v>0.7834448218345642</x:v>
      </x:c>
      <x:c r="Y275" s="18" t="str">
        <x:v>0.8152977228164673</x:v>
      </x:c>
      <x:c r="Z275" s="18" t="str">
        <x:v>0.8676588594913482</x:v>
      </x:c>
      <x:c r="AA275" s="18" t="str">
        <x:v>0.9014680981636047</x:v>
      </x:c>
      <x:c r="AB275" s="20" t="str">
        <x:v>153.1408000009833</x:v>
      </x:c>
      <x:c r="AC275" s="12" t="str">
        <x:v>overlays\sad_024.png</x:v>
      </x:c>
      <x:c r="AD275" s="12" t="str"/>
      <x:c r="AE275" s="12" t="str"/>
      <x:c r="AF275" s="12" t="str">
        <x:v>acceptable</x:v>
      </x:c>
      <x:c r="AG275" s="12" t="n">
        <x:v>1</x:v>
      </x:c>
      <x:c r="AH275" s="12" t="str">
        <x:v>occluded</x:v>
      </x:c>
      <x:c r="AI275" s="12" t="str">
        <x:v>occluded</x:v>
      </x:c>
      <x:c r="AJ275" s="12" t="str">
        <x:v>occluded</x:v>
      </x:c>
      <x:c r="AK275" s="12" t="str">
        <x:v>not_applicable</x:v>
      </x:c>
      <x:c r="AL275" s="12" t="str">
        <x:v>mild</x:v>
      </x:c>
      <x:c r="AM275" s="14" t="str">
        <x:v>Occlusion affects part of the face; visible landmarks remain usable, but hidden points are inferred.</x:v>
      </x:c>
    </x:row>
    <x:row r="276" ht="28" customHeight="1">
      <x:c r="A276" s="12" t="str">
        <x:v>sad_025</x:v>
      </x:c>
      <x:c r="B276" s="12" t="str">
        <x:v>sad</x:v>
      </x:c>
      <x:c r="C276" s="14" t="str">
        <x:v>sad/Training_77151653.jpg</x:v>
      </x:c>
      <x:c r="D276" s="12" t="str">
        <x:v>4dc76d2ca611a6babb82673c0839b9d25848d4beaa033f82da89a79999f27a49</x:v>
      </x:c>
      <x:c r="E276" s="12" t="str">
        <x:v>4dc76d2ca611a6babb82673c0839b9d25848d4beaa033f82da89a79999f27a49</x:v>
      </x:c>
      <x:c r="F276" s="12" t="str">
        <x:v>True</x:v>
      </x:c>
      <x:c r="G276" s="12" t="str">
        <x:v>48</x:v>
      </x:c>
      <x:c r="H276" s="12" t="str">
        <x:v>48</x:v>
      </x:c>
      <x:c r="I276" s="12" t="str">
        <x:v>0.0</x:v>
      </x:c>
      <x:c r="J276" s="12" t="str">
        <x:v>0.0</x:v>
      </x:c>
      <x:c r="K276" s="12" t="str">
        <x:v>47.0</x:v>
      </x:c>
      <x:c r="L276" s="12" t="str">
        <x:v>47.0</x:v>
      </x:c>
      <x:c r="M276" s="12" t="str">
        <x:v>True</x:v>
      </x:c>
      <x:c r="N276" s="12" t="str">
        <x:v>68</x:v>
      </x:c>
      <x:c r="O276" s="12" t="str">
        <x:v>68</x:v>
      </x:c>
      <x:c r="P276" s="16" t="str">
        <x:v>1.0</x:v>
      </x:c>
      <x:c r="Q276" s="12" t="str">
        <x:v>68</x:v>
      </x:c>
      <x:c r="R276" s="16" t="str">
        <x:v>1.0</x:v>
      </x:c>
      <x:c r="S276" s="12" t="str">
        <x:v>0.2</x:v>
      </x:c>
      <x:c r="T276" s="12" t="str">
        <x:v>68</x:v>
      </x:c>
      <x:c r="U276" s="16" t="str">
        <x:v>1.0</x:v>
      </x:c>
      <x:c r="V276" s="18" t="str">
        <x:v>0.6430851221084595</x:v>
      </x:c>
      <x:c r="W276" s="18" t="str">
        <x:v>0.7643722176551819</x:v>
      </x:c>
      <x:c r="X276" s="18" t="str">
        <x:v>0.8059245347976685</x:v>
      </x:c>
      <x:c r="Y276" s="18" t="str">
        <x:v>0.8074346780776978</x:v>
      </x:c>
      <x:c r="Z276" s="18" t="str">
        <x:v>0.8589420914649963</x:v>
      </x:c>
      <x:c r="AA276" s="18" t="str">
        <x:v>0.8726906776428223</x:v>
      </x:c>
      <x:c r="AB276" s="20" t="str">
        <x:v>169.14230000111274</x:v>
      </x:c>
      <x:c r="AC276" s="12" t="str">
        <x:v>overlays\sad_025.png</x:v>
      </x:c>
      <x:c r="AD276" s="12" t="str"/>
      <x:c r="AE276" s="12" t="str"/>
      <x:c r="AF276" s="12" t="str">
        <x:v>acceptable</x:v>
      </x:c>
      <x:c r="AG276" s="12" t="n">
        <x:v>1</x:v>
      </x:c>
      <x:c r="AH276" s="12" t="str">
        <x:v>acceptable</x:v>
      </x:c>
      <x:c r="AI276" s="12" t="str">
        <x:v>acceptable</x:v>
      </x:c>
      <x:c r="AJ276" s="12" t="str">
        <x:v>acceptable</x:v>
      </x:c>
      <x:c r="AK276" s="12" t="str">
        <x:v>not_applicable</x:v>
      </x:c>
      <x:c r="AL276" s="12" t="str">
        <x:v>mild</x:v>
      </x:c>
      <x:c r="AM276" s="14" t="str">
        <x:v>Large pose or profile; visible landmarks remain useful, while hidden-side and contour points are inferred.</x:v>
      </x:c>
    </x:row>
    <x:row r="277" ht="28" customHeight="1">
      <x:c r="A277" s="12" t="str">
        <x:v>sad_026</x:v>
      </x:c>
      <x:c r="B277" s="12" t="str">
        <x:v>sad</x:v>
      </x:c>
      <x:c r="C277" s="14" t="str">
        <x:v>sad/Training_94255939.jpg</x:v>
      </x:c>
      <x:c r="D277" s="12" t="str">
        <x:v>ae08285985069b04fb97ff81e9da3df98421eb455ffe74a3b72253cbfa7e6ff1</x:v>
      </x:c>
      <x:c r="E277" s="12" t="str">
        <x:v>ae08285985069b04fb97ff81e9da3df98421eb455ffe74a3b72253cbfa7e6ff1</x:v>
      </x:c>
      <x:c r="F277" s="12" t="str">
        <x:v>True</x:v>
      </x:c>
      <x:c r="G277" s="12" t="str">
        <x:v>48</x:v>
      </x:c>
      <x:c r="H277" s="12" t="str">
        <x:v>48</x:v>
      </x:c>
      <x:c r="I277" s="12" t="str">
        <x:v>0.0</x:v>
      </x:c>
      <x:c r="J277" s="12" t="str">
        <x:v>0.0</x:v>
      </x:c>
      <x:c r="K277" s="12" t="str">
        <x:v>47.0</x:v>
      </x:c>
      <x:c r="L277" s="12" t="str">
        <x:v>47.0</x:v>
      </x:c>
      <x:c r="M277" s="12" t="str">
        <x:v>True</x:v>
      </x:c>
      <x:c r="N277" s="12" t="str">
        <x:v>68</x:v>
      </x:c>
      <x:c r="O277" s="12" t="str">
        <x:v>68</x:v>
      </x:c>
      <x:c r="P277" s="16" t="str">
        <x:v>1.0</x:v>
      </x:c>
      <x:c r="Q277" s="12" t="str">
        <x:v>68</x:v>
      </x:c>
      <x:c r="R277" s="16" t="str">
        <x:v>1.0</x:v>
      </x:c>
      <x:c r="S277" s="12" t="str">
        <x:v>0.2</x:v>
      </x:c>
      <x:c r="T277" s="12" t="str">
        <x:v>68</x:v>
      </x:c>
      <x:c r="U277" s="16" t="str">
        <x:v>1.0</x:v>
      </x:c>
      <x:c r="V277" s="18" t="str">
        <x:v>0.6080483794212341</x:v>
      </x:c>
      <x:c r="W277" s="18" t="str">
        <x:v>0.6702327728271484</x:v>
      </x:c>
      <x:c r="X277" s="18" t="str">
        <x:v>0.7785447835922241</x:v>
      </x:c>
      <x:c r="Y277" s="18" t="str">
        <x:v>0.7887541055679321</x:v>
      </x:c>
      <x:c r="Z277" s="18" t="str">
        <x:v>0.850646150112152</x:v>
      </x:c>
      <x:c r="AA277" s="18" t="str">
        <x:v>0.8806002736091614</x:v>
      </x:c>
      <x:c r="AB277" s="20" t="str">
        <x:v>165.69420000450918</x:v>
      </x:c>
      <x:c r="AC277" s="12" t="str">
        <x:v>overlays\sad_026.png</x:v>
      </x:c>
      <x:c r="AD277" s="12" t="str"/>
      <x:c r="AE277" s="12" t="str"/>
      <x:c r="AF277" s="12" t="str">
        <x:v>acceptable</x:v>
      </x:c>
      <x:c r="AG277" s="12" t="n">
        <x:v>1</x:v>
      </x:c>
      <x:c r="AH277" s="12" t="str">
        <x:v>acceptable</x:v>
      </x:c>
      <x:c r="AI277" s="12" t="str">
        <x:v>acceptable</x:v>
      </x:c>
      <x:c r="AJ277" s="12" t="str">
        <x:v>acceptable</x:v>
      </x:c>
      <x:c r="AK277" s="12" t="str">
        <x:v>not_applicable</x:v>
      </x:c>
      <x:c r="AL277" s="12" t="str">
        <x:v>mild</x:v>
      </x:c>
      <x:c r="AM277" s="14" t="str">
        <x:v>Large pose or profile; visible landmarks remain useful, while hidden-side and contour points are inferred.</x:v>
      </x:c>
    </x:row>
    <x:row r="278" ht="28" customHeight="1">
      <x:c r="A278" s="12" t="str">
        <x:v>sad_027</x:v>
      </x:c>
      <x:c r="B278" s="12" t="str">
        <x:v>sad</x:v>
      </x:c>
      <x:c r="C278" s="14" t="str">
        <x:v>sad/Training_24498297.jpg</x:v>
      </x:c>
      <x:c r="D278" s="12" t="str">
        <x:v>a71e5a69839ef74ac42c2f487f62233e1a08ac123dcd76afbfc7bd43d544a93b</x:v>
      </x:c>
      <x:c r="E278" s="12" t="str">
        <x:v>a71e5a69839ef74ac42c2f487f62233e1a08ac123dcd76afbfc7bd43d544a93b</x:v>
      </x:c>
      <x:c r="F278" s="12" t="str">
        <x:v>True</x:v>
      </x:c>
      <x:c r="G278" s="12" t="str">
        <x:v>48</x:v>
      </x:c>
      <x:c r="H278" s="12" t="str">
        <x:v>48</x:v>
      </x:c>
      <x:c r="I278" s="12" t="str">
        <x:v>0.0</x:v>
      </x:c>
      <x:c r="J278" s="12" t="str">
        <x:v>0.0</x:v>
      </x:c>
      <x:c r="K278" s="12" t="str">
        <x:v>47.0</x:v>
      </x:c>
      <x:c r="L278" s="12" t="str">
        <x:v>47.0</x:v>
      </x:c>
      <x:c r="M278" s="12" t="str">
        <x:v>True</x:v>
      </x:c>
      <x:c r="N278" s="12" t="str">
        <x:v>68</x:v>
      </x:c>
      <x:c r="O278" s="12" t="str">
        <x:v>68</x:v>
      </x:c>
      <x:c r="P278" s="16" t="str">
        <x:v>1.0</x:v>
      </x:c>
      <x:c r="Q278" s="12" t="str">
        <x:v>67</x:v>
      </x:c>
      <x:c r="R278" s="16" t="str">
        <x:v>0.9852941176470589</x:v>
      </x:c>
      <x:c r="S278" s="12" t="str">
        <x:v>0.2</x:v>
      </x:c>
      <x:c r="T278" s="12" t="str">
        <x:v>68</x:v>
      </x:c>
      <x:c r="U278" s="16" t="str">
        <x:v>1.0</x:v>
      </x:c>
      <x:c r="V278" s="18" t="str">
        <x:v>0.5862590074539185</x:v>
      </x:c>
      <x:c r="W278" s="18" t="str">
        <x:v>0.6261720836162568</x:v>
      </x:c>
      <x:c r="X278" s="18" t="str">
        <x:v>0.7080569267272949</x:v>
      </x:c>
      <x:c r="Y278" s="18" t="str">
        <x:v>0.6992940902709961</x:v>
      </x:c>
      <x:c r="Z278" s="18" t="str">
        <x:v>0.8029135406017304</x:v>
      </x:c>
      <x:c r="AA278" s="18" t="str">
        <x:v>0.8539307713508606</x:v>
      </x:c>
      <x:c r="AB278" s="20" t="str">
        <x:v>161.01519999938319</x:v>
      </x:c>
      <x:c r="AC278" s="12" t="str">
        <x:v>overlays\sad_027.png</x:v>
      </x:c>
      <x:c r="AD278" s="12" t="str"/>
      <x:c r="AE278" s="12" t="str"/>
      <x:c r="AF278" s="12" t="str">
        <x:v>acceptable</x:v>
      </x:c>
      <x:c r="AG278" s="12" t="n">
        <x:v>1</x:v>
      </x:c>
      <x:c r="AH278" s="12" t="str">
        <x:v>acceptable</x:v>
      </x:c>
      <x:c r="AI278" s="12" t="str">
        <x:v>acceptable</x:v>
      </x:c>
      <x:c r="AJ278" s="12" t="str">
        <x:v>acceptable</x:v>
      </x:c>
      <x:c r="AK278" s="12" t="str">
        <x:v>not_applicable</x:v>
      </x:c>
      <x:c r="AL278" s="12" t="str">
        <x:v>mild</x:v>
      </x:c>
      <x:c r="AM278" s="14" t="str">
        <x:v>Moderate pose, crop, blur, or facial texture causes minor landmark uncertainty; the result remains usable.</x:v>
      </x:c>
    </x:row>
    <x:row r="279" ht="28" customHeight="1">
      <x:c r="A279" s="12" t="str">
        <x:v>sad_028</x:v>
      </x:c>
      <x:c r="B279" s="12" t="str">
        <x:v>sad</x:v>
      </x:c>
      <x:c r="C279" s="14" t="str">
        <x:v>sad/Training_17717830.jpg</x:v>
      </x:c>
      <x:c r="D279" s="12" t="str">
        <x:v>3c179e3ad0c1b7d9fd6cf9f7c7cf46ab05238fea4363ab1bd0ac5ba02fdba5c8</x:v>
      </x:c>
      <x:c r="E279" s="12" t="str">
        <x:v>3c179e3ad0c1b7d9fd6cf9f7c7cf46ab05238fea4363ab1bd0ac5ba02fdba5c8</x:v>
      </x:c>
      <x:c r="F279" s="12" t="str">
        <x:v>True</x:v>
      </x:c>
      <x:c r="G279" s="12" t="str">
        <x:v>48</x:v>
      </x:c>
      <x:c r="H279" s="12" t="str">
        <x:v>48</x:v>
      </x:c>
      <x:c r="I279" s="12" t="str">
        <x:v>0.0</x:v>
      </x:c>
      <x:c r="J279" s="12" t="str">
        <x:v>0.0</x:v>
      </x:c>
      <x:c r="K279" s="12" t="str">
        <x:v>47.0</x:v>
      </x:c>
      <x:c r="L279" s="12" t="str">
        <x:v>47.0</x:v>
      </x:c>
      <x:c r="M279" s="12" t="str">
        <x:v>True</x:v>
      </x:c>
      <x:c r="N279" s="12" t="str">
        <x:v>68</x:v>
      </x:c>
      <x:c r="O279" s="12" t="str">
        <x:v>68</x:v>
      </x:c>
      <x:c r="P279" s="16" t="str">
        <x:v>1.0</x:v>
      </x:c>
      <x:c r="Q279" s="12" t="str">
        <x:v>68</x:v>
      </x:c>
      <x:c r="R279" s="16" t="str">
        <x:v>1.0</x:v>
      </x:c>
      <x:c r="S279" s="12" t="str">
        <x:v>0.2</x:v>
      </x:c>
      <x:c r="T279" s="12" t="str">
        <x:v>68</x:v>
      </x:c>
      <x:c r="U279" s="16" t="str">
        <x:v>1.0</x:v>
      </x:c>
      <x:c r="V279" s="18" t="str">
        <x:v>0.6424578428268433</x:v>
      </x:c>
      <x:c r="W279" s="18" t="str">
        <x:v>0.7464293718338013</x:v>
      </x:c>
      <x:c r="X279" s="18" t="str">
        <x:v>0.8202759027481079</x:v>
      </x:c>
      <x:c r="Y279" s="18" t="str">
        <x:v>0.8355597853660583</x:v>
      </x:c>
      <x:c r="Z279" s="18" t="str">
        <x:v>0.8820151150226593</x:v>
      </x:c>
      <x:c r="AA279" s="18" t="str">
        <x:v>0.9053849577903748</x:v>
      </x:c>
      <x:c r="AB279" s="20" t="str">
        <x:v>157.777200001874</x:v>
      </x:c>
      <x:c r="AC279" s="12" t="str">
        <x:v>overlays\sad_028.png</x:v>
      </x:c>
      <x:c r="AD279" s="12" t="str"/>
      <x:c r="AE279" s="12" t="str"/>
      <x:c r="AF279" s="12" t="str">
        <x:v>good</x:v>
      </x:c>
      <x:c r="AG279" s="12" t="n">
        <x:v>1</x:v>
      </x:c>
      <x:c r="AH279" s="12" t="str">
        <x:v>good</x:v>
      </x:c>
      <x:c r="AI279" s="12" t="str">
        <x:v>good</x:v>
      </x:c>
      <x:c r="AJ279" s="12" t="str">
        <x:v>good</x:v>
      </x:c>
      <x:c r="AK279" s="12" t="str">
        <x:v>not_applicable</x:v>
      </x:c>
      <x:c r="AL279" s="12" t="str">
        <x:v>none</x:v>
      </x:c>
      <x:c r="AM279" s="14" t="str">
        <x:v>Clear and well-aligned facial landmarks with no major pose, crop, or occlusion issue.</x:v>
      </x:c>
    </x:row>
    <x:row r="280" ht="28" customHeight="1">
      <x:c r="A280" s="12" t="str">
        <x:v>sad_029</x:v>
      </x:c>
      <x:c r="B280" s="12" t="str">
        <x:v>sad</x:v>
      </x:c>
      <x:c r="C280" s="14" t="str">
        <x:v>sad/Training_92543724.jpg</x:v>
      </x:c>
      <x:c r="D280" s="12" t="str">
        <x:v>aa5ad0f6a7329111a12c390588bd92599b384000babd8ba56424d10785a37556</x:v>
      </x:c>
      <x:c r="E280" s="12" t="str">
        <x:v>aa5ad0f6a7329111a12c390588bd92599b384000babd8ba56424d10785a37556</x:v>
      </x:c>
      <x:c r="F280" s="12" t="str">
        <x:v>True</x:v>
      </x:c>
      <x:c r="G280" s="12" t="str">
        <x:v>48</x:v>
      </x:c>
      <x:c r="H280" s="12" t="str">
        <x:v>48</x:v>
      </x:c>
      <x:c r="I280" s="12" t="str">
        <x:v>0.0</x:v>
      </x:c>
      <x:c r="J280" s="12" t="str">
        <x:v>0.0</x:v>
      </x:c>
      <x:c r="K280" s="12" t="str">
        <x:v>47.0</x:v>
      </x:c>
      <x:c r="L280" s="12" t="str">
        <x:v>47.0</x:v>
      </x:c>
      <x:c r="M280" s="12" t="str">
        <x:v>True</x:v>
      </x:c>
      <x:c r="N280" s="12" t="str">
        <x:v>68</x:v>
      </x:c>
      <x:c r="O280" s="12" t="str">
        <x:v>68</x:v>
      </x:c>
      <x:c r="P280" s="16" t="str">
        <x:v>1.0</x:v>
      </x:c>
      <x:c r="Q280" s="12" t="str">
        <x:v>68</x:v>
      </x:c>
      <x:c r="R280" s="16" t="str">
        <x:v>1.0</x:v>
      </x:c>
      <x:c r="S280" s="12" t="str">
        <x:v>0.2</x:v>
      </x:c>
      <x:c r="T280" s="12" t="str">
        <x:v>68</x:v>
      </x:c>
      <x:c r="U280" s="16" t="str">
        <x:v>1.0</x:v>
      </x:c>
      <x:c r="V280" s="18" t="str">
        <x:v>0.726123034954071</x:v>
      </x:c>
      <x:c r="W280" s="18" t="str">
        <x:v>0.7674466073513031</x:v>
      </x:c>
      <x:c r="X280" s="18" t="str">
        <x:v>0.8234851360321045</x:v>
      </x:c>
      <x:c r="Y280" s="18" t="str">
        <x:v>0.8244757056236267</x:v>
      </x:c>
      <x:c r="Z280" s="18" t="str">
        <x:v>0.8744114160537719</x:v>
      </x:c>
      <x:c r="AA280" s="18" t="str">
        <x:v>0.9217738509178162</x:v>
      </x:c>
      <x:c r="AB280" s="20" t="str">
        <x:v>179.313299995556</x:v>
      </x:c>
      <x:c r="AC280" s="12" t="str">
        <x:v>overlays\sad_029.png</x:v>
      </x:c>
      <x:c r="AD280" s="12" t="str"/>
      <x:c r="AE280" s="12" t="str"/>
      <x:c r="AF280" s="12" t="str">
        <x:v>good</x:v>
      </x:c>
      <x:c r="AG280" s="12" t="n">
        <x:v>1</x:v>
      </x:c>
      <x:c r="AH280" s="12" t="str">
        <x:v>good</x:v>
      </x:c>
      <x:c r="AI280" s="12" t="str">
        <x:v>good</x:v>
      </x:c>
      <x:c r="AJ280" s="12" t="str">
        <x:v>good</x:v>
      </x:c>
      <x:c r="AK280" s="12" t="str">
        <x:v>not_applicable</x:v>
      </x:c>
      <x:c r="AL280" s="12" t="str">
        <x:v>none</x:v>
      </x:c>
      <x:c r="AM280" s="14" t="str">
        <x:v>Clear and well-aligned facial landmarks with no major pose, crop, or occlusion issue.</x:v>
      </x:c>
    </x:row>
    <x:row r="281" ht="28" customHeight="1">
      <x:c r="A281" s="12" t="str">
        <x:v>sad_030</x:v>
      </x:c>
      <x:c r="B281" s="12" t="str">
        <x:v>sad</x:v>
      </x:c>
      <x:c r="C281" s="14" t="str">
        <x:v>sad/Training_12388277.jpg</x:v>
      </x:c>
      <x:c r="D281" s="12" t="str">
        <x:v>84007aa61280890729400d46c9b6e8ca2a74fc9827ae979ce2ef2cf3b7670ecd</x:v>
      </x:c>
      <x:c r="E281" s="12" t="str">
        <x:v>84007aa61280890729400d46c9b6e8ca2a74fc9827ae979ce2ef2cf3b7670ecd</x:v>
      </x:c>
      <x:c r="F281" s="12" t="str">
        <x:v>True</x:v>
      </x:c>
      <x:c r="G281" s="12" t="str">
        <x:v>48</x:v>
      </x:c>
      <x:c r="H281" s="12" t="str">
        <x:v>48</x:v>
      </x:c>
      <x:c r="I281" s="12" t="str">
        <x:v>0.0</x:v>
      </x:c>
      <x:c r="J281" s="12" t="str">
        <x:v>0.0</x:v>
      </x:c>
      <x:c r="K281" s="12" t="str">
        <x:v>47.0</x:v>
      </x:c>
      <x:c r="L281" s="12" t="str">
        <x:v>47.0</x:v>
      </x:c>
      <x:c r="M281" s="12" t="str">
        <x:v>True</x:v>
      </x:c>
      <x:c r="N281" s="12" t="str">
        <x:v>68</x:v>
      </x:c>
      <x:c r="O281" s="12" t="str">
        <x:v>68</x:v>
      </x:c>
      <x:c r="P281" s="16" t="str">
        <x:v>1.0</x:v>
      </x:c>
      <x:c r="Q281" s="12" t="str">
        <x:v>57</x:v>
      </x:c>
      <x:c r="R281" s="16" t="str">
        <x:v>0.8382352941176471</x:v>
      </x:c>
      <x:c r="S281" s="12" t="str">
        <x:v>0.2</x:v>
      </x:c>
      <x:c r="T281" s="12" t="str">
        <x:v>68</x:v>
      </x:c>
      <x:c r="U281" s="16" t="str">
        <x:v>1.0</x:v>
      </x:c>
      <x:c r="V281" s="18" t="str">
        <x:v>0.7037868499755859</x:v>
      </x:c>
      <x:c r="W281" s="18" t="str">
        <x:v>0.7727821350097657</x:v>
      </x:c>
      <x:c r="X281" s="18" t="str">
        <x:v>0.834312379360199</x:v>
      </x:c>
      <x:c r="Y281" s="18" t="str">
        <x:v>0.847191333770752</x:v>
      </x:c>
      <x:c r="Z281" s="18" t="str">
        <x:v>0.8736730813980103</x:v>
      </x:c>
      <x:c r="AA281" s="18" t="str">
        <x:v>0.8967214822769165</x:v>
      </x:c>
      <x:c r="AB281" s="20" t="str">
        <x:v>221.26009999919916</x:v>
      </x:c>
      <x:c r="AC281" s="12" t="str">
        <x:v>overlays\sad_030.png</x:v>
      </x:c>
      <x:c r="AD281" s="12" t="str"/>
      <x:c r="AE281" s="12" t="str"/>
      <x:c r="AF281" s="12" t="str">
        <x:v>acceptable</x:v>
      </x:c>
      <x:c r="AG281" s="12" t="n">
        <x:v>1</x:v>
      </x:c>
      <x:c r="AH281" s="12" t="str">
        <x:v>acceptable</x:v>
      </x:c>
      <x:c r="AI281" s="12" t="str">
        <x:v>acceptable</x:v>
      </x:c>
      <x:c r="AJ281" s="12" t="str">
        <x:v>acceptable</x:v>
      </x:c>
      <x:c r="AK281" s="12" t="str">
        <x:v>not_applicable</x:v>
      </x:c>
      <x:c r="AL281" s="12" t="str">
        <x:v>mild</x:v>
      </x:c>
      <x:c r="AM281" s="14" t="str">
        <x:v>Tight crop places several contour points outside the frame; central facial landmarks remain usable.</x:v>
      </x:c>
    </x:row>
    <x:row r="282" ht="28" customHeight="1">
      <x:c r="A282" s="12" t="str">
        <x:v>sad_031</x:v>
      </x:c>
      <x:c r="B282" s="12" t="str">
        <x:v>sad</x:v>
      </x:c>
      <x:c r="C282" s="14" t="str">
        <x:v>sad/Training_23821588.jpg</x:v>
      </x:c>
      <x:c r="D282" s="12" t="str">
        <x:v>d2990e10b7ba8511f9cf4eae64a6593a98723fbc6f145d2a2bd333daf73990f0</x:v>
      </x:c>
      <x:c r="E282" s="12" t="str">
        <x:v>d2990e10b7ba8511f9cf4eae64a6593a98723fbc6f145d2a2bd333daf73990f0</x:v>
      </x:c>
      <x:c r="F282" s="12" t="str">
        <x:v>True</x:v>
      </x:c>
      <x:c r="G282" s="12" t="str">
        <x:v>48</x:v>
      </x:c>
      <x:c r="H282" s="12" t="str">
        <x:v>48</x:v>
      </x:c>
      <x:c r="I282" s="12" t="str">
        <x:v>0.0</x:v>
      </x:c>
      <x:c r="J282" s="12" t="str">
        <x:v>0.0</x:v>
      </x:c>
      <x:c r="K282" s="12" t="str">
        <x:v>47.0</x:v>
      </x:c>
      <x:c r="L282" s="12" t="str">
        <x:v>47.0</x:v>
      </x:c>
      <x:c r="M282" s="12" t="str">
        <x:v>True</x:v>
      </x:c>
      <x:c r="N282" s="12" t="str">
        <x:v>68</x:v>
      </x:c>
      <x:c r="O282" s="12" t="str">
        <x:v>68</x:v>
      </x:c>
      <x:c r="P282" s="16" t="str">
        <x:v>1.0</x:v>
      </x:c>
      <x:c r="Q282" s="12" t="str">
        <x:v>68</x:v>
      </x:c>
      <x:c r="R282" s="16" t="str">
        <x:v>1.0</x:v>
      </x:c>
      <x:c r="S282" s="12" t="str">
        <x:v>0.2</x:v>
      </x:c>
      <x:c r="T282" s="12" t="str">
        <x:v>68</x:v>
      </x:c>
      <x:c r="U282" s="16" t="str">
        <x:v>1.0</x:v>
      </x:c>
      <x:c r="V282" s="18" t="str">
        <x:v>0.7285758852958679</x:v>
      </x:c>
      <x:c r="W282" s="18" t="str">
        <x:v>0.7711113691329956</x:v>
      </x:c>
      <x:c r="X282" s="18" t="str">
        <x:v>0.8172744512557983</x:v>
      </x:c>
      <x:c r="Y282" s="18" t="str">
        <x:v>0.815253734588623</x:v>
      </x:c>
      <x:c r="Z282" s="18" t="str">
        <x:v>0.8752770841121674</x:v>
      </x:c>
      <x:c r="AA282" s="18" t="str">
        <x:v>0.8969817757606506</x:v>
      </x:c>
      <x:c r="AB282" s="20" t="str">
        <x:v>155.66250000119908</x:v>
      </x:c>
      <x:c r="AC282" s="12" t="str">
        <x:v>overlays\sad_031.png</x:v>
      </x:c>
      <x:c r="AD282" s="12" t="str"/>
      <x:c r="AE282" s="12" t="str"/>
      <x:c r="AF282" s="12" t="str">
        <x:v>good</x:v>
      </x:c>
      <x:c r="AG282" s="12" t="n">
        <x:v>1</x:v>
      </x:c>
      <x:c r="AH282" s="12" t="str">
        <x:v>good</x:v>
      </x:c>
      <x:c r="AI282" s="12" t="str">
        <x:v>good</x:v>
      </x:c>
      <x:c r="AJ282" s="12" t="str">
        <x:v>good</x:v>
      </x:c>
      <x:c r="AK282" s="12" t="str">
        <x:v>not_applicable</x:v>
      </x:c>
      <x:c r="AL282" s="12" t="str">
        <x:v>none</x:v>
      </x:c>
      <x:c r="AM282" s="14" t="str">
        <x:v>Clear and well-aligned facial landmarks with no major pose, crop, or occlusion issue.</x:v>
      </x:c>
    </x:row>
    <x:row r="283" ht="28" customHeight="1">
      <x:c r="A283" s="12" t="str">
        <x:v>sad_032</x:v>
      </x:c>
      <x:c r="B283" s="12" t="str">
        <x:v>sad</x:v>
      </x:c>
      <x:c r="C283" s="14" t="str">
        <x:v>sad/Training_46179653.jpg</x:v>
      </x:c>
      <x:c r="D283" s="12" t="str">
        <x:v>4d5f18b799bf6e48120edb78e408ff1ec0f332d50dc3290257572bb734e5693a</x:v>
      </x:c>
      <x:c r="E283" s="12" t="str">
        <x:v>4d5f18b799bf6e48120edb78e408ff1ec0f332d50dc3290257572bb734e5693a</x:v>
      </x:c>
      <x:c r="F283" s="12" t="str">
        <x:v>True</x:v>
      </x:c>
      <x:c r="G283" s="12" t="str">
        <x:v>48</x:v>
      </x:c>
      <x:c r="H283" s="12" t="str">
        <x:v>48</x:v>
      </x:c>
      <x:c r="I283" s="12" t="str">
        <x:v>0.0</x:v>
      </x:c>
      <x:c r="J283" s="12" t="str">
        <x:v>0.0</x:v>
      </x:c>
      <x:c r="K283" s="12" t="str">
        <x:v>47.0</x:v>
      </x:c>
      <x:c r="L283" s="12" t="str">
        <x:v>47.0</x:v>
      </x:c>
      <x:c r="M283" s="12" t="str">
        <x:v>True</x:v>
      </x:c>
      <x:c r="N283" s="12" t="str">
        <x:v>68</x:v>
      </x:c>
      <x:c r="O283" s="12" t="str">
        <x:v>68</x:v>
      </x:c>
      <x:c r="P283" s="16" t="str">
        <x:v>1.0</x:v>
      </x:c>
      <x:c r="Q283" s="12" t="str">
        <x:v>67</x:v>
      </x:c>
      <x:c r="R283" s="16" t="str">
        <x:v>0.9852941176470589</x:v>
      </x:c>
      <x:c r="S283" s="12" t="str">
        <x:v>0.2</x:v>
      </x:c>
      <x:c r="T283" s="12" t="str">
        <x:v>68</x:v>
      </x:c>
      <x:c r="U283" s="16" t="str">
        <x:v>1.0</x:v>
      </x:c>
      <x:c r="V283" s="18" t="str">
        <x:v>0.6486581563949585</x:v>
      </x:c>
      <x:c r="W283" s="18" t="str">
        <x:v>0.7181853353977203</x:v>
      </x:c>
      <x:c r="X283" s="18" t="str">
        <x:v>0.8005226850509644</x:v>
      </x:c>
      <x:c r="Y283" s="18" t="str">
        <x:v>0.8154532313346863</x:v>
      </x:c>
      <x:c r="Z283" s="18" t="str">
        <x:v>0.8487495541572571</x:v>
      </x:c>
      <x:c r="AA283" s="18" t="str">
        <x:v>0.8802074193954468</x:v>
      </x:c>
      <x:c r="AB283" s="20" t="str">
        <x:v>190.66070000553736</x:v>
      </x:c>
      <x:c r="AC283" s="12" t="str">
        <x:v>overlays\sad_032.png</x:v>
      </x:c>
      <x:c r="AD283" s="12" t="str"/>
      <x:c r="AE283" s="12" t="str"/>
      <x:c r="AF283" s="12" t="str">
        <x:v>good</x:v>
      </x:c>
      <x:c r="AG283" s="12" t="n">
        <x:v>1</x:v>
      </x:c>
      <x:c r="AH283" s="12" t="str">
        <x:v>good</x:v>
      </x:c>
      <x:c r="AI283" s="12" t="str">
        <x:v>good</x:v>
      </x:c>
      <x:c r="AJ283" s="12" t="str">
        <x:v>good</x:v>
      </x:c>
      <x:c r="AK283" s="12" t="str">
        <x:v>not_applicable</x:v>
      </x:c>
      <x:c r="AL283" s="12" t="str">
        <x:v>none</x:v>
      </x:c>
      <x:c r="AM283" s="14" t="str">
        <x:v>Clear and well-aligned facial landmarks with no major pose, crop, or occlusion issue.</x:v>
      </x:c>
    </x:row>
    <x:row r="284" ht="28" customHeight="1">
      <x:c r="A284" s="12" t="str">
        <x:v>sad_033</x:v>
      </x:c>
      <x:c r="B284" s="12" t="str">
        <x:v>sad</x:v>
      </x:c>
      <x:c r="C284" s="14" t="str">
        <x:v>sad/Training_35577713.jpg</x:v>
      </x:c>
      <x:c r="D284" s="12" t="str">
        <x:v>4f35033766ad74d031c63bc6b5ce201752d83b731676f37413aa944d41ee2803</x:v>
      </x:c>
      <x:c r="E284" s="12" t="str">
        <x:v>4f35033766ad74d031c63bc6b5ce201752d83b731676f37413aa944d41ee2803</x:v>
      </x:c>
      <x:c r="F284" s="12" t="str">
        <x:v>True</x:v>
      </x:c>
      <x:c r="G284" s="12" t="str">
        <x:v>48</x:v>
      </x:c>
      <x:c r="H284" s="12" t="str">
        <x:v>48</x:v>
      </x:c>
      <x:c r="I284" s="12" t="str">
        <x:v>0.0</x:v>
      </x:c>
      <x:c r="J284" s="12" t="str">
        <x:v>0.0</x:v>
      </x:c>
      <x:c r="K284" s="12" t="str">
        <x:v>47.0</x:v>
      </x:c>
      <x:c r="L284" s="12" t="str">
        <x:v>47.0</x:v>
      </x:c>
      <x:c r="M284" s="12" t="str">
        <x:v>True</x:v>
      </x:c>
      <x:c r="N284" s="12" t="str">
        <x:v>68</x:v>
      </x:c>
      <x:c r="O284" s="12" t="str">
        <x:v>68</x:v>
      </x:c>
      <x:c r="P284" s="16" t="str">
        <x:v>1.0</x:v>
      </x:c>
      <x:c r="Q284" s="12" t="str">
        <x:v>67</x:v>
      </x:c>
      <x:c r="R284" s="16" t="str">
        <x:v>0.9852941176470589</x:v>
      </x:c>
      <x:c r="S284" s="12" t="str">
        <x:v>0.2</x:v>
      </x:c>
      <x:c r="T284" s="12" t="str">
        <x:v>68</x:v>
      </x:c>
      <x:c r="U284" s="16" t="str">
        <x:v>1.0</x:v>
      </x:c>
      <x:c r="V284" s="18" t="str">
        <x:v>0.5689012408256531</x:v>
      </x:c>
      <x:c r="W284" s="18" t="str">
        <x:v>0.7425538182258606</x:v>
      </x:c>
      <x:c r="X284" s="18" t="str">
        <x:v>0.8131294846534729</x:v>
      </x:c>
      <x:c r="Y284" s="18" t="str">
        <x:v>0.8312000632286072</x:v>
      </x:c>
      <x:c r="Z284" s="18" t="str">
        <x:v>0.866812813282013</x:v>
      </x:c>
      <x:c r="AA284" s="18" t="str">
        <x:v>0.8927990198135376</x:v>
      </x:c>
      <x:c r="AB284" s="20" t="str">
        <x:v>158.88089999498334</x:v>
      </x:c>
      <x:c r="AC284" s="12" t="str">
        <x:v>overlays\sad_033.png</x:v>
      </x:c>
      <x:c r="AD284" s="12" t="str"/>
      <x:c r="AE284" s="12" t="str"/>
      <x:c r="AF284" s="12" t="str">
        <x:v>good</x:v>
      </x:c>
      <x:c r="AG284" s="12" t="n">
        <x:v>1</x:v>
      </x:c>
      <x:c r="AH284" s="12" t="str">
        <x:v>good</x:v>
      </x:c>
      <x:c r="AI284" s="12" t="str">
        <x:v>good</x:v>
      </x:c>
      <x:c r="AJ284" s="12" t="str">
        <x:v>good</x:v>
      </x:c>
      <x:c r="AK284" s="12" t="str">
        <x:v>not_applicable</x:v>
      </x:c>
      <x:c r="AL284" s="12" t="str">
        <x:v>none</x:v>
      </x:c>
      <x:c r="AM284" s="14" t="str">
        <x:v>Clear and well-aligned facial landmarks with no major pose, crop, or occlusion issue.</x:v>
      </x:c>
    </x:row>
    <x:row r="285" ht="28" customHeight="1">
      <x:c r="A285" s="12" t="str">
        <x:v>sad_034</x:v>
      </x:c>
      <x:c r="B285" s="12" t="str">
        <x:v>sad</x:v>
      </x:c>
      <x:c r="C285" s="14" t="str">
        <x:v>sad/Training_71584150.jpg</x:v>
      </x:c>
      <x:c r="D285" s="12" t="str">
        <x:v>8170990b276355775ecf837be17bca76e46910454b3c4e2d558bfe7186eb61d9</x:v>
      </x:c>
      <x:c r="E285" s="12" t="str">
        <x:v>8170990b276355775ecf837be17bca76e46910454b3c4e2d558bfe7186eb61d9</x:v>
      </x:c>
      <x:c r="F285" s="12" t="str">
        <x:v>True</x:v>
      </x:c>
      <x:c r="G285" s="12" t="str">
        <x:v>48</x:v>
      </x:c>
      <x:c r="H285" s="12" t="str">
        <x:v>48</x:v>
      </x:c>
      <x:c r="I285" s="12" t="str">
        <x:v>0.0</x:v>
      </x:c>
      <x:c r="J285" s="12" t="str">
        <x:v>0.0</x:v>
      </x:c>
      <x:c r="K285" s="12" t="str">
        <x:v>47.0</x:v>
      </x:c>
      <x:c r="L285" s="12" t="str">
        <x:v>47.0</x:v>
      </x:c>
      <x:c r="M285" s="12" t="str">
        <x:v>True</x:v>
      </x:c>
      <x:c r="N285" s="12" t="str">
        <x:v>68</x:v>
      </x:c>
      <x:c r="O285" s="12" t="str">
        <x:v>68</x:v>
      </x:c>
      <x:c r="P285" s="16" t="str">
        <x:v>1.0</x:v>
      </x:c>
      <x:c r="Q285" s="12" t="str">
        <x:v>68</x:v>
      </x:c>
      <x:c r="R285" s="16" t="str">
        <x:v>1.0</x:v>
      </x:c>
      <x:c r="S285" s="12" t="str">
        <x:v>0.2</x:v>
      </x:c>
      <x:c r="T285" s="12" t="str">
        <x:v>65</x:v>
      </x:c>
      <x:c r="U285" s="16" t="str">
        <x:v>0.9558823529411765</x:v>
      </x:c>
      <x:c r="V285" s="18" t="str">
        <x:v>0.08627045154571533</x:v>
      </x:c>
      <x:c r="W285" s="18" t="str">
        <x:v>0.36404983401298524</x:v>
      </x:c>
      <x:c r="X285" s="18" t="str">
        <x:v>0.6239917874336243</x:v>
      </x:c>
      <x:c r="Y285" s="18" t="str">
        <x:v>0.681674599647522</x:v>
      </x:c>
      <x:c r="Z285" s="18" t="str">
        <x:v>0.7849690735340119</x:v>
      </x:c>
      <x:c r="AA285" s="18" t="str">
        <x:v>0.8336853384971619</x:v>
      </x:c>
      <x:c r="AB285" s="20" t="str">
        <x:v>158.07520000089426</x:v>
      </x:c>
      <x:c r="AC285" s="12" t="str">
        <x:v>overlays\sad_034.png</x:v>
      </x:c>
      <x:c r="AD285" s="12" t="str"/>
      <x:c r="AE285" s="12" t="str"/>
      <x:c r="AF285" s="12" t="str">
        <x:v>acceptable</x:v>
      </x:c>
      <x:c r="AG285" s="12" t="n">
        <x:v>1</x:v>
      </x:c>
      <x:c r="AH285" s="12" t="str">
        <x:v>acceptable</x:v>
      </x:c>
      <x:c r="AI285" s="12" t="str">
        <x:v>acceptable</x:v>
      </x:c>
      <x:c r="AJ285" s="12" t="str">
        <x:v>acceptable</x:v>
      </x:c>
      <x:c r="AK285" s="12" t="str">
        <x:v>not_applicable</x:v>
      </x:c>
      <x:c r="AL285" s="12" t="str">
        <x:v>mild</x:v>
      </x:c>
      <x:c r="AM285" s="14" t="str">
        <x:v>Blur, low contrast, or unusual appearance lowers confidence, but the landmark geometry remains usable.</x:v>
      </x:c>
    </x:row>
    <x:row r="286" ht="28" customHeight="1">
      <x:c r="A286" s="12" t="str">
        <x:v>sad_035</x:v>
      </x:c>
      <x:c r="B286" s="12" t="str">
        <x:v>sad</x:v>
      </x:c>
      <x:c r="C286" s="14" t="str">
        <x:v>sad/Training_83687453.jpg</x:v>
      </x:c>
      <x:c r="D286" s="12" t="str">
        <x:v>9ac4d4c67e0f6cc9eedbd0020b3f7a955ba611670434547575bd305ed261e46f</x:v>
      </x:c>
      <x:c r="E286" s="12" t="str">
        <x:v>9ac4d4c67e0f6cc9eedbd0020b3f7a955ba611670434547575bd305ed261e46f</x:v>
      </x:c>
      <x:c r="F286" s="12" t="str">
        <x:v>True</x:v>
      </x:c>
      <x:c r="G286" s="12" t="str">
        <x:v>48</x:v>
      </x:c>
      <x:c r="H286" s="12" t="str">
        <x:v>48</x:v>
      </x:c>
      <x:c r="I286" s="12" t="str">
        <x:v>0.0</x:v>
      </x:c>
      <x:c r="J286" s="12" t="str">
        <x:v>0.0</x:v>
      </x:c>
      <x:c r="K286" s="12" t="str">
        <x:v>47.0</x:v>
      </x:c>
      <x:c r="L286" s="12" t="str">
        <x:v>47.0</x:v>
      </x:c>
      <x:c r="M286" s="12" t="str">
        <x:v>True</x:v>
      </x:c>
      <x:c r="N286" s="12" t="str">
        <x:v>68</x:v>
      </x:c>
      <x:c r="O286" s="12" t="str">
        <x:v>68</x:v>
      </x:c>
      <x:c r="P286" s="16" t="str">
        <x:v>1.0</x:v>
      </x:c>
      <x:c r="Q286" s="12" t="str">
        <x:v>68</x:v>
      </x:c>
      <x:c r="R286" s="16" t="str">
        <x:v>1.0</x:v>
      </x:c>
      <x:c r="S286" s="12" t="str">
        <x:v>0.2</x:v>
      </x:c>
      <x:c r="T286" s="12" t="str">
        <x:v>68</x:v>
      </x:c>
      <x:c r="U286" s="16" t="str">
        <x:v>1.0</x:v>
      </x:c>
      <x:c r="V286" s="18" t="str">
        <x:v>0.7634633183479309</x:v>
      </x:c>
      <x:c r="W286" s="18" t="str">
        <x:v>0.8055184841156006</x:v>
      </x:c>
      <x:c r="X286" s="18" t="str">
        <x:v>0.8372740149497986</x:v>
      </x:c>
      <x:c r="Y286" s="18" t="str">
        <x:v>0.8334707021713257</x:v>
      </x:c>
      <x:c r="Z286" s="18" t="str">
        <x:v>0.8717340886592865</x:v>
      </x:c>
      <x:c r="AA286" s="18" t="str">
        <x:v>0.9078981876373291</x:v>
      </x:c>
      <x:c r="AB286" s="20" t="str">
        <x:v>157.7054000008502</x:v>
      </x:c>
      <x:c r="AC286" s="12" t="str">
        <x:v>overlays\sad_035.png</x:v>
      </x:c>
      <x:c r="AD286" s="12" t="str"/>
      <x:c r="AE286" s="12" t="str"/>
      <x:c r="AF286" s="12" t="str">
        <x:v>acceptable</x:v>
      </x:c>
      <x:c r="AG286" s="12" t="n">
        <x:v>1</x:v>
      </x:c>
      <x:c r="AH286" s="12" t="str">
        <x:v>acceptable</x:v>
      </x:c>
      <x:c r="AI286" s="12" t="str">
        <x:v>acceptable</x:v>
      </x:c>
      <x:c r="AJ286" s="12" t="str">
        <x:v>acceptable</x:v>
      </x:c>
      <x:c r="AK286" s="12" t="str">
        <x:v>not_applicable</x:v>
      </x:c>
      <x:c r="AL286" s="12" t="str">
        <x:v>mild</x:v>
      </x:c>
      <x:c r="AM286" s="14" t="str">
        <x:v>Large pose or profile; visible landmarks remain useful, while hidden-side and contour points are inferred.</x:v>
      </x:c>
    </x:row>
    <x:row r="287" ht="28" customHeight="1">
      <x:c r="A287" s="12" t="str">
        <x:v>sad_036</x:v>
      </x:c>
      <x:c r="B287" s="12" t="str">
        <x:v>sad</x:v>
      </x:c>
      <x:c r="C287" s="14" t="str">
        <x:v>sad/Training_82887890.jpg</x:v>
      </x:c>
      <x:c r="D287" s="12" t="str">
        <x:v>28be8e6568b9c5329e5e39d4a04c592bfc8f2828ba3022df59f08a11fb449c91</x:v>
      </x:c>
      <x:c r="E287" s="12" t="str">
        <x:v>28be8e6568b9c5329e5e39d4a04c592bfc8f2828ba3022df59f08a11fb449c91</x:v>
      </x:c>
      <x:c r="F287" s="12" t="str">
        <x:v>True</x:v>
      </x:c>
      <x:c r="G287" s="12" t="str">
        <x:v>48</x:v>
      </x:c>
      <x:c r="H287" s="12" t="str">
        <x:v>48</x:v>
      </x:c>
      <x:c r="I287" s="12" t="str">
        <x:v>0.0</x:v>
      </x:c>
      <x:c r="J287" s="12" t="str">
        <x:v>0.0</x:v>
      </x:c>
      <x:c r="K287" s="12" t="str">
        <x:v>47.0</x:v>
      </x:c>
      <x:c r="L287" s="12" t="str">
        <x:v>47.0</x:v>
      </x:c>
      <x:c r="M287" s="12" t="str">
        <x:v>True</x:v>
      </x:c>
      <x:c r="N287" s="12" t="str">
        <x:v>68</x:v>
      </x:c>
      <x:c r="O287" s="12" t="str">
        <x:v>68</x:v>
      </x:c>
      <x:c r="P287" s="16" t="str">
        <x:v>1.0</x:v>
      </x:c>
      <x:c r="Q287" s="12" t="str">
        <x:v>68</x:v>
      </x:c>
      <x:c r="R287" s="16" t="str">
        <x:v>1.0</x:v>
      </x:c>
      <x:c r="S287" s="12" t="str">
        <x:v>0.2</x:v>
      </x:c>
      <x:c r="T287" s="12" t="str">
        <x:v>68</x:v>
      </x:c>
      <x:c r="U287" s="16" t="str">
        <x:v>1.0</x:v>
      </x:c>
      <x:c r="V287" s="18" t="str">
        <x:v>0.7248089909553528</x:v>
      </x:c>
      <x:c r="W287" s="18" t="str">
        <x:v>0.7847212493419647</x:v>
      </x:c>
      <x:c r="X287" s="18" t="str">
        <x:v>0.8397068977355957</x:v>
      </x:c>
      <x:c r="Y287" s="18" t="str">
        <x:v>0.8448622226715088</x:v>
      </x:c>
      <x:c r="Z287" s="18" t="str">
        <x:v>0.893702906370163</x:v>
      </x:c>
      <x:c r="AA287" s="18" t="str">
        <x:v>0.9207866191864014</x:v>
      </x:c>
      <x:c r="AB287" s="20" t="str">
        <x:v>159.653899994737</x:v>
      </x:c>
      <x:c r="AC287" s="12" t="str">
        <x:v>overlays\sad_036.png</x:v>
      </x:c>
      <x:c r="AD287" s="12" t="str"/>
      <x:c r="AE287" s="12" t="str"/>
      <x:c r="AF287" s="12" t="str">
        <x:v>good</x:v>
      </x:c>
      <x:c r="AG287" s="12" t="n">
        <x:v>1</x:v>
      </x:c>
      <x:c r="AH287" s="12" t="str">
        <x:v>good</x:v>
      </x:c>
      <x:c r="AI287" s="12" t="str">
        <x:v>good</x:v>
      </x:c>
      <x:c r="AJ287" s="12" t="str">
        <x:v>good</x:v>
      </x:c>
      <x:c r="AK287" s="12" t="str">
        <x:v>not_applicable</x:v>
      </x:c>
      <x:c r="AL287" s="12" t="str">
        <x:v>none</x:v>
      </x:c>
      <x:c r="AM287" s="14" t="str">
        <x:v>Clear and well-aligned facial landmarks with no major pose, crop, or occlusion issue.</x:v>
      </x:c>
    </x:row>
    <x:row r="288" ht="28" customHeight="1">
      <x:c r="A288" s="12" t="str">
        <x:v>sad_037</x:v>
      </x:c>
      <x:c r="B288" s="12" t="str">
        <x:v>sad</x:v>
      </x:c>
      <x:c r="C288" s="14" t="str">
        <x:v>sad/Training_42743536.jpg</x:v>
      </x:c>
      <x:c r="D288" s="12" t="str">
        <x:v>b3801bd7c51256b6d522c62b63370b8659a33c6f0ea89d49fc165422bda10371</x:v>
      </x:c>
      <x:c r="E288" s="12" t="str">
        <x:v>b3801bd7c51256b6d522c62b63370b8659a33c6f0ea89d49fc165422bda10371</x:v>
      </x:c>
      <x:c r="F288" s="12" t="str">
        <x:v>True</x:v>
      </x:c>
      <x:c r="G288" s="12" t="str">
        <x:v>48</x:v>
      </x:c>
      <x:c r="H288" s="12" t="str">
        <x:v>48</x:v>
      </x:c>
      <x:c r="I288" s="12" t="str">
        <x:v>0.0</x:v>
      </x:c>
      <x:c r="J288" s="12" t="str">
        <x:v>0.0</x:v>
      </x:c>
      <x:c r="K288" s="12" t="str">
        <x:v>47.0</x:v>
      </x:c>
      <x:c r="L288" s="12" t="str">
        <x:v>47.0</x:v>
      </x:c>
      <x:c r="M288" s="12" t="str">
        <x:v>True</x:v>
      </x:c>
      <x:c r="N288" s="12" t="str">
        <x:v>68</x:v>
      </x:c>
      <x:c r="O288" s="12" t="str">
        <x:v>68</x:v>
      </x:c>
      <x:c r="P288" s="16" t="str">
        <x:v>1.0</x:v>
      </x:c>
      <x:c r="Q288" s="12" t="str">
        <x:v>68</x:v>
      </x:c>
      <x:c r="R288" s="16" t="str">
        <x:v>1.0</x:v>
      </x:c>
      <x:c r="S288" s="12" t="str">
        <x:v>0.2</x:v>
      </x:c>
      <x:c r="T288" s="12" t="str">
        <x:v>68</x:v>
      </x:c>
      <x:c r="U288" s="16" t="str">
        <x:v>1.0</x:v>
      </x:c>
      <x:c r="V288" s="18" t="str">
        <x:v>0.7363346815109253</x:v>
      </x:c>
      <x:c r="W288" s="18" t="str">
        <x:v>0.7860529899597168</x:v>
      </x:c>
      <x:c r="X288" s="18" t="str">
        <x:v>0.832953929901123</x:v>
      </x:c>
      <x:c r="Y288" s="18" t="str">
        <x:v>0.8323923349380493</x:v>
      </x:c>
      <x:c r="Z288" s="18" t="str">
        <x:v>0.8779647529125214</x:v>
      </x:c>
      <x:c r="AA288" s="18" t="str">
        <x:v>0.9050987958908081</x:v>
      </x:c>
      <x:c r="AB288" s="20" t="str">
        <x:v>219.0883000002941</x:v>
      </x:c>
      <x:c r="AC288" s="12" t="str">
        <x:v>overlays\sad_037.png</x:v>
      </x:c>
      <x:c r="AD288" s="12" t="str"/>
      <x:c r="AE288" s="12" t="str"/>
      <x:c r="AF288" s="12" t="str">
        <x:v>acceptable</x:v>
      </x:c>
      <x:c r="AG288" s="12" t="n">
        <x:v>1</x:v>
      </x:c>
      <x:c r="AH288" s="12" t="str">
        <x:v>acceptable</x:v>
      </x:c>
      <x:c r="AI288" s="12" t="str">
        <x:v>acceptable</x:v>
      </x:c>
      <x:c r="AJ288" s="12" t="str">
        <x:v>acceptable</x:v>
      </x:c>
      <x:c r="AK288" s="12" t="str">
        <x:v>not_applicable</x:v>
      </x:c>
      <x:c r="AL288" s="12" t="str">
        <x:v>mild</x:v>
      </x:c>
      <x:c r="AM288" s="14" t="str">
        <x:v>Large pose or profile; visible landmarks remain useful, while hidden-side and contour points are inferred.</x:v>
      </x:c>
    </x:row>
    <x:row r="289" ht="28" customHeight="1">
      <x:c r="A289" s="12" t="str">
        <x:v>sad_038</x:v>
      </x:c>
      <x:c r="B289" s="12" t="str">
        <x:v>sad</x:v>
      </x:c>
      <x:c r="C289" s="14" t="str">
        <x:v>sad/Training_70634821.jpg</x:v>
      </x:c>
      <x:c r="D289" s="12" t="str">
        <x:v>843fe9c87701f6463ecbc20a423c1155865a507ae8043a6b03463aa5f85f8e17</x:v>
      </x:c>
      <x:c r="E289" s="12" t="str">
        <x:v>843fe9c87701f6463ecbc20a423c1155865a507ae8043a6b03463aa5f85f8e17</x:v>
      </x:c>
      <x:c r="F289" s="12" t="str">
        <x:v>True</x:v>
      </x:c>
      <x:c r="G289" s="12" t="str">
        <x:v>48</x:v>
      </x:c>
      <x:c r="H289" s="12" t="str">
        <x:v>48</x:v>
      </x:c>
      <x:c r="I289" s="12" t="str">
        <x:v>0.0</x:v>
      </x:c>
      <x:c r="J289" s="12" t="str">
        <x:v>0.0</x:v>
      </x:c>
      <x:c r="K289" s="12" t="str">
        <x:v>47.0</x:v>
      </x:c>
      <x:c r="L289" s="12" t="str">
        <x:v>47.0</x:v>
      </x:c>
      <x:c r="M289" s="12" t="str">
        <x:v>True</x:v>
      </x:c>
      <x:c r="N289" s="12" t="str">
        <x:v>68</x:v>
      </x:c>
      <x:c r="O289" s="12" t="str">
        <x:v>68</x:v>
      </x:c>
      <x:c r="P289" s="16" t="str">
        <x:v>1.0</x:v>
      </x:c>
      <x:c r="Q289" s="12" t="str">
        <x:v>68</x:v>
      </x:c>
      <x:c r="R289" s="16" t="str">
        <x:v>1.0</x:v>
      </x:c>
      <x:c r="S289" s="12" t="str">
        <x:v>0.2</x:v>
      </x:c>
      <x:c r="T289" s="12" t="str">
        <x:v>66</x:v>
      </x:c>
      <x:c r="U289" s="16" t="str">
        <x:v>0.9705882352941176</x:v>
      </x:c>
      <x:c r="V289" s="18" t="str">
        <x:v>0.15184850990772247</x:v>
      </x:c>
      <x:c r="W289" s="18" t="str">
        <x:v>0.482411316037178</x:v>
      </x:c>
      <x:c r="X289" s="18" t="str">
        <x:v>0.6934419870376587</x:v>
      </x:c>
      <x:c r="Y289" s="18" t="str">
        <x:v>0.7417786121368408</x:v>
      </x:c>
      <x:c r="Z289" s="18" t="str">
        <x:v>0.83469078540802</x:v>
      </x:c>
      <x:c r="AA289" s="18" t="str">
        <x:v>0.8839848637580872</x:v>
      </x:c>
      <x:c r="AB289" s="20" t="str">
        <x:v>158.05679999903077</x:v>
      </x:c>
      <x:c r="AC289" s="12" t="str">
        <x:v>overlays\sad_038.png</x:v>
      </x:c>
      <x:c r="AD289" s="12" t="str"/>
      <x:c r="AE289" s="12" t="str"/>
      <x:c r="AF289" s="12" t="str">
        <x:v>acceptable</x:v>
      </x:c>
      <x:c r="AG289" s="12" t="n">
        <x:v>1</x:v>
      </x:c>
      <x:c r="AH289" s="12" t="str">
        <x:v>acceptable</x:v>
      </x:c>
      <x:c r="AI289" s="12" t="str">
        <x:v>acceptable</x:v>
      </x:c>
      <x:c r="AJ289" s="12" t="str">
        <x:v>acceptable</x:v>
      </x:c>
      <x:c r="AK289" s="12" t="str">
        <x:v>not_applicable</x:v>
      </x:c>
      <x:c r="AL289" s="12" t="str">
        <x:v>mild</x:v>
      </x:c>
      <x:c r="AM289" s="14" t="str">
        <x:v>Moderate pose, crop, blur, or facial texture causes minor landmark uncertainty; the result remains usable.</x:v>
      </x:c>
    </x:row>
    <x:row r="290" ht="28" customHeight="1">
      <x:c r="A290" s="12" t="str">
        <x:v>sad_039</x:v>
      </x:c>
      <x:c r="B290" s="12" t="str">
        <x:v>sad</x:v>
      </x:c>
      <x:c r="C290" s="14" t="str">
        <x:v>sad/Training_18843463.jpg</x:v>
      </x:c>
      <x:c r="D290" s="12" t="str">
        <x:v>1a347effa7318d1d4578811b9c3b8a3f0c382cf35e9b1989ee38f8f26a8fa502</x:v>
      </x:c>
      <x:c r="E290" s="12" t="str">
        <x:v>1a347effa7318d1d4578811b9c3b8a3f0c382cf35e9b1989ee38f8f26a8fa502</x:v>
      </x:c>
      <x:c r="F290" s="12" t="str">
        <x:v>True</x:v>
      </x:c>
      <x:c r="G290" s="12" t="str">
        <x:v>48</x:v>
      </x:c>
      <x:c r="H290" s="12" t="str">
        <x:v>48</x:v>
      </x:c>
      <x:c r="I290" s="12" t="str">
        <x:v>0.0</x:v>
      </x:c>
      <x:c r="J290" s="12" t="str">
        <x:v>0.0</x:v>
      </x:c>
      <x:c r="K290" s="12" t="str">
        <x:v>47.0</x:v>
      </x:c>
      <x:c r="L290" s="12" t="str">
        <x:v>47.0</x:v>
      </x:c>
      <x:c r="M290" s="12" t="str">
        <x:v>True</x:v>
      </x:c>
      <x:c r="N290" s="12" t="str">
        <x:v>68</x:v>
      </x:c>
      <x:c r="O290" s="12" t="str">
        <x:v>68</x:v>
      </x:c>
      <x:c r="P290" s="16" t="str">
        <x:v>1.0</x:v>
      </x:c>
      <x:c r="Q290" s="12" t="str">
        <x:v>66</x:v>
      </x:c>
      <x:c r="R290" s="16" t="str">
        <x:v>0.9705882352941176</x:v>
      </x:c>
      <x:c r="S290" s="12" t="str">
        <x:v>0.2</x:v>
      </x:c>
      <x:c r="T290" s="12" t="str">
        <x:v>68</x:v>
      </x:c>
      <x:c r="U290" s="16" t="str">
        <x:v>1.0</x:v>
      </x:c>
      <x:c r="V290" s="18" t="str">
        <x:v>0.3775486946105957</x:v>
      </x:c>
      <x:c r="W290" s="18" t="str">
        <x:v>0.5671454608440399</x:v>
      </x:c>
      <x:c r="X290" s="18" t="str">
        <x:v>0.7598344087600708</x:v>
      </x:c>
      <x:c r="Y290" s="18" t="str">
        <x:v>0.803628146648407</x:v>
      </x:c>
      <x:c r="Z290" s="18" t="str">
        <x:v>0.8580862879753113</x:v>
      </x:c>
      <x:c r="AA290" s="18" t="str">
        <x:v>0.8834179639816284</x:v>
      </x:c>
      <x:c r="AB290" s="20" t="str">
        <x:v>175.15760000242153</x:v>
      </x:c>
      <x:c r="AC290" s="12" t="str">
        <x:v>overlays\sad_039.png</x:v>
      </x:c>
      <x:c r="AD290" s="12" t="str"/>
      <x:c r="AE290" s="12" t="str"/>
      <x:c r="AF290" s="12" t="str">
        <x:v>good</x:v>
      </x:c>
      <x:c r="AG290" s="12" t="n">
        <x:v>1</x:v>
      </x:c>
      <x:c r="AH290" s="12" t="str">
        <x:v>good</x:v>
      </x:c>
      <x:c r="AI290" s="12" t="str">
        <x:v>good</x:v>
      </x:c>
      <x:c r="AJ290" s="12" t="str">
        <x:v>good</x:v>
      </x:c>
      <x:c r="AK290" s="12" t="str">
        <x:v>not_applicable</x:v>
      </x:c>
      <x:c r="AL290" s="12" t="str">
        <x:v>none</x:v>
      </x:c>
      <x:c r="AM290" s="14" t="str">
        <x:v>Clear and well-aligned facial landmarks with no major pose, crop, or occlusion issue.</x:v>
      </x:c>
    </x:row>
    <x:row r="291" ht="28" customHeight="1">
      <x:c r="A291" s="12" t="str">
        <x:v>sad_040</x:v>
      </x:c>
      <x:c r="B291" s="12" t="str">
        <x:v>sad</x:v>
      </x:c>
      <x:c r="C291" s="14" t="str">
        <x:v>sad/Training_35315706.jpg</x:v>
      </x:c>
      <x:c r="D291" s="12" t="str">
        <x:v>b5a1f76c61f864180cfc132ce3b47fed709705eabbda23f9f95fd1ed489cf7f1</x:v>
      </x:c>
      <x:c r="E291" s="12" t="str">
        <x:v>b5a1f76c61f864180cfc132ce3b47fed709705eabbda23f9f95fd1ed489cf7f1</x:v>
      </x:c>
      <x:c r="F291" s="12" t="str">
        <x:v>True</x:v>
      </x:c>
      <x:c r="G291" s="12" t="str">
        <x:v>48</x:v>
      </x:c>
      <x:c r="H291" s="12" t="str">
        <x:v>48</x:v>
      </x:c>
      <x:c r="I291" s="12" t="str">
        <x:v>0.0</x:v>
      </x:c>
      <x:c r="J291" s="12" t="str">
        <x:v>0.0</x:v>
      </x:c>
      <x:c r="K291" s="12" t="str">
        <x:v>47.0</x:v>
      </x:c>
      <x:c r="L291" s="12" t="str">
        <x:v>47.0</x:v>
      </x:c>
      <x:c r="M291" s="12" t="str">
        <x:v>True</x:v>
      </x:c>
      <x:c r="N291" s="12" t="str">
        <x:v>68</x:v>
      </x:c>
      <x:c r="O291" s="12" t="str">
        <x:v>68</x:v>
      </x:c>
      <x:c r="P291" s="16" t="str">
        <x:v>1.0</x:v>
      </x:c>
      <x:c r="Q291" s="12" t="str">
        <x:v>68</x:v>
      </x:c>
      <x:c r="R291" s="16" t="str">
        <x:v>1.0</x:v>
      </x:c>
      <x:c r="S291" s="12" t="str">
        <x:v>0.2</x:v>
      </x:c>
      <x:c r="T291" s="12" t="str">
        <x:v>67</x:v>
      </x:c>
      <x:c r="U291" s="16" t="str">
        <x:v>0.9852941176470589</x:v>
      </x:c>
      <x:c r="V291" s="18" t="str">
        <x:v>0.17030379176139832</x:v>
      </x:c>
      <x:c r="W291" s="18" t="str">
        <x:v>0.33375546634197234</x:v>
      </x:c>
      <x:c r="X291" s="18" t="str">
        <x:v>0.4930960237979889</x:v>
      </x:c>
      <x:c r="Y291" s="18" t="str">
        <x:v>0.49809402227401733</x:v>
      </x:c>
      <x:c r="Z291" s="18" t="str">
        <x:v>0.6174858331680299</x:v>
      </x:c>
      <x:c r="AA291" s="18" t="str">
        <x:v>0.731521725654602</x:v>
      </x:c>
      <x:c r="AB291" s="20" t="str">
        <x:v>203.39200000307756</x:v>
      </x:c>
      <x:c r="AC291" s="12" t="str">
        <x:v>overlays\sad_040.png</x:v>
      </x:c>
      <x:c r="AD291" s="12" t="str"/>
      <x:c r="AE291" s="12" t="str"/>
      <x:c r="AF291" s="12" t="str">
        <x:v>acceptable</x:v>
      </x:c>
      <x:c r="AG291" s="12" t="n">
        <x:v>1</x:v>
      </x:c>
      <x:c r="AH291" s="12" t="str">
        <x:v>acceptable</x:v>
      </x:c>
      <x:c r="AI291" s="12" t="str">
        <x:v>acceptable</x:v>
      </x:c>
      <x:c r="AJ291" s="12" t="str">
        <x:v>acceptable</x:v>
      </x:c>
      <x:c r="AK291" s="12" t="str">
        <x:v>not_applicable</x:v>
      </x:c>
      <x:c r="AL291" s="12" t="str">
        <x:v>mild</x:v>
      </x:c>
      <x:c r="AM291" s="14" t="str">
        <x:v>Large pose or profile; visible landmarks remain useful, while hidden-side and contour points are inferred.</x:v>
      </x:c>
    </x:row>
    <x:row r="292" ht="28" customHeight="1">
      <x:c r="A292" s="12" t="str">
        <x:v>sad_041</x:v>
      </x:c>
      <x:c r="B292" s="12" t="str">
        <x:v>sad</x:v>
      </x:c>
      <x:c r="C292" s="14" t="str">
        <x:v>sad/Training_66967267.jpg</x:v>
      </x:c>
      <x:c r="D292" s="12" t="str">
        <x:v>d7bb06e5cca22ff13cb1331c8cd02958ea7f2ac986ce5a96218ec987c7328509</x:v>
      </x:c>
      <x:c r="E292" s="12" t="str">
        <x:v>d7bb06e5cca22ff13cb1331c8cd02958ea7f2ac986ce5a96218ec987c7328509</x:v>
      </x:c>
      <x:c r="F292" s="12" t="str">
        <x:v>True</x:v>
      </x:c>
      <x:c r="G292" s="12" t="str">
        <x:v>48</x:v>
      </x:c>
      <x:c r="H292" s="12" t="str">
        <x:v>48</x:v>
      </x:c>
      <x:c r="I292" s="12" t="str">
        <x:v>0.0</x:v>
      </x:c>
      <x:c r="J292" s="12" t="str">
        <x:v>0.0</x:v>
      </x:c>
      <x:c r="K292" s="12" t="str">
        <x:v>47.0</x:v>
      </x:c>
      <x:c r="L292" s="12" t="str">
        <x:v>47.0</x:v>
      </x:c>
      <x:c r="M292" s="12" t="str">
        <x:v>True</x:v>
      </x:c>
      <x:c r="N292" s="12" t="str">
        <x:v>68</x:v>
      </x:c>
      <x:c r="O292" s="12" t="str">
        <x:v>68</x:v>
      </x:c>
      <x:c r="P292" s="16" t="str">
        <x:v>1.0</x:v>
      </x:c>
      <x:c r="Q292" s="12" t="str">
        <x:v>64</x:v>
      </x:c>
      <x:c r="R292" s="16" t="str">
        <x:v>0.9411764705882353</x:v>
      </x:c>
      <x:c r="S292" s="12" t="str">
        <x:v>0.2</x:v>
      </x:c>
      <x:c r="T292" s="12" t="str">
        <x:v>68</x:v>
      </x:c>
      <x:c r="U292" s="16" t="str">
        <x:v>1.0</x:v>
      </x:c>
      <x:c r="V292" s="18" t="str">
        <x:v>0.714091956615448</x:v>
      </x:c>
      <x:c r="W292" s="18" t="str">
        <x:v>0.7510216951370239</x:v>
      </x:c>
      <x:c r="X292" s="18" t="str">
        <x:v>0.8162067532539368</x:v>
      </x:c>
      <x:c r="Y292" s="18" t="str">
        <x:v>0.82246994972229</x:v>
      </x:c>
      <x:c r="Z292" s="18" t="str">
        <x:v>0.8692712485790253</x:v>
      </x:c>
      <x:c r="AA292" s="18" t="str">
        <x:v>0.8924430012702942</x:v>
      </x:c>
      <x:c r="AB292" s="20" t="str">
        <x:v>174.10360000212677</x:v>
      </x:c>
      <x:c r="AC292" s="12" t="str">
        <x:v>overlays\sad_041.png</x:v>
      </x:c>
      <x:c r="AD292" s="12" t="str"/>
      <x:c r="AE292" s="12" t="str"/>
      <x:c r="AF292" s="12" t="str">
        <x:v>acceptable</x:v>
      </x:c>
      <x:c r="AG292" s="12" t="n">
        <x:v>1</x:v>
      </x:c>
      <x:c r="AH292" s="12" t="str">
        <x:v>acceptable</x:v>
      </x:c>
      <x:c r="AI292" s="12" t="str">
        <x:v>acceptable</x:v>
      </x:c>
      <x:c r="AJ292" s="12" t="str">
        <x:v>acceptable</x:v>
      </x:c>
      <x:c r="AK292" s="12" t="str">
        <x:v>not_applicable</x:v>
      </x:c>
      <x:c r="AL292" s="12" t="str">
        <x:v>mild</x:v>
      </x:c>
      <x:c r="AM292" s="14" t="str">
        <x:v>Moderate pose, crop, blur, or facial texture causes minor landmark uncertainty; the result remains usable.</x:v>
      </x:c>
    </x:row>
    <x:row r="293" ht="28" customHeight="1">
      <x:c r="A293" s="12" t="str">
        <x:v>sad_042</x:v>
      </x:c>
      <x:c r="B293" s="12" t="str">
        <x:v>sad</x:v>
      </x:c>
      <x:c r="C293" s="14" t="str">
        <x:v>sad/Training_10248550.jpg</x:v>
      </x:c>
      <x:c r="D293" s="12" t="str">
        <x:v>cb273dc27ff66ccb332711e4149e3ea5188af4d0897816ec896547efaf496cc6</x:v>
      </x:c>
      <x:c r="E293" s="12" t="str">
        <x:v>cb273dc27ff66ccb332711e4149e3ea5188af4d0897816ec896547efaf496cc6</x:v>
      </x:c>
      <x:c r="F293" s="12" t="str">
        <x:v>True</x:v>
      </x:c>
      <x:c r="G293" s="12" t="str">
        <x:v>48</x:v>
      </x:c>
      <x:c r="H293" s="12" t="str">
        <x:v>48</x:v>
      </x:c>
      <x:c r="I293" s="12" t="str">
        <x:v>0.0</x:v>
      </x:c>
      <x:c r="J293" s="12" t="str">
        <x:v>0.0</x:v>
      </x:c>
      <x:c r="K293" s="12" t="str">
        <x:v>47.0</x:v>
      </x:c>
      <x:c r="L293" s="12" t="str">
        <x:v>47.0</x:v>
      </x:c>
      <x:c r="M293" s="12" t="str">
        <x:v>True</x:v>
      </x:c>
      <x:c r="N293" s="12" t="str">
        <x:v>68</x:v>
      </x:c>
      <x:c r="O293" s="12" t="str">
        <x:v>68</x:v>
      </x:c>
      <x:c r="P293" s="16" t="str">
        <x:v>1.0</x:v>
      </x:c>
      <x:c r="Q293" s="12" t="str">
        <x:v>68</x:v>
      </x:c>
      <x:c r="R293" s="16" t="str">
        <x:v>1.0</x:v>
      </x:c>
      <x:c r="S293" s="12" t="str">
        <x:v>0.2</x:v>
      </x:c>
      <x:c r="T293" s="12" t="str">
        <x:v>68</x:v>
      </x:c>
      <x:c r="U293" s="16" t="str">
        <x:v>1.0</x:v>
      </x:c>
      <x:c r="V293" s="18" t="str">
        <x:v>0.5434564352035522</x:v>
      </x:c>
      <x:c r="W293" s="18" t="str">
        <x:v>0.6915521740913391</x:v>
      </x:c>
      <x:c r="X293" s="18" t="str">
        <x:v>0.7995647192001343</x:v>
      </x:c>
      <x:c r="Y293" s="18" t="str">
        <x:v>0.8209066390991211</x:v>
      </x:c>
      <x:c r="Z293" s="18" t="str">
        <x:v>0.8680345833301545</x:v>
      </x:c>
      <x:c r="AA293" s="18" t="str">
        <x:v>0.8952317237854004</x:v>
      </x:c>
      <x:c r="AB293" s="20" t="str">
        <x:v>154.93330000026617</x:v>
      </x:c>
      <x:c r="AC293" s="12" t="str">
        <x:v>overlays\sad_042.png</x:v>
      </x:c>
      <x:c r="AD293" s="12" t="str"/>
      <x:c r="AE293" s="12" t="str"/>
      <x:c r="AF293" s="12" t="str">
        <x:v>acceptable</x:v>
      </x:c>
      <x:c r="AG293" s="12" t="n">
        <x:v>1</x:v>
      </x:c>
      <x:c r="AH293" s="12" t="str">
        <x:v>acceptable</x:v>
      </x:c>
      <x:c r="AI293" s="12" t="str">
        <x:v>acceptable</x:v>
      </x:c>
      <x:c r="AJ293" s="12" t="str">
        <x:v>acceptable</x:v>
      </x:c>
      <x:c r="AK293" s="12" t="str">
        <x:v>not_applicable</x:v>
      </x:c>
      <x:c r="AL293" s="12" t="str">
        <x:v>mild</x:v>
      </x:c>
      <x:c r="AM293" s="14" t="str">
        <x:v>Large pose or profile; visible landmarks remain useful, while hidden-side and contour points are inferred.</x:v>
      </x:c>
    </x:row>
    <x:row r="294" ht="28" customHeight="1">
      <x:c r="A294" s="12" t="str">
        <x:v>sad_043</x:v>
      </x:c>
      <x:c r="B294" s="12" t="str">
        <x:v>sad</x:v>
      </x:c>
      <x:c r="C294" s="14" t="str">
        <x:v>sad/Training_68710853.jpg</x:v>
      </x:c>
      <x:c r="D294" s="12" t="str">
        <x:v>0a1005adf6daf845f3285eb2548e1114f27318a0c6338641e1ed32b8c2b74ec4</x:v>
      </x:c>
      <x:c r="E294" s="12" t="str">
        <x:v>0a1005adf6daf845f3285eb2548e1114f27318a0c6338641e1ed32b8c2b74ec4</x:v>
      </x:c>
      <x:c r="F294" s="12" t="str">
        <x:v>True</x:v>
      </x:c>
      <x:c r="G294" s="12" t="str">
        <x:v>48</x:v>
      </x:c>
      <x:c r="H294" s="12" t="str">
        <x:v>48</x:v>
      </x:c>
      <x:c r="I294" s="12" t="str">
        <x:v>0.0</x:v>
      </x:c>
      <x:c r="J294" s="12" t="str">
        <x:v>0.0</x:v>
      </x:c>
      <x:c r="K294" s="12" t="str">
        <x:v>47.0</x:v>
      </x:c>
      <x:c r="L294" s="12" t="str">
        <x:v>47.0</x:v>
      </x:c>
      <x:c r="M294" s="12" t="str">
        <x:v>True</x:v>
      </x:c>
      <x:c r="N294" s="12" t="str">
        <x:v>68</x:v>
      </x:c>
      <x:c r="O294" s="12" t="str">
        <x:v>68</x:v>
      </x:c>
      <x:c r="P294" s="16" t="str">
        <x:v>1.0</x:v>
      </x:c>
      <x:c r="Q294" s="12" t="str">
        <x:v>66</x:v>
      </x:c>
      <x:c r="R294" s="16" t="str">
        <x:v>0.9705882352941176</x:v>
      </x:c>
      <x:c r="S294" s="12" t="str">
        <x:v>0.2</x:v>
      </x:c>
      <x:c r="T294" s="12" t="str">
        <x:v>68</x:v>
      </x:c>
      <x:c r="U294" s="16" t="str">
        <x:v>1.0</x:v>
      </x:c>
      <x:c r="V294" s="18" t="str">
        <x:v>0.6756964325904846</x:v>
      </x:c>
      <x:c r="W294" s="18" t="str">
        <x:v>0.7709220170974731</x:v>
      </x:c>
      <x:c r="X294" s="18" t="str">
        <x:v>0.8201515078544617</x:v>
      </x:c>
      <x:c r="Y294" s="18" t="str">
        <x:v>0.8235408067703247</x:v>
      </x:c>
      <x:c r="Z294" s="18" t="str">
        <x:v>0.8605173945426942</x:v>
      </x:c>
      <x:c r="AA294" s="18" t="str">
        <x:v>0.8911152482032776</x:v>
      </x:c>
      <x:c r="AB294" s="20" t="str">
        <x:v>154.43199999572244</x:v>
      </x:c>
      <x:c r="AC294" s="12" t="str">
        <x:v>overlays\sad_043.png</x:v>
      </x:c>
      <x:c r="AD294" s="12" t="str"/>
      <x:c r="AE294" s="12" t="str"/>
      <x:c r="AF294" s="12" t="str">
        <x:v>acceptable</x:v>
      </x:c>
      <x:c r="AG294" s="12" t="n">
        <x:v>1</x:v>
      </x:c>
      <x:c r="AH294" s="12" t="str">
        <x:v>acceptable</x:v>
      </x:c>
      <x:c r="AI294" s="12" t="str">
        <x:v>acceptable</x:v>
      </x:c>
      <x:c r="AJ294" s="12" t="str">
        <x:v>acceptable</x:v>
      </x:c>
      <x:c r="AK294" s="12" t="str">
        <x:v>not_applicable</x:v>
      </x:c>
      <x:c r="AL294" s="12" t="str">
        <x:v>mild</x:v>
      </x:c>
      <x:c r="AM294" s="14" t="str">
        <x:v>Large pose or profile; visible landmarks remain useful, while hidden-side and contour points are inferred.</x:v>
      </x:c>
    </x:row>
    <x:row r="295" ht="28" customHeight="1">
      <x:c r="A295" s="12" t="str">
        <x:v>sad_044</x:v>
      </x:c>
      <x:c r="B295" s="12" t="str">
        <x:v>sad</x:v>
      </x:c>
      <x:c r="C295" s="14" t="str">
        <x:v>sad/Training_5015510.jpg</x:v>
      </x:c>
      <x:c r="D295" s="12" t="str">
        <x:v>3d4a69725626badd68806fc9f5f74f8ea863d7156eff7e8b465048a92ca1be0d</x:v>
      </x:c>
      <x:c r="E295" s="12" t="str">
        <x:v>3d4a69725626badd68806fc9f5f74f8ea863d7156eff7e8b465048a92ca1be0d</x:v>
      </x:c>
      <x:c r="F295" s="12" t="str">
        <x:v>True</x:v>
      </x:c>
      <x:c r="G295" s="12" t="str">
        <x:v>48</x:v>
      </x:c>
      <x:c r="H295" s="12" t="str">
        <x:v>48</x:v>
      </x:c>
      <x:c r="I295" s="12" t="str">
        <x:v>0.0</x:v>
      </x:c>
      <x:c r="J295" s="12" t="str">
        <x:v>0.0</x:v>
      </x:c>
      <x:c r="K295" s="12" t="str">
        <x:v>47.0</x:v>
      </x:c>
      <x:c r="L295" s="12" t="str">
        <x:v>47.0</x:v>
      </x:c>
      <x:c r="M295" s="12" t="str">
        <x:v>True</x:v>
      </x:c>
      <x:c r="N295" s="12" t="str">
        <x:v>68</x:v>
      </x:c>
      <x:c r="O295" s="12" t="str">
        <x:v>68</x:v>
      </x:c>
      <x:c r="P295" s="16" t="str">
        <x:v>1.0</x:v>
      </x:c>
      <x:c r="Q295" s="12" t="str">
        <x:v>68</x:v>
      </x:c>
      <x:c r="R295" s="16" t="str">
        <x:v>1.0</x:v>
      </x:c>
      <x:c r="S295" s="12" t="str">
        <x:v>0.2</x:v>
      </x:c>
      <x:c r="T295" s="12" t="str">
        <x:v>68</x:v>
      </x:c>
      <x:c r="U295" s="16" t="str">
        <x:v>1.0</x:v>
      </x:c>
      <x:c r="V295" s="18" t="str">
        <x:v>0.5893794298171997</x:v>
      </x:c>
      <x:c r="W295" s="18" t="str">
        <x:v>0.7101598918437958</x:v>
      </x:c>
      <x:c r="X295" s="18" t="str">
        <x:v>0.7824721932411194</x:v>
      </x:c>
      <x:c r="Y295" s="18" t="str">
        <x:v>0.7958821058273315</x:v>
      </x:c>
      <x:c r="Z295" s="18" t="str">
        <x:v>0.8515096485614777</x:v>
      </x:c>
      <x:c r="AA295" s="18" t="str">
        <x:v>0.8949809670448303</x:v>
      </x:c>
      <x:c r="AB295" s="20" t="str">
        <x:v>212.3000999999931</x:v>
      </x:c>
      <x:c r="AC295" s="12" t="str">
        <x:v>overlays\sad_044.png</x:v>
      </x:c>
      <x:c r="AD295" s="12" t="str"/>
      <x:c r="AE295" s="12" t="str"/>
      <x:c r="AF295" s="12" t="str">
        <x:v>acceptable</x:v>
      </x:c>
      <x:c r="AG295" s="12" t="n">
        <x:v>1</x:v>
      </x:c>
      <x:c r="AH295" s="12" t="str">
        <x:v>acceptable</x:v>
      </x:c>
      <x:c r="AI295" s="12" t="str">
        <x:v>acceptable</x:v>
      </x:c>
      <x:c r="AJ295" s="12" t="str">
        <x:v>acceptable</x:v>
      </x:c>
      <x:c r="AK295" s="12" t="str">
        <x:v>not_applicable</x:v>
      </x:c>
      <x:c r="AL295" s="12" t="str">
        <x:v>mild</x:v>
      </x:c>
      <x:c r="AM295" s="14" t="str">
        <x:v>Moderate pose, crop, blur, or facial texture causes minor landmark uncertainty; the result remains usable.</x:v>
      </x:c>
    </x:row>
    <x:row r="296" ht="28" customHeight="1">
      <x:c r="A296" s="12" t="str">
        <x:v>sad_045</x:v>
      </x:c>
      <x:c r="B296" s="12" t="str">
        <x:v>sad</x:v>
      </x:c>
      <x:c r="C296" s="14" t="str">
        <x:v>sad/Training_78985679.jpg</x:v>
      </x:c>
      <x:c r="D296" s="12" t="str">
        <x:v>90f07f16b5ec4a8df678d378a2195936964738f087836928836a7d3b3ad9370b</x:v>
      </x:c>
      <x:c r="E296" s="12" t="str">
        <x:v>90f07f16b5ec4a8df678d378a2195936964738f087836928836a7d3b3ad9370b</x:v>
      </x:c>
      <x:c r="F296" s="12" t="str">
        <x:v>True</x:v>
      </x:c>
      <x:c r="G296" s="12" t="str">
        <x:v>48</x:v>
      </x:c>
      <x:c r="H296" s="12" t="str">
        <x:v>48</x:v>
      </x:c>
      <x:c r="I296" s="12" t="str">
        <x:v>0.0</x:v>
      </x:c>
      <x:c r="J296" s="12" t="str">
        <x:v>0.0</x:v>
      </x:c>
      <x:c r="K296" s="12" t="str">
        <x:v>47.0</x:v>
      </x:c>
      <x:c r="L296" s="12" t="str">
        <x:v>47.0</x:v>
      </x:c>
      <x:c r="M296" s="12" t="str">
        <x:v>True</x:v>
      </x:c>
      <x:c r="N296" s="12" t="str">
        <x:v>68</x:v>
      </x:c>
      <x:c r="O296" s="12" t="str">
        <x:v>68</x:v>
      </x:c>
      <x:c r="P296" s="16" t="str">
        <x:v>1.0</x:v>
      </x:c>
      <x:c r="Q296" s="12" t="str">
        <x:v>68</x:v>
      </x:c>
      <x:c r="R296" s="16" t="str">
        <x:v>1.0</x:v>
      </x:c>
      <x:c r="S296" s="12" t="str">
        <x:v>0.2</x:v>
      </x:c>
      <x:c r="T296" s="12" t="str">
        <x:v>68</x:v>
      </x:c>
      <x:c r="U296" s="16" t="str">
        <x:v>1.0</x:v>
      </x:c>
      <x:c r="V296" s="18" t="str">
        <x:v>0.7544927000999451</x:v>
      </x:c>
      <x:c r="W296" s="18" t="str">
        <x:v>0.7850410580635071</x:v>
      </x:c>
      <x:c r="X296" s="18" t="str">
        <x:v>0.8351041674613953</x:v>
      </x:c>
      <x:c r="Y296" s="18" t="str">
        <x:v>0.8407782316207886</x:v>
      </x:c>
      <x:c r="Z296" s="18" t="str">
        <x:v>0.8773598909378052</x:v>
      </x:c>
      <x:c r="AA296" s="18" t="str">
        <x:v>0.8903059959411621</x:v>
      </x:c>
      <x:c r="AB296" s="20" t="str">
        <x:v>160.20030000072438</x:v>
      </x:c>
      <x:c r="AC296" s="12" t="str">
        <x:v>overlays\sad_045.png</x:v>
      </x:c>
      <x:c r="AD296" s="12" t="str"/>
      <x:c r="AE296" s="12" t="str"/>
      <x:c r="AF296" s="12" t="str">
        <x:v>good</x:v>
      </x:c>
      <x:c r="AG296" s="12" t="n">
        <x:v>1</x:v>
      </x:c>
      <x:c r="AH296" s="12" t="str">
        <x:v>good</x:v>
      </x:c>
      <x:c r="AI296" s="12" t="str">
        <x:v>good</x:v>
      </x:c>
      <x:c r="AJ296" s="12" t="str">
        <x:v>good</x:v>
      </x:c>
      <x:c r="AK296" s="12" t="str">
        <x:v>not_applicable</x:v>
      </x:c>
      <x:c r="AL296" s="12" t="str">
        <x:v>none</x:v>
      </x:c>
      <x:c r="AM296" s="14" t="str">
        <x:v>Clear and well-aligned facial landmarks with no major pose, crop, or occlusion issue.</x:v>
      </x:c>
    </x:row>
    <x:row r="297" ht="28" customHeight="1">
      <x:c r="A297" s="12" t="str">
        <x:v>sad_046</x:v>
      </x:c>
      <x:c r="B297" s="12" t="str">
        <x:v>sad</x:v>
      </x:c>
      <x:c r="C297" s="14" t="str">
        <x:v>sad/Training_53308754.jpg</x:v>
      </x:c>
      <x:c r="D297" s="12" t="str">
        <x:v>3899fc8d33e626124afca84fe1d803dfb967b4c17666b8d64eebb162f6014277</x:v>
      </x:c>
      <x:c r="E297" s="12" t="str">
        <x:v>3899fc8d33e626124afca84fe1d803dfb967b4c17666b8d64eebb162f6014277</x:v>
      </x:c>
      <x:c r="F297" s="12" t="str">
        <x:v>True</x:v>
      </x:c>
      <x:c r="G297" s="12" t="str">
        <x:v>48</x:v>
      </x:c>
      <x:c r="H297" s="12" t="str">
        <x:v>48</x:v>
      </x:c>
      <x:c r="I297" s="12" t="str">
        <x:v>0.0</x:v>
      </x:c>
      <x:c r="J297" s="12" t="str">
        <x:v>0.0</x:v>
      </x:c>
      <x:c r="K297" s="12" t="str">
        <x:v>47.0</x:v>
      </x:c>
      <x:c r="L297" s="12" t="str">
        <x:v>47.0</x:v>
      </x:c>
      <x:c r="M297" s="12" t="str">
        <x:v>True</x:v>
      </x:c>
      <x:c r="N297" s="12" t="str">
        <x:v>68</x:v>
      </x:c>
      <x:c r="O297" s="12" t="str">
        <x:v>68</x:v>
      </x:c>
      <x:c r="P297" s="16" t="str">
        <x:v>1.0</x:v>
      </x:c>
      <x:c r="Q297" s="12" t="str">
        <x:v>68</x:v>
      </x:c>
      <x:c r="R297" s="16" t="str">
        <x:v>1.0</x:v>
      </x:c>
      <x:c r="S297" s="12" t="str">
        <x:v>0.2</x:v>
      </x:c>
      <x:c r="T297" s="12" t="str">
        <x:v>68</x:v>
      </x:c>
      <x:c r="U297" s="16" t="str">
        <x:v>1.0</x:v>
      </x:c>
      <x:c r="V297" s="18" t="str">
        <x:v>0.6027200818061829</x:v>
      </x:c>
      <x:c r="W297" s="18" t="str">
        <x:v>0.7298575103282928</x:v>
      </x:c>
      <x:c r="X297" s="18" t="str">
        <x:v>0.8046727180480957</x:v>
      </x:c>
      <x:c r="Y297" s="18" t="str">
        <x:v>0.822860836982727</x:v>
      </x:c>
      <x:c r="Z297" s="18" t="str">
        <x:v>0.8620926082134247</x:v>
      </x:c>
      <x:c r="AA297" s="18" t="str">
        <x:v>0.8868767023086548</x:v>
      </x:c>
      <x:c r="AB297" s="20" t="str">
        <x:v>195.25569999677828</x:v>
      </x:c>
      <x:c r="AC297" s="12" t="str">
        <x:v>overlays\sad_046.png</x:v>
      </x:c>
      <x:c r="AD297" s="12" t="str"/>
      <x:c r="AE297" s="12" t="str"/>
      <x:c r="AF297" s="12" t="str">
        <x:v>good</x:v>
      </x:c>
      <x:c r="AG297" s="12" t="n">
        <x:v>1</x:v>
      </x:c>
      <x:c r="AH297" s="12" t="str">
        <x:v>good</x:v>
      </x:c>
      <x:c r="AI297" s="12" t="str">
        <x:v>good</x:v>
      </x:c>
      <x:c r="AJ297" s="12" t="str">
        <x:v>good</x:v>
      </x:c>
      <x:c r="AK297" s="12" t="str">
        <x:v>not_applicable</x:v>
      </x:c>
      <x:c r="AL297" s="12" t="str">
        <x:v>none</x:v>
      </x:c>
      <x:c r="AM297" s="14" t="str">
        <x:v>Clear and well-aligned facial landmarks with no major pose, crop, or occlusion issue.</x:v>
      </x:c>
    </x:row>
    <x:row r="298" ht="28" customHeight="1">
      <x:c r="A298" s="12" t="str">
        <x:v>sad_047</x:v>
      </x:c>
      <x:c r="B298" s="12" t="str">
        <x:v>sad</x:v>
      </x:c>
      <x:c r="C298" s="14" t="str">
        <x:v>sad/Training_73913636.jpg</x:v>
      </x:c>
      <x:c r="D298" s="12" t="str">
        <x:v>fb3a0b45b60edad1426f52c04dbcad981351efa67677387cac13e45155f40d91</x:v>
      </x:c>
      <x:c r="E298" s="12" t="str">
        <x:v>fb3a0b45b60edad1426f52c04dbcad981351efa67677387cac13e45155f40d91</x:v>
      </x:c>
      <x:c r="F298" s="12" t="str">
        <x:v>True</x:v>
      </x:c>
      <x:c r="G298" s="12" t="str">
        <x:v>48</x:v>
      </x:c>
      <x:c r="H298" s="12" t="str">
        <x:v>48</x:v>
      </x:c>
      <x:c r="I298" s="12" t="str">
        <x:v>0.0</x:v>
      </x:c>
      <x:c r="J298" s="12" t="str">
        <x:v>0.0</x:v>
      </x:c>
      <x:c r="K298" s="12" t="str">
        <x:v>47.0</x:v>
      </x:c>
      <x:c r="L298" s="12" t="str">
        <x:v>47.0</x:v>
      </x:c>
      <x:c r="M298" s="12" t="str">
        <x:v>True</x:v>
      </x:c>
      <x:c r="N298" s="12" t="str">
        <x:v>68</x:v>
      </x:c>
      <x:c r="O298" s="12" t="str">
        <x:v>68</x:v>
      </x:c>
      <x:c r="P298" s="16" t="str">
        <x:v>1.0</x:v>
      </x:c>
      <x:c r="Q298" s="12" t="str">
        <x:v>68</x:v>
      </x:c>
      <x:c r="R298" s="16" t="str">
        <x:v>1.0</x:v>
      </x:c>
      <x:c r="S298" s="12" t="str">
        <x:v>0.2</x:v>
      </x:c>
      <x:c r="T298" s="12" t="str">
        <x:v>68</x:v>
      </x:c>
      <x:c r="U298" s="16" t="str">
        <x:v>1.0</x:v>
      </x:c>
      <x:c r="V298" s="18" t="str">
        <x:v>0.5809845328330994</x:v>
      </x:c>
      <x:c r="W298" s="18" t="str">
        <x:v>0.7198474526405334</x:v>
      </x:c>
      <x:c r="X298" s="18" t="str">
        <x:v>0.8038581609725952</x:v>
      </x:c>
      <x:c r="Y298" s="18" t="str">
        <x:v>0.8261730670928955</x:v>
      </x:c>
      <x:c r="Z298" s="18" t="str">
        <x:v>0.8796329081058503</x:v>
      </x:c>
      <x:c r="AA298" s="18" t="str">
        <x:v>0.9010589122772217</x:v>
      </x:c>
      <x:c r="AB298" s="20" t="str">
        <x:v>153.5931000034907</x:v>
      </x:c>
      <x:c r="AC298" s="12" t="str">
        <x:v>overlays\sad_047.png</x:v>
      </x:c>
      <x:c r="AD298" s="12" t="str"/>
      <x:c r="AE298" s="12" t="str"/>
      <x:c r="AF298" s="12" t="str">
        <x:v>acceptable</x:v>
      </x:c>
      <x:c r="AG298" s="12" t="n">
        <x:v>1</x:v>
      </x:c>
      <x:c r="AH298" s="12" t="str">
        <x:v>acceptable</x:v>
      </x:c>
      <x:c r="AI298" s="12" t="str">
        <x:v>acceptable</x:v>
      </x:c>
      <x:c r="AJ298" s="12" t="str">
        <x:v>acceptable</x:v>
      </x:c>
      <x:c r="AK298" s="12" t="str">
        <x:v>not_applicable</x:v>
      </x:c>
      <x:c r="AL298" s="12" t="str">
        <x:v>mild</x:v>
      </x:c>
      <x:c r="AM298" s="14" t="str">
        <x:v>Large pose or profile; visible landmarks remain useful, while hidden-side and contour points are inferred.</x:v>
      </x:c>
    </x:row>
    <x:row r="299" ht="28" customHeight="1">
      <x:c r="A299" s="12" t="str">
        <x:v>sad_048</x:v>
      </x:c>
      <x:c r="B299" s="12" t="str">
        <x:v>sad</x:v>
      </x:c>
      <x:c r="C299" s="14" t="str">
        <x:v>sad/Training_94893745.jpg</x:v>
      </x:c>
      <x:c r="D299" s="12" t="str">
        <x:v>0375cb5a3dfbb16850814328e6ee17f8be87907f10d5476f9e10cd3ce2914db5</x:v>
      </x:c>
      <x:c r="E299" s="12" t="str">
        <x:v>0375cb5a3dfbb16850814328e6ee17f8be87907f10d5476f9e10cd3ce2914db5</x:v>
      </x:c>
      <x:c r="F299" s="12" t="str">
        <x:v>True</x:v>
      </x:c>
      <x:c r="G299" s="12" t="str">
        <x:v>48</x:v>
      </x:c>
      <x:c r="H299" s="12" t="str">
        <x:v>48</x:v>
      </x:c>
      <x:c r="I299" s="12" t="str">
        <x:v>0.0</x:v>
      </x:c>
      <x:c r="J299" s="12" t="str">
        <x:v>0.0</x:v>
      </x:c>
      <x:c r="K299" s="12" t="str">
        <x:v>47.0</x:v>
      </x:c>
      <x:c r="L299" s="12" t="str">
        <x:v>47.0</x:v>
      </x:c>
      <x:c r="M299" s="12" t="str">
        <x:v>True</x:v>
      </x:c>
      <x:c r="N299" s="12" t="str">
        <x:v>68</x:v>
      </x:c>
      <x:c r="O299" s="12" t="str">
        <x:v>68</x:v>
      </x:c>
      <x:c r="P299" s="16" t="str">
        <x:v>1.0</x:v>
      </x:c>
      <x:c r="Q299" s="12" t="str">
        <x:v>68</x:v>
      </x:c>
      <x:c r="R299" s="16" t="str">
        <x:v>1.0</x:v>
      </x:c>
      <x:c r="S299" s="12" t="str">
        <x:v>0.2</x:v>
      </x:c>
      <x:c r="T299" s="12" t="str">
        <x:v>68</x:v>
      </x:c>
      <x:c r="U299" s="16" t="str">
        <x:v>1.0</x:v>
      </x:c>
      <x:c r="V299" s="18" t="str">
        <x:v>0.5655314922332764</x:v>
      </x:c>
      <x:c r="W299" s="18" t="str">
        <x:v>0.6936202049255371</x:v>
      </x:c>
      <x:c r="X299" s="18" t="str">
        <x:v>0.8085060715675354</x:v>
      </x:c>
      <x:c r="Y299" s="18" t="str">
        <x:v>0.8308018445968628</x:v>
      </x:c>
      <x:c r="Z299" s="18" t="str">
        <x:v>0.870854914188385</x:v>
      </x:c>
      <x:c r="AA299" s="18" t="str">
        <x:v>0.9302018880844116</x:v>
      </x:c>
      <x:c r="AB299" s="20" t="str">
        <x:v>168.49320000619628</x:v>
      </x:c>
      <x:c r="AC299" s="12" t="str">
        <x:v>overlays\sad_048.png</x:v>
      </x:c>
      <x:c r="AD299" s="12" t="str"/>
      <x:c r="AE299" s="12" t="str"/>
      <x:c r="AF299" s="12" t="str">
        <x:v>acceptable</x:v>
      </x:c>
      <x:c r="AG299" s="12" t="n">
        <x:v>1</x:v>
      </x:c>
      <x:c r="AH299" s="12" t="str">
        <x:v>acceptable</x:v>
      </x:c>
      <x:c r="AI299" s="12" t="str">
        <x:v>acceptable</x:v>
      </x:c>
      <x:c r="AJ299" s="12" t="str">
        <x:v>acceptable</x:v>
      </x:c>
      <x:c r="AK299" s="12" t="str">
        <x:v>not_applicable</x:v>
      </x:c>
      <x:c r="AL299" s="12" t="str">
        <x:v>mild</x:v>
      </x:c>
      <x:c r="AM299" s="14" t="str">
        <x:v>Large pose or profile; visible landmarks remain useful, while hidden-side and contour points are inferred.</x:v>
      </x:c>
    </x:row>
    <x:row r="300" ht="28" customHeight="1">
      <x:c r="A300" s="12" t="str">
        <x:v>sad_049</x:v>
      </x:c>
      <x:c r="B300" s="12" t="str">
        <x:v>sad</x:v>
      </x:c>
      <x:c r="C300" s="14" t="str">
        <x:v>sad/Training_83779952.jpg</x:v>
      </x:c>
      <x:c r="D300" s="12" t="str">
        <x:v>fb962f56f3e82cdc28a3baa470345a3f2177e2d07eea793010dace486e702939</x:v>
      </x:c>
      <x:c r="E300" s="12" t="str">
        <x:v>fb962f56f3e82cdc28a3baa470345a3f2177e2d07eea793010dace486e702939</x:v>
      </x:c>
      <x:c r="F300" s="12" t="str">
        <x:v>True</x:v>
      </x:c>
      <x:c r="G300" s="12" t="str">
        <x:v>48</x:v>
      </x:c>
      <x:c r="H300" s="12" t="str">
        <x:v>48</x:v>
      </x:c>
      <x:c r="I300" s="12" t="str">
        <x:v>0.0</x:v>
      </x:c>
      <x:c r="J300" s="12" t="str">
        <x:v>0.0</x:v>
      </x:c>
      <x:c r="K300" s="12" t="str">
        <x:v>47.0</x:v>
      </x:c>
      <x:c r="L300" s="12" t="str">
        <x:v>47.0</x:v>
      </x:c>
      <x:c r="M300" s="12" t="str">
        <x:v>True</x:v>
      </x:c>
      <x:c r="N300" s="12" t="str">
        <x:v>68</x:v>
      </x:c>
      <x:c r="O300" s="12" t="str">
        <x:v>68</x:v>
      </x:c>
      <x:c r="P300" s="16" t="str">
        <x:v>1.0</x:v>
      </x:c>
      <x:c r="Q300" s="12" t="str">
        <x:v>67</x:v>
      </x:c>
      <x:c r="R300" s="16" t="str">
        <x:v>0.9852941176470589</x:v>
      </x:c>
      <x:c r="S300" s="12" t="str">
        <x:v>0.2</x:v>
      </x:c>
      <x:c r="T300" s="12" t="str">
        <x:v>68</x:v>
      </x:c>
      <x:c r="U300" s="16" t="str">
        <x:v>1.0</x:v>
      </x:c>
      <x:c r="V300" s="18" t="str">
        <x:v>0.6174108386039734</x:v>
      </x:c>
      <x:c r="W300" s="18" t="str">
        <x:v>0.66858811378479</x:v>
      </x:c>
      <x:c r="X300" s="18" t="str">
        <x:v>0.7574148178100586</x:v>
      </x:c>
      <x:c r="Y300" s="18" t="str">
        <x:v>0.7812178134918213</x:v>
      </x:c>
      <x:c r="Z300" s="18" t="str">
        <x:v>0.8136010587215423</x:v>
      </x:c>
      <x:c r="AA300" s="18" t="str">
        <x:v>0.8344425559043884</x:v>
      </x:c>
      <x:c r="AB300" s="20" t="str">
        <x:v>205.134600000747</x:v>
      </x:c>
      <x:c r="AC300" s="12" t="str">
        <x:v>overlays\sad_049.png</x:v>
      </x:c>
      <x:c r="AD300" s="12" t="str"/>
      <x:c r="AE300" s="12" t="str"/>
      <x:c r="AF300" s="12" t="str">
        <x:v>acceptable</x:v>
      </x:c>
      <x:c r="AG300" s="12" t="n">
        <x:v>1</x:v>
      </x:c>
      <x:c r="AH300" s="12" t="str">
        <x:v>acceptable</x:v>
      </x:c>
      <x:c r="AI300" s="12" t="str">
        <x:v>acceptable</x:v>
      </x:c>
      <x:c r="AJ300" s="12" t="str">
        <x:v>acceptable</x:v>
      </x:c>
      <x:c r="AK300" s="12" t="str">
        <x:v>not_applicable</x:v>
      </x:c>
      <x:c r="AL300" s="12" t="str">
        <x:v>mild</x:v>
      </x:c>
      <x:c r="AM300" s="14" t="str">
        <x:v>Large pose or profile; visible landmarks remain useful, while hidden-side and contour points are inferred.</x:v>
      </x:c>
    </x:row>
    <x:row r="301" ht="28" customHeight="1">
      <x:c r="A301" s="12" t="str">
        <x:v>sad_050</x:v>
      </x:c>
      <x:c r="B301" s="12" t="str">
        <x:v>sad</x:v>
      </x:c>
      <x:c r="C301" s="14" t="str">
        <x:v>sad/Training_33580964.jpg</x:v>
      </x:c>
      <x:c r="D301" s="12" t="str">
        <x:v>276745222dc19c4d03716d04a7a9ec3a82fa5f42448602ed0126310b613912f1</x:v>
      </x:c>
      <x:c r="E301" s="12" t="str">
        <x:v>276745222dc19c4d03716d04a7a9ec3a82fa5f42448602ed0126310b613912f1</x:v>
      </x:c>
      <x:c r="F301" s="12" t="str">
        <x:v>True</x:v>
      </x:c>
      <x:c r="G301" s="12" t="str">
        <x:v>48</x:v>
      </x:c>
      <x:c r="H301" s="12" t="str">
        <x:v>48</x:v>
      </x:c>
      <x:c r="I301" s="12" t="str">
        <x:v>0.0</x:v>
      </x:c>
      <x:c r="J301" s="12" t="str">
        <x:v>0.0</x:v>
      </x:c>
      <x:c r="K301" s="12" t="str">
        <x:v>47.0</x:v>
      </x:c>
      <x:c r="L301" s="12" t="str">
        <x:v>47.0</x:v>
      </x:c>
      <x:c r="M301" s="12" t="str">
        <x:v>True</x:v>
      </x:c>
      <x:c r="N301" s="12" t="str">
        <x:v>68</x:v>
      </x:c>
      <x:c r="O301" s="12" t="str">
        <x:v>68</x:v>
      </x:c>
      <x:c r="P301" s="16" t="str">
        <x:v>1.0</x:v>
      </x:c>
      <x:c r="Q301" s="12" t="str">
        <x:v>68</x:v>
      </x:c>
      <x:c r="R301" s="16" t="str">
        <x:v>1.0</x:v>
      </x:c>
      <x:c r="S301" s="12" t="str">
        <x:v>0.2</x:v>
      </x:c>
      <x:c r="T301" s="12" t="str">
        <x:v>66</x:v>
      </x:c>
      <x:c r="U301" s="16" t="str">
        <x:v>0.9705882352941176</x:v>
      </x:c>
      <x:c r="V301" s="18" t="str">
        <x:v>0.1674966812133789</x:v>
      </x:c>
      <x:c r="W301" s="18" t="str">
        <x:v>0.2893349677324295</x:v>
      </x:c>
      <x:c r="X301" s="18" t="str">
        <x:v>0.5382047891616821</x:v>
      </x:c>
      <x:c r="Y301" s="18" t="str">
        <x:v>0.579951286315918</x:v>
      </x:c>
      <x:c r="Z301" s="18" t="str">
        <x:v>0.6745222508907318</x:v>
      </x:c>
      <x:c r="AA301" s="18" t="str">
        <x:v>0.7183957695960999</x:v>
      </x:c>
      <x:c r="AB301" s="20" t="str">
        <x:v>155.6369999962044</x:v>
      </x:c>
      <x:c r="AC301" s="12" t="str">
        <x:v>overlays\sad_050.png</x:v>
      </x:c>
      <x:c r="AD301" s="12" t="str"/>
      <x:c r="AE301" s="12" t="str"/>
      <x:c r="AF301" s="12" t="str">
        <x:v>acceptable</x:v>
      </x:c>
      <x:c r="AG301" s="12" t="n">
        <x:v>1</x:v>
      </x:c>
      <x:c r="AH301" s="12" t="str">
        <x:v>acceptable</x:v>
      </x:c>
      <x:c r="AI301" s="12" t="str">
        <x:v>acceptable</x:v>
      </x:c>
      <x:c r="AJ301" s="12" t="str">
        <x:v>acceptable</x:v>
      </x:c>
      <x:c r="AK301" s="12" t="str">
        <x:v>acceptable</x:v>
      </x:c>
      <x:c r="AL301" s="12" t="str">
        <x:v>mild</x:v>
      </x:c>
      <x:c r="AM301" s="14" t="str">
        <x:v>Blur, low contrast, or unusual appearance lowers confidence, but the landmark geometry remains usable.</x:v>
      </x:c>
    </x:row>
    <x:row r="302" ht="28" customHeight="1">
      <x:c r="A302" s="12" t="str">
        <x:v>surprise_001</x:v>
      </x:c>
      <x:c r="B302" s="12" t="str">
        <x:v>surprise</x:v>
      </x:c>
      <x:c r="C302" s="14" t="str">
        <x:v>surprise/Training_31893733.jpg</x:v>
      </x:c>
      <x:c r="D302" s="12" t="str">
        <x:v>a56d5ac7a7e70fc2651ca58dc19f03bbddb2c67771cc2b6b2196163d212dca94</x:v>
      </x:c>
      <x:c r="E302" s="12" t="str">
        <x:v>a56d5ac7a7e70fc2651ca58dc19f03bbddb2c67771cc2b6b2196163d212dca94</x:v>
      </x:c>
      <x:c r="F302" s="12" t="str">
        <x:v>True</x:v>
      </x:c>
      <x:c r="G302" s="12" t="str">
        <x:v>48</x:v>
      </x:c>
      <x:c r="H302" s="12" t="str">
        <x:v>48</x:v>
      </x:c>
      <x:c r="I302" s="12" t="str">
        <x:v>0.0</x:v>
      </x:c>
      <x:c r="J302" s="12" t="str">
        <x:v>0.0</x:v>
      </x:c>
      <x:c r="K302" s="12" t="str">
        <x:v>47.0</x:v>
      </x:c>
      <x:c r="L302" s="12" t="str">
        <x:v>47.0</x:v>
      </x:c>
      <x:c r="M302" s="12" t="str">
        <x:v>True</x:v>
      </x:c>
      <x:c r="N302" s="12" t="str">
        <x:v>68</x:v>
      </x:c>
      <x:c r="O302" s="12" t="str">
        <x:v>68</x:v>
      </x:c>
      <x:c r="P302" s="16" t="str">
        <x:v>1.0</x:v>
      </x:c>
      <x:c r="Q302" s="12" t="str">
        <x:v>65</x:v>
      </x:c>
      <x:c r="R302" s="16" t="str">
        <x:v>0.9558823529411765</x:v>
      </x:c>
      <x:c r="S302" s="12" t="str">
        <x:v>0.2</x:v>
      </x:c>
      <x:c r="T302" s="12" t="str">
        <x:v>68</x:v>
      </x:c>
      <x:c r="U302" s="16" t="str">
        <x:v>1.0</x:v>
      </x:c>
      <x:c r="V302" s="18" t="str">
        <x:v>0.45752039551734924</x:v>
      </x:c>
      <x:c r="W302" s="18" t="str">
        <x:v>0.5477846384048461</x:v>
      </x:c>
      <x:c r="X302" s="18" t="str">
        <x:v>0.7255735397338867</x:v>
      </x:c>
      <x:c r="Y302" s="18" t="str">
        <x:v>0.7778666019439697</x:v>
      </x:c>
      <x:c r="Z302" s="18" t="str">
        <x:v>0.8261064469814301</x:v>
      </x:c>
      <x:c r="AA302" s="18" t="str">
        <x:v>0.860877275466919</x:v>
      </x:c>
      <x:c r="AB302" s="20" t="str">
        <x:v>197.40749999618856</x:v>
      </x:c>
      <x:c r="AC302" s="12" t="str">
        <x:v>overlays\surprise_001.png</x:v>
      </x:c>
      <x:c r="AD302" s="12" t="str"/>
      <x:c r="AE302" s="12" t="str"/>
      <x:c r="AF302" s="12" t="str">
        <x:v>acceptable</x:v>
      </x:c>
      <x:c r="AG302" s="12" t="n">
        <x:v>1</x:v>
      </x:c>
      <x:c r="AH302" s="12" t="str">
        <x:v>acceptable</x:v>
      </x:c>
      <x:c r="AI302" s="12" t="str">
        <x:v>acceptable</x:v>
      </x:c>
      <x:c r="AJ302" s="12" t="str">
        <x:v>acceptable</x:v>
      </x:c>
      <x:c r="AK302" s="12" t="str">
        <x:v>acceptable</x:v>
      </x:c>
      <x:c r="AL302" s="12" t="str">
        <x:v>mild</x:v>
      </x:c>
      <x:c r="AM302" s="14" t="str">
        <x:v>Moderate pose, crop, blur, or facial texture causes minor landmark uncertainty; the result remains usable.</x:v>
      </x:c>
    </x:row>
    <x:row r="303" ht="28" customHeight="1">
      <x:c r="A303" s="12" t="str">
        <x:v>surprise_002</x:v>
      </x:c>
      <x:c r="B303" s="12" t="str">
        <x:v>surprise</x:v>
      </x:c>
      <x:c r="C303" s="14" t="str">
        <x:v>surprise/Training_4473463.jpg</x:v>
      </x:c>
      <x:c r="D303" s="12" t="str">
        <x:v>de7344837ad48ec32ead92101ea3da797a2b47c309d7c4a42105cd5a459a5b7b</x:v>
      </x:c>
      <x:c r="E303" s="12" t="str">
        <x:v>de7344837ad48ec32ead92101ea3da797a2b47c309d7c4a42105cd5a459a5b7b</x:v>
      </x:c>
      <x:c r="F303" s="12" t="str">
        <x:v>True</x:v>
      </x:c>
      <x:c r="G303" s="12" t="str">
        <x:v>48</x:v>
      </x:c>
      <x:c r="H303" s="12" t="str">
        <x:v>48</x:v>
      </x:c>
      <x:c r="I303" s="12" t="str">
        <x:v>0.0</x:v>
      </x:c>
      <x:c r="J303" s="12" t="str">
        <x:v>0.0</x:v>
      </x:c>
      <x:c r="K303" s="12" t="str">
        <x:v>47.0</x:v>
      </x:c>
      <x:c r="L303" s="12" t="str">
        <x:v>47.0</x:v>
      </x:c>
      <x:c r="M303" s="12" t="str">
        <x:v>True</x:v>
      </x:c>
      <x:c r="N303" s="12" t="str">
        <x:v>68</x:v>
      </x:c>
      <x:c r="O303" s="12" t="str">
        <x:v>68</x:v>
      </x:c>
      <x:c r="P303" s="16" t="str">
        <x:v>1.0</x:v>
      </x:c>
      <x:c r="Q303" s="12" t="str">
        <x:v>68</x:v>
      </x:c>
      <x:c r="R303" s="16" t="str">
        <x:v>1.0</x:v>
      </x:c>
      <x:c r="S303" s="12" t="str">
        <x:v>0.2</x:v>
      </x:c>
      <x:c r="T303" s="12" t="str">
        <x:v>67</x:v>
      </x:c>
      <x:c r="U303" s="16" t="str">
        <x:v>0.9852941176470589</x:v>
      </x:c>
      <x:c r="V303" s="18" t="str">
        <x:v>0.14953874051570892</x:v>
      </x:c>
      <x:c r="W303" s="18" t="str">
        <x:v>0.3931932717561722</x:v>
      </x:c>
      <x:c r="X303" s="18" t="str">
        <x:v>0.6401515603065491</x:v>
      </x:c>
      <x:c r="Y303" s="18" t="str">
        <x:v>0.7022061347961426</x:v>
      </x:c>
      <x:c r="Z303" s="18" t="str">
        <x:v>0.7931604266166687</x:v>
      </x:c>
      <x:c r="AA303" s="18" t="str">
        <x:v>0.8123766183853149</x:v>
      </x:c>
      <x:c r="AB303" s="20" t="str">
        <x:v>187.85490000300342</x:v>
      </x:c>
      <x:c r="AC303" s="12" t="str">
        <x:v>overlays\surprise_002.png</x:v>
      </x:c>
      <x:c r="AD303" s="12" t="str"/>
      <x:c r="AE303" s="12" t="str"/>
      <x:c r="AF303" s="12" t="str">
        <x:v>acceptable</x:v>
      </x:c>
      <x:c r="AG303" s="12" t="n">
        <x:v>1</x:v>
      </x:c>
      <x:c r="AH303" s="12" t="str">
        <x:v>acceptable</x:v>
      </x:c>
      <x:c r="AI303" s="12" t="str">
        <x:v>acceptable</x:v>
      </x:c>
      <x:c r="AJ303" s="12" t="str">
        <x:v>occluded</x:v>
      </x:c>
      <x:c r="AK303" s="12" t="str">
        <x:v>acceptable</x:v>
      </x:c>
      <x:c r="AL303" s="12" t="str">
        <x:v>mild</x:v>
      </x:c>
      <x:c r="AM303" s="14" t="str">
        <x:v>Occlusion affects part of the face; visible landmarks remain usable, but hidden points are inferred.</x:v>
      </x:c>
    </x:row>
    <x:row r="304" ht="28" customHeight="1">
      <x:c r="A304" s="12" t="str">
        <x:v>surprise_003</x:v>
      </x:c>
      <x:c r="B304" s="12" t="str">
        <x:v>surprise</x:v>
      </x:c>
      <x:c r="C304" s="14" t="str">
        <x:v>surprise/Training_35123949.jpg</x:v>
      </x:c>
      <x:c r="D304" s="12" t="str">
        <x:v>dc6d180488b57e702b8c69b38d11a88cfeb02a16f35d49219338453a7ec116c7</x:v>
      </x:c>
      <x:c r="E304" s="12" t="str">
        <x:v>dc6d180488b57e702b8c69b38d11a88cfeb02a16f35d49219338453a7ec116c7</x:v>
      </x:c>
      <x:c r="F304" s="12" t="str">
        <x:v>True</x:v>
      </x:c>
      <x:c r="G304" s="12" t="str">
        <x:v>48</x:v>
      </x:c>
      <x:c r="H304" s="12" t="str">
        <x:v>48</x:v>
      </x:c>
      <x:c r="I304" s="12" t="str">
        <x:v>0.0</x:v>
      </x:c>
      <x:c r="J304" s="12" t="str">
        <x:v>0.0</x:v>
      </x:c>
      <x:c r="K304" s="12" t="str">
        <x:v>47.0</x:v>
      </x:c>
      <x:c r="L304" s="12" t="str">
        <x:v>47.0</x:v>
      </x:c>
      <x:c r="M304" s="12" t="str">
        <x:v>True</x:v>
      </x:c>
      <x:c r="N304" s="12" t="str">
        <x:v>68</x:v>
      </x:c>
      <x:c r="O304" s="12" t="str">
        <x:v>68</x:v>
      </x:c>
      <x:c r="P304" s="16" t="str">
        <x:v>1.0</x:v>
      </x:c>
      <x:c r="Q304" s="12" t="str">
        <x:v>68</x:v>
      </x:c>
      <x:c r="R304" s="16" t="str">
        <x:v>1.0</x:v>
      </x:c>
      <x:c r="S304" s="12" t="str">
        <x:v>0.2</x:v>
      </x:c>
      <x:c r="T304" s="12" t="str">
        <x:v>68</x:v>
      </x:c>
      <x:c r="U304" s="16" t="str">
        <x:v>1.0</x:v>
      </x:c>
      <x:c r="V304" s="18" t="str">
        <x:v>0.6053173542022705</x:v>
      </x:c>
      <x:c r="W304" s="18" t="str">
        <x:v>0.7403828144073487</x:v>
      </x:c>
      <x:c r="X304" s="18" t="str">
        <x:v>0.8110316395759583</x:v>
      </x:c>
      <x:c r="Y304" s="18" t="str">
        <x:v>0.8227918148040771</x:v>
      </x:c>
      <x:c r="Z304" s="18" t="str">
        <x:v>0.8609956502914429</x:v>
      </x:c>
      <x:c r="AA304" s="18" t="str">
        <x:v>0.9291971325874329</x:v>
      </x:c>
      <x:c r="AB304" s="20" t="str">
        <x:v>160.75529999943683</x:v>
      </x:c>
      <x:c r="AC304" s="12" t="str">
        <x:v>overlays\surprise_003.png</x:v>
      </x:c>
      <x:c r="AD304" s="12" t="str"/>
      <x:c r="AE304" s="12" t="str"/>
      <x:c r="AF304" s="12" t="str">
        <x:v>good</x:v>
      </x:c>
      <x:c r="AG304" s="12" t="n">
        <x:v>1</x:v>
      </x:c>
      <x:c r="AH304" s="12" t="str">
        <x:v>good</x:v>
      </x:c>
      <x:c r="AI304" s="12" t="str">
        <x:v>good</x:v>
      </x:c>
      <x:c r="AJ304" s="12" t="str">
        <x:v>good</x:v>
      </x:c>
      <x:c r="AK304" s="12" t="str">
        <x:v>good</x:v>
      </x:c>
      <x:c r="AL304" s="12" t="str">
        <x:v>none</x:v>
      </x:c>
      <x:c r="AM304" s="14" t="str">
        <x:v>Clear and well-aligned facial landmarks with no major pose, crop, or occlusion issue.</x:v>
      </x:c>
    </x:row>
    <x:row r="305" ht="28" customHeight="1">
      <x:c r="A305" s="12" t="str">
        <x:v>surprise_004</x:v>
      </x:c>
      <x:c r="B305" s="12" t="str">
        <x:v>surprise</x:v>
      </x:c>
      <x:c r="C305" s="14" t="str">
        <x:v>surprise/Training_16805119.jpg</x:v>
      </x:c>
      <x:c r="D305" s="12" t="str">
        <x:v>a1f089ea13c1d979d734cd78ba84cd6e43c450f489a6d93bdabb7c15a19ea22d</x:v>
      </x:c>
      <x:c r="E305" s="12" t="str">
        <x:v>a1f089ea13c1d979d734cd78ba84cd6e43c450f489a6d93bdabb7c15a19ea22d</x:v>
      </x:c>
      <x:c r="F305" s="12" t="str">
        <x:v>True</x:v>
      </x:c>
      <x:c r="G305" s="12" t="str">
        <x:v>48</x:v>
      </x:c>
      <x:c r="H305" s="12" t="str">
        <x:v>48</x:v>
      </x:c>
      <x:c r="I305" s="12" t="str">
        <x:v>0.0</x:v>
      </x:c>
      <x:c r="J305" s="12" t="str">
        <x:v>0.0</x:v>
      </x:c>
      <x:c r="K305" s="12" t="str">
        <x:v>47.0</x:v>
      </x:c>
      <x:c r="L305" s="12" t="str">
        <x:v>47.0</x:v>
      </x:c>
      <x:c r="M305" s="12" t="str">
        <x:v>True</x:v>
      </x:c>
      <x:c r="N305" s="12" t="str">
        <x:v>68</x:v>
      </x:c>
      <x:c r="O305" s="12" t="str">
        <x:v>68</x:v>
      </x:c>
      <x:c r="P305" s="16" t="str">
        <x:v>1.0</x:v>
      </x:c>
      <x:c r="Q305" s="12" t="str">
        <x:v>68</x:v>
      </x:c>
      <x:c r="R305" s="16" t="str">
        <x:v>1.0</x:v>
      </x:c>
      <x:c r="S305" s="12" t="str">
        <x:v>0.2</x:v>
      </x:c>
      <x:c r="T305" s="12" t="str">
        <x:v>68</x:v>
      </x:c>
      <x:c r="U305" s="16" t="str">
        <x:v>1.0</x:v>
      </x:c>
      <x:c r="V305" s="18" t="str">
        <x:v>0.6936532855033875</x:v>
      </x:c>
      <x:c r="W305" s="18" t="str">
        <x:v>0.7700343728065491</x:v>
      </x:c>
      <x:c r="X305" s="18" t="str">
        <x:v>0.8288481831550598</x:v>
      </x:c>
      <x:c r="Y305" s="18" t="str">
        <x:v>0.8310348987579346</x:v>
      </x:c>
      <x:c r="Z305" s="18" t="str">
        <x:v>0.8803903579711914</x:v>
      </x:c>
      <x:c r="AA305" s="18" t="str">
        <x:v>0.9088919758796692</x:v>
      </x:c>
      <x:c r="AB305" s="20" t="str">
        <x:v>178.25640000228304</x:v>
      </x:c>
      <x:c r="AC305" s="12" t="str">
        <x:v>overlays\surprise_004.png</x:v>
      </x:c>
      <x:c r="AD305" s="12" t="str"/>
      <x:c r="AE305" s="12" t="str"/>
      <x:c r="AF305" s="12" t="str">
        <x:v>good</x:v>
      </x:c>
      <x:c r="AG305" s="12" t="n">
        <x:v>1</x:v>
      </x:c>
      <x:c r="AH305" s="12" t="str">
        <x:v>good</x:v>
      </x:c>
      <x:c r="AI305" s="12" t="str">
        <x:v>good</x:v>
      </x:c>
      <x:c r="AJ305" s="12" t="str">
        <x:v>good</x:v>
      </x:c>
      <x:c r="AK305" s="12" t="str">
        <x:v>good</x:v>
      </x:c>
      <x:c r="AL305" s="12" t="str">
        <x:v>none</x:v>
      </x:c>
      <x:c r="AM305" s="14" t="str">
        <x:v>Clear and well-aligned facial landmarks with no major pose, crop, or occlusion issue.</x:v>
      </x:c>
    </x:row>
    <x:row r="306" ht="28" customHeight="1">
      <x:c r="A306" s="12" t="str">
        <x:v>surprise_005</x:v>
      </x:c>
      <x:c r="B306" s="12" t="str">
        <x:v>surprise</x:v>
      </x:c>
      <x:c r="C306" s="14" t="str">
        <x:v>surprise/Training_76520230.jpg</x:v>
      </x:c>
      <x:c r="D306" s="12" t="str">
        <x:v>00f273bd125947b5926072f4f30ac04560ab8a175482f0ad2916ed9335d9edda</x:v>
      </x:c>
      <x:c r="E306" s="12" t="str">
        <x:v>00f273bd125947b5926072f4f30ac04560ab8a175482f0ad2916ed9335d9edda</x:v>
      </x:c>
      <x:c r="F306" s="12" t="str">
        <x:v>True</x:v>
      </x:c>
      <x:c r="G306" s="12" t="str">
        <x:v>48</x:v>
      </x:c>
      <x:c r="H306" s="12" t="str">
        <x:v>48</x:v>
      </x:c>
      <x:c r="I306" s="12" t="str">
        <x:v>0.0</x:v>
      </x:c>
      <x:c r="J306" s="12" t="str">
        <x:v>0.0</x:v>
      </x:c>
      <x:c r="K306" s="12" t="str">
        <x:v>47.0</x:v>
      </x:c>
      <x:c r="L306" s="12" t="str">
        <x:v>47.0</x:v>
      </x:c>
      <x:c r="M306" s="12" t="str">
        <x:v>True</x:v>
      </x:c>
      <x:c r="N306" s="12" t="str">
        <x:v>68</x:v>
      </x:c>
      <x:c r="O306" s="12" t="str">
        <x:v>68</x:v>
      </x:c>
      <x:c r="P306" s="16" t="str">
        <x:v>1.0</x:v>
      </x:c>
      <x:c r="Q306" s="12" t="str">
        <x:v>67</x:v>
      </x:c>
      <x:c r="R306" s="16" t="str">
        <x:v>0.9852941176470589</x:v>
      </x:c>
      <x:c r="S306" s="12" t="str">
        <x:v>0.2</x:v>
      </x:c>
      <x:c r="T306" s="12" t="str">
        <x:v>68</x:v>
      </x:c>
      <x:c r="U306" s="16" t="str">
        <x:v>1.0</x:v>
      </x:c>
      <x:c r="V306" s="18" t="str">
        <x:v>0.2433551549911499</x:v>
      </x:c>
      <x:c r="W306" s="18" t="str">
        <x:v>0.4886395066976547</x:v>
      </x:c>
      <x:c r="X306" s="18" t="str">
        <x:v>0.7108805775642395</x:v>
      </x:c>
      <x:c r="Y306" s="18" t="str">
        <x:v>0.7635045051574707</x:v>
      </x:c>
      <x:c r="Z306" s="18" t="str">
        <x:v>0.8271009683609009</x:v>
      </x:c>
      <x:c r="AA306" s="18" t="str">
        <x:v>0.8806054592132568</x:v>
      </x:c>
      <x:c r="AB306" s="20" t="str">
        <x:v>217.30559999559773</x:v>
      </x:c>
      <x:c r="AC306" s="12" t="str">
        <x:v>overlays\surprise_005.png</x:v>
      </x:c>
      <x:c r="AD306" s="12" t="str"/>
      <x:c r="AE306" s="12" t="str"/>
      <x:c r="AF306" s="12" t="str">
        <x:v>good</x:v>
      </x:c>
      <x:c r="AG306" s="12" t="n">
        <x:v>1</x:v>
      </x:c>
      <x:c r="AH306" s="12" t="str">
        <x:v>good</x:v>
      </x:c>
      <x:c r="AI306" s="12" t="str">
        <x:v>good</x:v>
      </x:c>
      <x:c r="AJ306" s="12" t="str">
        <x:v>good</x:v>
      </x:c>
      <x:c r="AK306" s="12" t="str">
        <x:v>good</x:v>
      </x:c>
      <x:c r="AL306" s="12" t="str">
        <x:v>none</x:v>
      </x:c>
      <x:c r="AM306" s="14" t="str">
        <x:v>Clear and well-aligned facial landmarks with no major pose, crop, or occlusion issue.</x:v>
      </x:c>
    </x:row>
    <x:row r="307" ht="28" customHeight="1">
      <x:c r="A307" s="12" t="str">
        <x:v>surprise_006</x:v>
      </x:c>
      <x:c r="B307" s="12" t="str">
        <x:v>surprise</x:v>
      </x:c>
      <x:c r="C307" s="14" t="str">
        <x:v>surprise/Training_95558533.jpg</x:v>
      </x:c>
      <x:c r="D307" s="12" t="str">
        <x:v>88257cf0d595df3cab8af92213bae78f9de75c71525925759caa7d5c352814e7</x:v>
      </x:c>
      <x:c r="E307" s="12" t="str">
        <x:v>88257cf0d595df3cab8af92213bae78f9de75c71525925759caa7d5c352814e7</x:v>
      </x:c>
      <x:c r="F307" s="12" t="str">
        <x:v>True</x:v>
      </x:c>
      <x:c r="G307" s="12" t="str">
        <x:v>48</x:v>
      </x:c>
      <x:c r="H307" s="12" t="str">
        <x:v>48</x:v>
      </x:c>
      <x:c r="I307" s="12" t="str">
        <x:v>0.0</x:v>
      </x:c>
      <x:c r="J307" s="12" t="str">
        <x:v>0.0</x:v>
      </x:c>
      <x:c r="K307" s="12" t="str">
        <x:v>47.0</x:v>
      </x:c>
      <x:c r="L307" s="12" t="str">
        <x:v>47.0</x:v>
      </x:c>
      <x:c r="M307" s="12" t="str">
        <x:v>True</x:v>
      </x:c>
      <x:c r="N307" s="12" t="str">
        <x:v>68</x:v>
      </x:c>
      <x:c r="O307" s="12" t="str">
        <x:v>68</x:v>
      </x:c>
      <x:c r="P307" s="16" t="str">
        <x:v>1.0</x:v>
      </x:c>
      <x:c r="Q307" s="12" t="str">
        <x:v>59</x:v>
      </x:c>
      <x:c r="R307" s="16" t="str">
        <x:v>0.8676470588235294</x:v>
      </x:c>
      <x:c r="S307" s="12" t="str">
        <x:v>0.2</x:v>
      </x:c>
      <x:c r="T307" s="12" t="str">
        <x:v>68</x:v>
      </x:c>
      <x:c r="U307" s="16" t="str">
        <x:v>1.0</x:v>
      </x:c>
      <x:c r="V307" s="18" t="str">
        <x:v>0.6820316910743713</x:v>
      </x:c>
      <x:c r="W307" s="18" t="str">
        <x:v>0.7192244708538056</x:v>
      </x:c>
      <x:c r="X307" s="18" t="str">
        <x:v>0.8216357231140137</x:v>
      </x:c>
      <x:c r="Y307" s="18" t="str">
        <x:v>0.8418960571289062</x:v>
      </x:c>
      <x:c r="Z307" s="18" t="str">
        <x:v>0.8727332472801208</x:v>
      </x:c>
      <x:c r="AA307" s="18" t="str">
        <x:v>0.9042184948921204</x:v>
      </x:c>
      <x:c r="AB307" s="20" t="str">
        <x:v>156.35179999662796</x:v>
      </x:c>
      <x:c r="AC307" s="12" t="str">
        <x:v>overlays\surprise_006.png</x:v>
      </x:c>
      <x:c r="AD307" s="12" t="str"/>
      <x:c r="AE307" s="12" t="str"/>
      <x:c r="AF307" s="12" t="str">
        <x:v>acceptable</x:v>
      </x:c>
      <x:c r="AG307" s="12" t="n">
        <x:v>1</x:v>
      </x:c>
      <x:c r="AH307" s="12" t="str">
        <x:v>acceptable</x:v>
      </x:c>
      <x:c r="AI307" s="12" t="str">
        <x:v>acceptable</x:v>
      </x:c>
      <x:c r="AJ307" s="12" t="str">
        <x:v>acceptable</x:v>
      </x:c>
      <x:c r="AK307" s="12" t="str">
        <x:v>acceptable</x:v>
      </x:c>
      <x:c r="AL307" s="12" t="str">
        <x:v>mild</x:v>
      </x:c>
      <x:c r="AM307" s="14" t="str">
        <x:v>Tight crop places several contour points outside the frame; central facial landmarks remain usable.</x:v>
      </x:c>
    </x:row>
    <x:row r="308" ht="28" customHeight="1">
      <x:c r="A308" s="12" t="str">
        <x:v>surprise_007</x:v>
      </x:c>
      <x:c r="B308" s="12" t="str">
        <x:v>surprise</x:v>
      </x:c>
      <x:c r="C308" s="14" t="str">
        <x:v>surprise/Training_72622725.jpg</x:v>
      </x:c>
      <x:c r="D308" s="12" t="str">
        <x:v>dfcfee3b43222694ab037054a733dcab425118aeb831787de3f71174e1feb001</x:v>
      </x:c>
      <x:c r="E308" s="12" t="str">
        <x:v>dfcfee3b43222694ab037054a733dcab425118aeb831787de3f71174e1feb001</x:v>
      </x:c>
      <x:c r="F308" s="12" t="str">
        <x:v>True</x:v>
      </x:c>
      <x:c r="G308" s="12" t="str">
        <x:v>48</x:v>
      </x:c>
      <x:c r="H308" s="12" t="str">
        <x:v>48</x:v>
      </x:c>
      <x:c r="I308" s="12" t="str">
        <x:v>0.0</x:v>
      </x:c>
      <x:c r="J308" s="12" t="str">
        <x:v>0.0</x:v>
      </x:c>
      <x:c r="K308" s="12" t="str">
        <x:v>47.0</x:v>
      </x:c>
      <x:c r="L308" s="12" t="str">
        <x:v>47.0</x:v>
      </x:c>
      <x:c r="M308" s="12" t="str">
        <x:v>True</x:v>
      </x:c>
      <x:c r="N308" s="12" t="str">
        <x:v>68</x:v>
      </x:c>
      <x:c r="O308" s="12" t="str">
        <x:v>68</x:v>
      </x:c>
      <x:c r="P308" s="16" t="str">
        <x:v>1.0</x:v>
      </x:c>
      <x:c r="Q308" s="12" t="str">
        <x:v>64</x:v>
      </x:c>
      <x:c r="R308" s="16" t="str">
        <x:v>0.9411764705882353</x:v>
      </x:c>
      <x:c r="S308" s="12" t="str">
        <x:v>0.2</x:v>
      </x:c>
      <x:c r="T308" s="12" t="str">
        <x:v>68</x:v>
      </x:c>
      <x:c r="U308" s="16" t="str">
        <x:v>1.0</x:v>
      </x:c>
      <x:c r="V308" s="18" t="str">
        <x:v>0.7294204831123352</x:v>
      </x:c>
      <x:c r="W308" s="18" t="str">
        <x:v>0.7670372903347016</x:v>
      </x:c>
      <x:c r="X308" s="18" t="str">
        <x:v>0.8281068205833435</x:v>
      </x:c>
      <x:c r="Y308" s="18" t="str">
        <x:v>0.8326059579849243</x:v>
      </x:c>
      <x:c r="Z308" s="18" t="str">
        <x:v>0.8771981179714203</x:v>
      </x:c>
      <x:c r="AA308" s="18" t="str">
        <x:v>0.9020481109619141</x:v>
      </x:c>
      <x:c r="AB308" s="20" t="str">
        <x:v>173.40100000001257</x:v>
      </x:c>
      <x:c r="AC308" s="12" t="str">
        <x:v>overlays\surprise_007.png</x:v>
      </x:c>
      <x:c r="AD308" s="12" t="str"/>
      <x:c r="AE308" s="12" t="str"/>
      <x:c r="AF308" s="12" t="str">
        <x:v>acceptable</x:v>
      </x:c>
      <x:c r="AG308" s="12" t="n">
        <x:v>1</x:v>
      </x:c>
      <x:c r="AH308" s="12" t="str">
        <x:v>acceptable</x:v>
      </x:c>
      <x:c r="AI308" s="12" t="str">
        <x:v>acceptable</x:v>
      </x:c>
      <x:c r="AJ308" s="12" t="str">
        <x:v>acceptable</x:v>
      </x:c>
      <x:c r="AK308" s="12" t="str">
        <x:v>acceptable</x:v>
      </x:c>
      <x:c r="AL308" s="12" t="str">
        <x:v>mild</x:v>
      </x:c>
      <x:c r="AM308" s="14" t="str">
        <x:v>Moderate pose, crop, blur, or facial texture causes minor landmark uncertainty; the result remains usable.</x:v>
      </x:c>
    </x:row>
    <x:row r="309" ht="28" customHeight="1">
      <x:c r="A309" s="12" t="str">
        <x:v>surprise_008</x:v>
      </x:c>
      <x:c r="B309" s="12" t="str">
        <x:v>surprise</x:v>
      </x:c>
      <x:c r="C309" s="14" t="str">
        <x:v>surprise/Training_17108365.jpg</x:v>
      </x:c>
      <x:c r="D309" s="12" t="str">
        <x:v>a6ad2426e4698e9a1376d0af3ef4d66d0606b75ab66d34645b6f7cae9ce1e57d</x:v>
      </x:c>
      <x:c r="E309" s="12" t="str">
        <x:v>a6ad2426e4698e9a1376d0af3ef4d66d0606b75ab66d34645b6f7cae9ce1e57d</x:v>
      </x:c>
      <x:c r="F309" s="12" t="str">
        <x:v>True</x:v>
      </x:c>
      <x:c r="G309" s="12" t="str">
        <x:v>48</x:v>
      </x:c>
      <x:c r="H309" s="12" t="str">
        <x:v>48</x:v>
      </x:c>
      <x:c r="I309" s="12" t="str">
        <x:v>0.0</x:v>
      </x:c>
      <x:c r="J309" s="12" t="str">
        <x:v>0.0</x:v>
      </x:c>
      <x:c r="K309" s="12" t="str">
        <x:v>47.0</x:v>
      </x:c>
      <x:c r="L309" s="12" t="str">
        <x:v>47.0</x:v>
      </x:c>
      <x:c r="M309" s="12" t="str">
        <x:v>True</x:v>
      </x:c>
      <x:c r="N309" s="12" t="str">
        <x:v>68</x:v>
      </x:c>
      <x:c r="O309" s="12" t="str">
        <x:v>68</x:v>
      </x:c>
      <x:c r="P309" s="16" t="str">
        <x:v>1.0</x:v>
      </x:c>
      <x:c r="Q309" s="12" t="str">
        <x:v>68</x:v>
      </x:c>
      <x:c r="R309" s="16" t="str">
        <x:v>1.0</x:v>
      </x:c>
      <x:c r="S309" s="12" t="str">
        <x:v>0.2</x:v>
      </x:c>
      <x:c r="T309" s="12" t="str">
        <x:v>66</x:v>
      </x:c>
      <x:c r="U309" s="16" t="str">
        <x:v>0.9705882352941176</x:v>
      </x:c>
      <x:c r="V309" s="18" t="str">
        <x:v>0.09740053862333298</x:v>
      </x:c>
      <x:c r="W309" s="18" t="str">
        <x:v>0.42318867444992064</x:v>
      </x:c>
      <x:c r="X309" s="18" t="str">
        <x:v>0.6617763638496399</x:v>
      </x:c>
      <x:c r="Y309" s="18" t="str">
        <x:v>0.7425947189331055</x:v>
      </x:c>
      <x:c r="Z309" s="18" t="str">
        <x:v>0.8213448226451874</x:v>
      </x:c>
      <x:c r="AA309" s="18" t="str">
        <x:v>0.875362753868103</x:v>
      </x:c>
      <x:c r="AB309" s="20" t="str">
        <x:v>151.6194999931031</x:v>
      </x:c>
      <x:c r="AC309" s="12" t="str">
        <x:v>overlays\surprise_008.png</x:v>
      </x:c>
      <x:c r="AD309" s="12" t="str"/>
      <x:c r="AE309" s="12" t="str"/>
      <x:c r="AF309" s="12" t="str">
        <x:v>acceptable</x:v>
      </x:c>
      <x:c r="AG309" s="12" t="n">
        <x:v>1</x:v>
      </x:c>
      <x:c r="AH309" s="12" t="str">
        <x:v>acceptable</x:v>
      </x:c>
      <x:c r="AI309" s="12" t="str">
        <x:v>acceptable</x:v>
      </x:c>
      <x:c r="AJ309" s="12" t="str">
        <x:v>acceptable</x:v>
      </x:c>
      <x:c r="AK309" s="12" t="str">
        <x:v>acceptable</x:v>
      </x:c>
      <x:c r="AL309" s="12" t="str">
        <x:v>mild</x:v>
      </x:c>
      <x:c r="AM309" s="14" t="str">
        <x:v>Moderate pose, crop, blur, or facial texture causes minor landmark uncertainty; the result remains usable.</x:v>
      </x:c>
    </x:row>
    <x:row r="310" ht="28" customHeight="1">
      <x:c r="A310" s="12" t="str">
        <x:v>surprise_009</x:v>
      </x:c>
      <x:c r="B310" s="12" t="str">
        <x:v>surprise</x:v>
      </x:c>
      <x:c r="C310" s="14" t="str">
        <x:v>surprise/Training_97149632.jpg</x:v>
      </x:c>
      <x:c r="D310" s="12" t="str">
        <x:v>05dc63050306754ae85b353d933ba805e4acb3215c5a17606d99f660ac1e3049</x:v>
      </x:c>
      <x:c r="E310" s="12" t="str">
        <x:v>05dc63050306754ae85b353d933ba805e4acb3215c5a17606d99f660ac1e3049</x:v>
      </x:c>
      <x:c r="F310" s="12" t="str">
        <x:v>True</x:v>
      </x:c>
      <x:c r="G310" s="12" t="str">
        <x:v>48</x:v>
      </x:c>
      <x:c r="H310" s="12" t="str">
        <x:v>48</x:v>
      </x:c>
      <x:c r="I310" s="12" t="str">
        <x:v>0.0</x:v>
      </x:c>
      <x:c r="J310" s="12" t="str">
        <x:v>0.0</x:v>
      </x:c>
      <x:c r="K310" s="12" t="str">
        <x:v>47.0</x:v>
      </x:c>
      <x:c r="L310" s="12" t="str">
        <x:v>47.0</x:v>
      </x:c>
      <x:c r="M310" s="12" t="str">
        <x:v>True</x:v>
      </x:c>
      <x:c r="N310" s="12" t="str">
        <x:v>68</x:v>
      </x:c>
      <x:c r="O310" s="12" t="str">
        <x:v>68</x:v>
      </x:c>
      <x:c r="P310" s="16" t="str">
        <x:v>1.0</x:v>
      </x:c>
      <x:c r="Q310" s="12" t="str">
        <x:v>65</x:v>
      </x:c>
      <x:c r="R310" s="16" t="str">
        <x:v>0.9558823529411765</x:v>
      </x:c>
      <x:c r="S310" s="12" t="str">
        <x:v>0.2</x:v>
      </x:c>
      <x:c r="T310" s="12" t="str">
        <x:v>68</x:v>
      </x:c>
      <x:c r="U310" s="16" t="str">
        <x:v>1.0</x:v>
      </x:c>
      <x:c r="V310" s="18" t="str">
        <x:v>0.6794944405555725</x:v>
      </x:c>
      <x:c r="W310" s="18" t="str">
        <x:v>0.7548556685447693</x:v>
      </x:c>
      <x:c r="X310" s="18" t="str">
        <x:v>0.824821949005127</x:v>
      </x:c>
      <x:c r="Y310" s="18" t="str">
        <x:v>0.8416897058486938</x:v>
      </x:c>
      <x:c r="Z310" s="18" t="str">
        <x:v>0.8768511891365052</x:v>
      </x:c>
      <x:c r="AA310" s="18" t="str">
        <x:v>0.9257996082305908</x:v>
      </x:c>
      <x:c r="AB310" s="20" t="str">
        <x:v>151.2217999988934</x:v>
      </x:c>
      <x:c r="AC310" s="12" t="str">
        <x:v>overlays\surprise_009.png</x:v>
      </x:c>
      <x:c r="AD310" s="12" t="str"/>
      <x:c r="AE310" s="12" t="str"/>
      <x:c r="AF310" s="12" t="str">
        <x:v>good</x:v>
      </x:c>
      <x:c r="AG310" s="12" t="n">
        <x:v>1</x:v>
      </x:c>
      <x:c r="AH310" s="12" t="str">
        <x:v>good</x:v>
      </x:c>
      <x:c r="AI310" s="12" t="str">
        <x:v>good</x:v>
      </x:c>
      <x:c r="AJ310" s="12" t="str">
        <x:v>good</x:v>
      </x:c>
      <x:c r="AK310" s="12" t="str">
        <x:v>good</x:v>
      </x:c>
      <x:c r="AL310" s="12" t="str">
        <x:v>none</x:v>
      </x:c>
      <x:c r="AM310" s="14" t="str">
        <x:v>Clear and well-aligned facial landmarks with no major pose, crop, or occlusion issue.</x:v>
      </x:c>
    </x:row>
    <x:row r="311" ht="28" customHeight="1">
      <x:c r="A311" s="12" t="str">
        <x:v>surprise_010</x:v>
      </x:c>
      <x:c r="B311" s="12" t="str">
        <x:v>surprise</x:v>
      </x:c>
      <x:c r="C311" s="14" t="str">
        <x:v>surprise/Training_46829487.jpg</x:v>
      </x:c>
      <x:c r="D311" s="12" t="str">
        <x:v>a61ce0969cd32aa8b61a82651b72ea9ea24f695937ef76a34a88f3fafd4084b2</x:v>
      </x:c>
      <x:c r="E311" s="12" t="str">
        <x:v>a61ce0969cd32aa8b61a82651b72ea9ea24f695937ef76a34a88f3fafd4084b2</x:v>
      </x:c>
      <x:c r="F311" s="12" t="str">
        <x:v>True</x:v>
      </x:c>
      <x:c r="G311" s="12" t="str">
        <x:v>48</x:v>
      </x:c>
      <x:c r="H311" s="12" t="str">
        <x:v>48</x:v>
      </x:c>
      <x:c r="I311" s="12" t="str">
        <x:v>0.0</x:v>
      </x:c>
      <x:c r="J311" s="12" t="str">
        <x:v>0.0</x:v>
      </x:c>
      <x:c r="K311" s="12" t="str">
        <x:v>47.0</x:v>
      </x:c>
      <x:c r="L311" s="12" t="str">
        <x:v>47.0</x:v>
      </x:c>
      <x:c r="M311" s="12" t="str">
        <x:v>True</x:v>
      </x:c>
      <x:c r="N311" s="12" t="str">
        <x:v>68</x:v>
      </x:c>
      <x:c r="O311" s="12" t="str">
        <x:v>68</x:v>
      </x:c>
      <x:c r="P311" s="16" t="str">
        <x:v>1.0</x:v>
      </x:c>
      <x:c r="Q311" s="12" t="str">
        <x:v>68</x:v>
      </x:c>
      <x:c r="R311" s="16" t="str">
        <x:v>1.0</x:v>
      </x:c>
      <x:c r="S311" s="12" t="str">
        <x:v>0.2</x:v>
      </x:c>
      <x:c r="T311" s="12" t="str">
        <x:v>68</x:v>
      </x:c>
      <x:c r="U311" s="16" t="str">
        <x:v>1.0</x:v>
      </x:c>
      <x:c r="V311" s="18" t="str">
        <x:v>0.48318934440612793</x:v>
      </x:c>
      <x:c r="W311" s="18" t="str">
        <x:v>0.7096528708934784</x:v>
      </x:c>
      <x:c r="X311" s="18" t="str">
        <x:v>0.7995964288711548</x:v>
      </x:c>
      <x:c r="Y311" s="18" t="str">
        <x:v>0.8212748169898987</x:v>
      </x:c>
      <x:c r="Z311" s="18" t="str">
        <x:v>0.8522303640842438</x:v>
      </x:c>
      <x:c r="AA311" s="18" t="str">
        <x:v>0.8908734917640686</x:v>
      </x:c>
      <x:c r="AB311" s="20" t="str">
        <x:v>155.4173999975319</x:v>
      </x:c>
      <x:c r="AC311" s="12" t="str">
        <x:v>overlays\surprise_010.png</x:v>
      </x:c>
      <x:c r="AD311" s="12" t="str"/>
      <x:c r="AE311" s="12" t="str"/>
      <x:c r="AF311" s="12" t="str">
        <x:v>acceptable</x:v>
      </x:c>
      <x:c r="AG311" s="12" t="n">
        <x:v>1</x:v>
      </x:c>
      <x:c r="AH311" s="12" t="str">
        <x:v>acceptable</x:v>
      </x:c>
      <x:c r="AI311" s="12" t="str">
        <x:v>acceptable</x:v>
      </x:c>
      <x:c r="AJ311" s="12" t="str">
        <x:v>acceptable</x:v>
      </x:c>
      <x:c r="AK311" s="12" t="str">
        <x:v>not_applicable</x:v>
      </x:c>
      <x:c r="AL311" s="12" t="str">
        <x:v>mild</x:v>
      </x:c>
      <x:c r="AM311" s="14" t="str">
        <x:v>Moderate pose, crop, blur, or facial texture causes minor landmark uncertainty; the result remains usable.</x:v>
      </x:c>
    </x:row>
    <x:row r="312" ht="28" customHeight="1">
      <x:c r="A312" s="12" t="str">
        <x:v>surprise_011</x:v>
      </x:c>
      <x:c r="B312" s="12" t="str">
        <x:v>surprise</x:v>
      </x:c>
      <x:c r="C312" s="14" t="str">
        <x:v>surprise/Training_16672930.jpg</x:v>
      </x:c>
      <x:c r="D312" s="12" t="str">
        <x:v>b11d93d598e2de22cf3090af16b63009fc2f90cb55067a49a0ab372d02622166</x:v>
      </x:c>
      <x:c r="E312" s="12" t="str">
        <x:v>b11d93d598e2de22cf3090af16b63009fc2f90cb55067a49a0ab372d02622166</x:v>
      </x:c>
      <x:c r="F312" s="12" t="str">
        <x:v>True</x:v>
      </x:c>
      <x:c r="G312" s="12" t="str">
        <x:v>48</x:v>
      </x:c>
      <x:c r="H312" s="12" t="str">
        <x:v>48</x:v>
      </x:c>
      <x:c r="I312" s="12" t="str">
        <x:v>0.0</x:v>
      </x:c>
      <x:c r="J312" s="12" t="str">
        <x:v>0.0</x:v>
      </x:c>
      <x:c r="K312" s="12" t="str">
        <x:v>47.0</x:v>
      </x:c>
      <x:c r="L312" s="12" t="str">
        <x:v>47.0</x:v>
      </x:c>
      <x:c r="M312" s="12" t="str">
        <x:v>True</x:v>
      </x:c>
      <x:c r="N312" s="12" t="str">
        <x:v>68</x:v>
      </x:c>
      <x:c r="O312" s="12" t="str">
        <x:v>68</x:v>
      </x:c>
      <x:c r="P312" s="16" t="str">
        <x:v>1.0</x:v>
      </x:c>
      <x:c r="Q312" s="12" t="str">
        <x:v>68</x:v>
      </x:c>
      <x:c r="R312" s="16" t="str">
        <x:v>1.0</x:v>
      </x:c>
      <x:c r="S312" s="12" t="str">
        <x:v>0.2</x:v>
      </x:c>
      <x:c r="T312" s="12" t="str">
        <x:v>68</x:v>
      </x:c>
      <x:c r="U312" s="16" t="str">
        <x:v>1.0</x:v>
      </x:c>
      <x:c r="V312" s="18" t="str">
        <x:v>0.5632604956626892</x:v>
      </x:c>
      <x:c r="W312" s="18" t="str">
        <x:v>0.7132188737392425</x:v>
      </x:c>
      <x:c r="X312" s="18" t="str">
        <x:v>0.8037400245666504</x:v>
      </x:c>
      <x:c r="Y312" s="18" t="str">
        <x:v>0.8211041688919067</x:v>
      </x:c>
      <x:c r="Z312" s="18" t="str">
        <x:v>0.8708399176597595</x:v>
      </x:c>
      <x:c r="AA312" s="18" t="str">
        <x:v>0.8929954171180725</x:v>
      </x:c>
      <x:c r="AB312" s="20" t="str">
        <x:v>157.9295000046841</x:v>
      </x:c>
      <x:c r="AC312" s="12" t="str">
        <x:v>overlays\surprise_011.png</x:v>
      </x:c>
      <x:c r="AD312" s="12" t="str"/>
      <x:c r="AE312" s="12" t="str"/>
      <x:c r="AF312" s="12" t="str">
        <x:v>good</x:v>
      </x:c>
      <x:c r="AG312" s="12" t="n">
        <x:v>1</x:v>
      </x:c>
      <x:c r="AH312" s="12" t="str">
        <x:v>good</x:v>
      </x:c>
      <x:c r="AI312" s="12" t="str">
        <x:v>good</x:v>
      </x:c>
      <x:c r="AJ312" s="12" t="str">
        <x:v>good</x:v>
      </x:c>
      <x:c r="AK312" s="12" t="str">
        <x:v>not_applicable</x:v>
      </x:c>
      <x:c r="AL312" s="12" t="str">
        <x:v>none</x:v>
      </x:c>
      <x:c r="AM312" s="14" t="str">
        <x:v>Clear and well-aligned facial landmarks with no major pose, crop, or occlusion issue.</x:v>
      </x:c>
    </x:row>
    <x:row r="313" ht="28" customHeight="1">
      <x:c r="A313" s="12" t="str">
        <x:v>surprise_012</x:v>
      </x:c>
      <x:c r="B313" s="12" t="str">
        <x:v>surprise</x:v>
      </x:c>
      <x:c r="C313" s="14" t="str">
        <x:v>surprise/Training_15934906.jpg</x:v>
      </x:c>
      <x:c r="D313" s="12" t="str">
        <x:v>50684d753fc7ebdb11926656cf2144a441aca486b55d289597279cd759a23724</x:v>
      </x:c>
      <x:c r="E313" s="12" t="str">
        <x:v>50684d753fc7ebdb11926656cf2144a441aca486b55d289597279cd759a23724</x:v>
      </x:c>
      <x:c r="F313" s="12" t="str">
        <x:v>True</x:v>
      </x:c>
      <x:c r="G313" s="12" t="str">
        <x:v>48</x:v>
      </x:c>
      <x:c r="H313" s="12" t="str">
        <x:v>48</x:v>
      </x:c>
      <x:c r="I313" s="12" t="str">
        <x:v>0.0</x:v>
      </x:c>
      <x:c r="J313" s="12" t="str">
        <x:v>0.0</x:v>
      </x:c>
      <x:c r="K313" s="12" t="str">
        <x:v>47.0</x:v>
      </x:c>
      <x:c r="L313" s="12" t="str">
        <x:v>47.0</x:v>
      </x:c>
      <x:c r="M313" s="12" t="str">
        <x:v>True</x:v>
      </x:c>
      <x:c r="N313" s="12" t="str">
        <x:v>68</x:v>
      </x:c>
      <x:c r="O313" s="12" t="str">
        <x:v>68</x:v>
      </x:c>
      <x:c r="P313" s="16" t="str">
        <x:v>1.0</x:v>
      </x:c>
      <x:c r="Q313" s="12" t="str">
        <x:v>67</x:v>
      </x:c>
      <x:c r="R313" s="16" t="str">
        <x:v>0.9852941176470589</x:v>
      </x:c>
      <x:c r="S313" s="12" t="str">
        <x:v>0.2</x:v>
      </x:c>
      <x:c r="T313" s="12" t="str">
        <x:v>67</x:v>
      </x:c>
      <x:c r="U313" s="16" t="str">
        <x:v>0.9852941176470589</x:v>
      </x:c>
      <x:c r="V313" s="18" t="str">
        <x:v>0.15393377840518951</x:v>
      </x:c>
      <x:c r="W313" s="18" t="str">
        <x:v>0.38589092195034025</x:v>
      </x:c>
      <x:c r="X313" s="18" t="str">
        <x:v>0.7358808517456055</x:v>
      </x:c>
      <x:c r="Y313" s="18" t="str">
        <x:v>0.8070080280303955</x:v>
      </x:c>
      <x:c r="Z313" s="18" t="str">
        <x:v>0.8769482612609864</x:v>
      </x:c>
      <x:c r="AA313" s="18" t="str">
        <x:v>0.895631730556488</x:v>
      </x:c>
      <x:c r="AB313" s="20" t="str">
        <x:v>223.00019999966025</x:v>
      </x:c>
      <x:c r="AC313" s="12" t="str">
        <x:v>overlays\surprise_012.png</x:v>
      </x:c>
      <x:c r="AD313" s="12" t="str"/>
      <x:c r="AE313" s="12" t="str"/>
      <x:c r="AF313" s="12" t="str">
        <x:v>good</x:v>
      </x:c>
      <x:c r="AG313" s="12" t="n">
        <x:v>1</x:v>
      </x:c>
      <x:c r="AH313" s="12" t="str">
        <x:v>good</x:v>
      </x:c>
      <x:c r="AI313" s="12" t="str">
        <x:v>good</x:v>
      </x:c>
      <x:c r="AJ313" s="12" t="str">
        <x:v>good</x:v>
      </x:c>
      <x:c r="AK313" s="12" t="str">
        <x:v>good</x:v>
      </x:c>
      <x:c r="AL313" s="12" t="str">
        <x:v>none</x:v>
      </x:c>
      <x:c r="AM313" s="14" t="str">
        <x:v>Clear and well-aligned facial landmarks with no major pose, crop, or occlusion issue.</x:v>
      </x:c>
    </x:row>
    <x:row r="314" ht="28" customHeight="1">
      <x:c r="A314" s="12" t="str">
        <x:v>surprise_013</x:v>
      </x:c>
      <x:c r="B314" s="12" t="str">
        <x:v>surprise</x:v>
      </x:c>
      <x:c r="C314" s="14" t="str">
        <x:v>surprise/Training_76930529.jpg</x:v>
      </x:c>
      <x:c r="D314" s="12" t="str">
        <x:v>630f5084adeab48fdae9de599b9f1b525c5a84f0acf9729ff119e06cfbeaeb85</x:v>
      </x:c>
      <x:c r="E314" s="12" t="str">
        <x:v>630f5084adeab48fdae9de599b9f1b525c5a84f0acf9729ff119e06cfbeaeb85</x:v>
      </x:c>
      <x:c r="F314" s="12" t="str">
        <x:v>True</x:v>
      </x:c>
      <x:c r="G314" s="12" t="str">
        <x:v>48</x:v>
      </x:c>
      <x:c r="H314" s="12" t="str">
        <x:v>48</x:v>
      </x:c>
      <x:c r="I314" s="12" t="str">
        <x:v>0.0</x:v>
      </x:c>
      <x:c r="J314" s="12" t="str">
        <x:v>0.0</x:v>
      </x:c>
      <x:c r="K314" s="12" t="str">
        <x:v>47.0</x:v>
      </x:c>
      <x:c r="L314" s="12" t="str">
        <x:v>47.0</x:v>
      </x:c>
      <x:c r="M314" s="12" t="str">
        <x:v>True</x:v>
      </x:c>
      <x:c r="N314" s="12" t="str">
        <x:v>68</x:v>
      </x:c>
      <x:c r="O314" s="12" t="str">
        <x:v>68</x:v>
      </x:c>
      <x:c r="P314" s="16" t="str">
        <x:v>1.0</x:v>
      </x:c>
      <x:c r="Q314" s="12" t="str">
        <x:v>68</x:v>
      </x:c>
      <x:c r="R314" s="16" t="str">
        <x:v>1.0</x:v>
      </x:c>
      <x:c r="S314" s="12" t="str">
        <x:v>0.2</x:v>
      </x:c>
      <x:c r="T314" s="12" t="str">
        <x:v>68</x:v>
      </x:c>
      <x:c r="U314" s="16" t="str">
        <x:v>1.0</x:v>
      </x:c>
      <x:c r="V314" s="18" t="str">
        <x:v>0.6166835427284241</x:v>
      </x:c>
      <x:c r="W314" s="18" t="str">
        <x:v>0.7464433550834656</x:v>
      </x:c>
      <x:c r="X314" s="18" t="str">
        <x:v>0.8200041055679321</x:v>
      </x:c>
      <x:c r="Y314" s="18" t="str">
        <x:v>0.8348538875579834</x:v>
      </x:c>
      <x:c r="Z314" s="18" t="str">
        <x:v>0.8798386573791505</x:v>
      </x:c>
      <x:c r="AA314" s="18" t="str">
        <x:v>0.9349204301834106</x:v>
      </x:c>
      <x:c r="AB314" s="20" t="str">
        <x:v>168.04920000140555</x:v>
      </x:c>
      <x:c r="AC314" s="12" t="str">
        <x:v>overlays\surprise_013.png</x:v>
      </x:c>
      <x:c r="AD314" s="12" t="str"/>
      <x:c r="AE314" s="12" t="str"/>
      <x:c r="AF314" s="12" t="str">
        <x:v>good</x:v>
      </x:c>
      <x:c r="AG314" s="12" t="n">
        <x:v>1</x:v>
      </x:c>
      <x:c r="AH314" s="12" t="str">
        <x:v>good</x:v>
      </x:c>
      <x:c r="AI314" s="12" t="str">
        <x:v>good</x:v>
      </x:c>
      <x:c r="AJ314" s="12" t="str">
        <x:v>good</x:v>
      </x:c>
      <x:c r="AK314" s="12" t="str">
        <x:v>not_applicable</x:v>
      </x:c>
      <x:c r="AL314" s="12" t="str">
        <x:v>none</x:v>
      </x:c>
      <x:c r="AM314" s="14" t="str">
        <x:v>Clear and well-aligned facial landmarks with no major pose, crop, or occlusion issue.</x:v>
      </x:c>
    </x:row>
    <x:row r="315" ht="28" customHeight="1">
      <x:c r="A315" s="12" t="str">
        <x:v>surprise_014</x:v>
      </x:c>
      <x:c r="B315" s="12" t="str">
        <x:v>surprise</x:v>
      </x:c>
      <x:c r="C315" s="14" t="str">
        <x:v>surprise/Training_65907119.jpg</x:v>
      </x:c>
      <x:c r="D315" s="12" t="str">
        <x:v>0faf896b3e2492ac660dfe3bb07d01b5d19fbc226ff50d42a2b6af614ebab98a</x:v>
      </x:c>
      <x:c r="E315" s="12" t="str">
        <x:v>0faf896b3e2492ac660dfe3bb07d01b5d19fbc226ff50d42a2b6af614ebab98a</x:v>
      </x:c>
      <x:c r="F315" s="12" t="str">
        <x:v>True</x:v>
      </x:c>
      <x:c r="G315" s="12" t="str">
        <x:v>48</x:v>
      </x:c>
      <x:c r="H315" s="12" t="str">
        <x:v>48</x:v>
      </x:c>
      <x:c r="I315" s="12" t="str">
        <x:v>0.0</x:v>
      </x:c>
      <x:c r="J315" s="12" t="str">
        <x:v>0.0</x:v>
      </x:c>
      <x:c r="K315" s="12" t="str">
        <x:v>47.0</x:v>
      </x:c>
      <x:c r="L315" s="12" t="str">
        <x:v>47.0</x:v>
      </x:c>
      <x:c r="M315" s="12" t="str">
        <x:v>True</x:v>
      </x:c>
      <x:c r="N315" s="12" t="str">
        <x:v>68</x:v>
      </x:c>
      <x:c r="O315" s="12" t="str">
        <x:v>68</x:v>
      </x:c>
      <x:c r="P315" s="16" t="str">
        <x:v>1.0</x:v>
      </x:c>
      <x:c r="Q315" s="12" t="str">
        <x:v>67</x:v>
      </x:c>
      <x:c r="R315" s="16" t="str">
        <x:v>0.9852941176470589</x:v>
      </x:c>
      <x:c r="S315" s="12" t="str">
        <x:v>0.2</x:v>
      </x:c>
      <x:c r="T315" s="12" t="str">
        <x:v>63</x:v>
      </x:c>
      <x:c r="U315" s="16" t="str">
        <x:v>0.9264705882352942</x:v>
      </x:c>
      <x:c r="V315" s="18" t="str">
        <x:v>0.07880165427923203</x:v>
      </x:c>
      <x:c r="W315" s="18" t="str">
        <x:v>0.2524166479706764</x:v>
      </x:c>
      <x:c r="X315" s="18" t="str">
        <x:v>0.6853654980659485</x:v>
      </x:c>
      <x:c r="Y315" s="18" t="str">
        <x:v>0.7877047061920166</x:v>
      </x:c>
      <x:c r="Z315" s="18" t="str">
        <x:v>0.8448591649532318</x:v>
      </x:c>
      <x:c r="AA315" s="18" t="str">
        <x:v>0.8712864518165588</x:v>
      </x:c>
      <x:c r="AB315" s="20" t="str">
        <x:v>179.3760000000475</x:v>
      </x:c>
      <x:c r="AC315" s="12" t="str">
        <x:v>overlays\surprise_014.png</x:v>
      </x:c>
      <x:c r="AD315" s="12" t="str"/>
      <x:c r="AE315" s="12" t="str"/>
      <x:c r="AF315" s="12" t="str">
        <x:v>good</x:v>
      </x:c>
      <x:c r="AG315" s="12" t="n">
        <x:v>1</x:v>
      </x:c>
      <x:c r="AH315" s="12" t="str">
        <x:v>good</x:v>
      </x:c>
      <x:c r="AI315" s="12" t="str">
        <x:v>good</x:v>
      </x:c>
      <x:c r="AJ315" s="12" t="str">
        <x:v>good</x:v>
      </x:c>
      <x:c r="AK315" s="12" t="str">
        <x:v>good</x:v>
      </x:c>
      <x:c r="AL315" s="12" t="str">
        <x:v>none</x:v>
      </x:c>
      <x:c r="AM315" s="14" t="str">
        <x:v>Clear and well-aligned facial landmarks with no major pose, crop, or occlusion issue.</x:v>
      </x:c>
    </x:row>
    <x:row r="316" ht="28" customHeight="1">
      <x:c r="A316" s="12" t="str">
        <x:v>surprise_015</x:v>
      </x:c>
      <x:c r="B316" s="12" t="str">
        <x:v>surprise</x:v>
      </x:c>
      <x:c r="C316" s="14" t="str">
        <x:v>surprise/Training_68296400.jpg</x:v>
      </x:c>
      <x:c r="D316" s="12" t="str">
        <x:v>6a5dedfbcc232ae71d259ce6c23b2a266e6fd0bca0caf0574aea5947455374a2</x:v>
      </x:c>
      <x:c r="E316" s="12" t="str">
        <x:v>6a5dedfbcc232ae71d259ce6c23b2a266e6fd0bca0caf0574aea5947455374a2</x:v>
      </x:c>
      <x:c r="F316" s="12" t="str">
        <x:v>True</x:v>
      </x:c>
      <x:c r="G316" s="12" t="str">
        <x:v>48</x:v>
      </x:c>
      <x:c r="H316" s="12" t="str">
        <x:v>48</x:v>
      </x:c>
      <x:c r="I316" s="12" t="str">
        <x:v>0.0</x:v>
      </x:c>
      <x:c r="J316" s="12" t="str">
        <x:v>0.0</x:v>
      </x:c>
      <x:c r="K316" s="12" t="str">
        <x:v>47.0</x:v>
      </x:c>
      <x:c r="L316" s="12" t="str">
        <x:v>47.0</x:v>
      </x:c>
      <x:c r="M316" s="12" t="str">
        <x:v>True</x:v>
      </x:c>
      <x:c r="N316" s="12" t="str">
        <x:v>68</x:v>
      </x:c>
      <x:c r="O316" s="12" t="str">
        <x:v>68</x:v>
      </x:c>
      <x:c r="P316" s="16" t="str">
        <x:v>1.0</x:v>
      </x:c>
      <x:c r="Q316" s="12" t="str">
        <x:v>68</x:v>
      </x:c>
      <x:c r="R316" s="16" t="str">
        <x:v>1.0</x:v>
      </x:c>
      <x:c r="S316" s="12" t="str">
        <x:v>0.2</x:v>
      </x:c>
      <x:c r="T316" s="12" t="str">
        <x:v>68</x:v>
      </x:c>
      <x:c r="U316" s="16" t="str">
        <x:v>1.0</x:v>
      </x:c>
      <x:c r="V316" s="18" t="str">
        <x:v>0.3584505319595337</x:v>
      </x:c>
      <x:c r="W316" s="18" t="str">
        <x:v>0.6972309529781342</x:v>
      </x:c>
      <x:c r="X316" s="18" t="str">
        <x:v>0.7799811363220215</x:v>
      </x:c>
      <x:c r="Y316" s="18" t="str">
        <x:v>0.8047894239425659</x:v>
      </x:c>
      <x:c r="Z316" s="18" t="str">
        <x:v>0.8695158421993255</x:v>
      </x:c>
      <x:c r="AA316" s="18" t="str">
        <x:v>0.9007975459098816</x:v>
      </x:c>
      <x:c r="AB316" s="20" t="str">
        <x:v>187.41640000371262</x:v>
      </x:c>
      <x:c r="AC316" s="12" t="str">
        <x:v>overlays\surprise_015.png</x:v>
      </x:c>
      <x:c r="AD316" s="12" t="str"/>
      <x:c r="AE316" s="12" t="str"/>
      <x:c r="AF316" s="12" t="str">
        <x:v>acceptable</x:v>
      </x:c>
      <x:c r="AG316" s="12" t="n">
        <x:v>1</x:v>
      </x:c>
      <x:c r="AH316" s="12" t="str">
        <x:v>acceptable</x:v>
      </x:c>
      <x:c r="AI316" s="12" t="str">
        <x:v>acceptable</x:v>
      </x:c>
      <x:c r="AJ316" s="12" t="str">
        <x:v>acceptable</x:v>
      </x:c>
      <x:c r="AK316" s="12" t="str">
        <x:v>acceptable</x:v>
      </x:c>
      <x:c r="AL316" s="12" t="str">
        <x:v>mild</x:v>
      </x:c>
      <x:c r="AM316" s="14" t="str">
        <x:v>Moderate pose, crop, blur, or facial texture causes minor landmark uncertainty; the result remains usable.</x:v>
      </x:c>
    </x:row>
    <x:row r="317" ht="28" customHeight="1">
      <x:c r="A317" s="12" t="str">
        <x:v>surprise_016</x:v>
      </x:c>
      <x:c r="B317" s="12" t="str">
        <x:v>surprise</x:v>
      </x:c>
      <x:c r="C317" s="14" t="str">
        <x:v>surprise/Training_71104025.jpg</x:v>
      </x:c>
      <x:c r="D317" s="12" t="str">
        <x:v>89ece34d5496e8c9dad00d6cb3b28d9dd9f74e5749b96666b21139ce57803082</x:v>
      </x:c>
      <x:c r="E317" s="12" t="str">
        <x:v>89ece34d5496e8c9dad00d6cb3b28d9dd9f74e5749b96666b21139ce57803082</x:v>
      </x:c>
      <x:c r="F317" s="12" t="str">
        <x:v>True</x:v>
      </x:c>
      <x:c r="G317" s="12" t="str">
        <x:v>48</x:v>
      </x:c>
      <x:c r="H317" s="12" t="str">
        <x:v>48</x:v>
      </x:c>
      <x:c r="I317" s="12" t="str">
        <x:v>0.0</x:v>
      </x:c>
      <x:c r="J317" s="12" t="str">
        <x:v>0.0</x:v>
      </x:c>
      <x:c r="K317" s="12" t="str">
        <x:v>47.0</x:v>
      </x:c>
      <x:c r="L317" s="12" t="str">
        <x:v>47.0</x:v>
      </x:c>
      <x:c r="M317" s="12" t="str">
        <x:v>True</x:v>
      </x:c>
      <x:c r="N317" s="12" t="str">
        <x:v>68</x:v>
      </x:c>
      <x:c r="O317" s="12" t="str">
        <x:v>68</x:v>
      </x:c>
      <x:c r="P317" s="16" t="str">
        <x:v>1.0</x:v>
      </x:c>
      <x:c r="Q317" s="12" t="str">
        <x:v>67</x:v>
      </x:c>
      <x:c r="R317" s="16" t="str">
        <x:v>0.9852941176470589</x:v>
      </x:c>
      <x:c r="S317" s="12" t="str">
        <x:v>0.2</x:v>
      </x:c>
      <x:c r="T317" s="12" t="str">
        <x:v>65</x:v>
      </x:c>
      <x:c r="U317" s="16" t="str">
        <x:v>0.9558823529411765</x:v>
      </x:c>
      <x:c r="V317" s="18" t="str">
        <x:v>0.028140731155872345</x:v>
      </x:c>
      <x:c r="W317" s="18" t="str">
        <x:v>0.29715597033500674</x:v>
      </x:c>
      <x:c r="X317" s="18" t="str">
        <x:v>0.6561947464942932</x:v>
      </x:c>
      <x:c r="Y317" s="18" t="str">
        <x:v>0.7447357773780823</x:v>
      </x:c>
      <x:c r="Z317" s="18" t="str">
        <x:v>0.8481133937835693</x:v>
      </x:c>
      <x:c r="AA317" s="18" t="str">
        <x:v>0.8840579390525818</x:v>
      </x:c>
      <x:c r="AB317" s="20" t="str">
        <x:v>149.97439999569906</x:v>
      </x:c>
      <x:c r="AC317" s="12" t="str">
        <x:v>overlays\surprise_016.png</x:v>
      </x:c>
      <x:c r="AD317" s="12" t="str"/>
      <x:c r="AE317" s="12" t="str"/>
      <x:c r="AF317" s="12" t="str">
        <x:v>good</x:v>
      </x:c>
      <x:c r="AG317" s="12" t="n">
        <x:v>1</x:v>
      </x:c>
      <x:c r="AH317" s="12" t="str">
        <x:v>good</x:v>
      </x:c>
      <x:c r="AI317" s="12" t="str">
        <x:v>good</x:v>
      </x:c>
      <x:c r="AJ317" s="12" t="str">
        <x:v>good</x:v>
      </x:c>
      <x:c r="AK317" s="12" t="str">
        <x:v>good</x:v>
      </x:c>
      <x:c r="AL317" s="12" t="str">
        <x:v>none</x:v>
      </x:c>
      <x:c r="AM317" s="14" t="str">
        <x:v>Clear and well-aligned facial landmarks with no major pose, crop, or occlusion issue.</x:v>
      </x:c>
    </x:row>
    <x:row r="318" ht="28" customHeight="1">
      <x:c r="A318" s="12" t="str">
        <x:v>surprise_017</x:v>
      </x:c>
      <x:c r="B318" s="12" t="str">
        <x:v>surprise</x:v>
      </x:c>
      <x:c r="C318" s="14" t="str">
        <x:v>surprise/Training_28461604.jpg</x:v>
      </x:c>
      <x:c r="D318" s="12" t="str">
        <x:v>697f7533a654832f20ab19cceea5c17ae82f705ac772888c8a93694441dea9f4</x:v>
      </x:c>
      <x:c r="E318" s="12" t="str">
        <x:v>697f7533a654832f20ab19cceea5c17ae82f705ac772888c8a93694441dea9f4</x:v>
      </x:c>
      <x:c r="F318" s="12" t="str">
        <x:v>True</x:v>
      </x:c>
      <x:c r="G318" s="12" t="str">
        <x:v>48</x:v>
      </x:c>
      <x:c r="H318" s="12" t="str">
        <x:v>48</x:v>
      </x:c>
      <x:c r="I318" s="12" t="str">
        <x:v>0.0</x:v>
      </x:c>
      <x:c r="J318" s="12" t="str">
        <x:v>0.0</x:v>
      </x:c>
      <x:c r="K318" s="12" t="str">
        <x:v>47.0</x:v>
      </x:c>
      <x:c r="L318" s="12" t="str">
        <x:v>47.0</x:v>
      </x:c>
      <x:c r="M318" s="12" t="str">
        <x:v>True</x:v>
      </x:c>
      <x:c r="N318" s="12" t="str">
        <x:v>68</x:v>
      </x:c>
      <x:c r="O318" s="12" t="str">
        <x:v>68</x:v>
      </x:c>
      <x:c r="P318" s="16" t="str">
        <x:v>1.0</x:v>
      </x:c>
      <x:c r="Q318" s="12" t="str">
        <x:v>67</x:v>
      </x:c>
      <x:c r="R318" s="16" t="str">
        <x:v>0.9852941176470589</x:v>
      </x:c>
      <x:c r="S318" s="12" t="str">
        <x:v>0.2</x:v>
      </x:c>
      <x:c r="T318" s="12" t="str">
        <x:v>68</x:v>
      </x:c>
      <x:c r="U318" s="16" t="str">
        <x:v>1.0</x:v>
      </x:c>
      <x:c r="V318" s="18" t="str">
        <x:v>0.5955446362495422</x:v>
      </x:c>
      <x:c r="W318" s="18" t="str">
        <x:v>0.6804002463817597</x:v>
      </x:c>
      <x:c r="X318" s="18" t="str">
        <x:v>0.7917484641075134</x:v>
      </x:c>
      <x:c r="Y318" s="18" t="str">
        <x:v>0.7955983877182007</x:v>
      </x:c>
      <x:c r="Z318" s="18" t="str">
        <x:v>0.8752091228961945</x:v>
      </x:c>
      <x:c r="AA318" s="18" t="str">
        <x:v>0.9138469099998474</x:v>
      </x:c>
      <x:c r="AB318" s="20" t="str">
        <x:v>162.86309999850346</x:v>
      </x:c>
      <x:c r="AC318" s="12" t="str">
        <x:v>overlays\surprise_017.png</x:v>
      </x:c>
      <x:c r="AD318" s="12" t="str"/>
      <x:c r="AE318" s="12" t="str"/>
      <x:c r="AF318" s="12" t="str">
        <x:v>acceptable</x:v>
      </x:c>
      <x:c r="AG318" s="12" t="n">
        <x:v>1</x:v>
      </x:c>
      <x:c r="AH318" s="12" t="str">
        <x:v>acceptable</x:v>
      </x:c>
      <x:c r="AI318" s="12" t="str">
        <x:v>acceptable</x:v>
      </x:c>
      <x:c r="AJ318" s="12" t="str">
        <x:v>acceptable</x:v>
      </x:c>
      <x:c r="AK318" s="12" t="str">
        <x:v>acceptable</x:v>
      </x:c>
      <x:c r="AL318" s="12" t="str">
        <x:v>mild</x:v>
      </x:c>
      <x:c r="AM318" s="14" t="str">
        <x:v>Large pose or profile; visible landmarks remain useful, while hidden-side and contour points are inferred.</x:v>
      </x:c>
    </x:row>
    <x:row r="319" ht="28" customHeight="1">
      <x:c r="A319" s="12" t="str">
        <x:v>surprise_018</x:v>
      </x:c>
      <x:c r="B319" s="12" t="str">
        <x:v>surprise</x:v>
      </x:c>
      <x:c r="C319" s="14" t="str">
        <x:v>surprise/Training_16602311.jpg</x:v>
      </x:c>
      <x:c r="D319" s="12" t="str">
        <x:v>ccc71f8a07424f388f33dde538f0317b3ac6c10c3ece406cf7cf4fe2e0065403</x:v>
      </x:c>
      <x:c r="E319" s="12" t="str">
        <x:v>ccc71f8a07424f388f33dde538f0317b3ac6c10c3ece406cf7cf4fe2e0065403</x:v>
      </x:c>
      <x:c r="F319" s="12" t="str">
        <x:v>True</x:v>
      </x:c>
      <x:c r="G319" s="12" t="str">
        <x:v>48</x:v>
      </x:c>
      <x:c r="H319" s="12" t="str">
        <x:v>48</x:v>
      </x:c>
      <x:c r="I319" s="12" t="str">
        <x:v>0.0</x:v>
      </x:c>
      <x:c r="J319" s="12" t="str">
        <x:v>0.0</x:v>
      </x:c>
      <x:c r="K319" s="12" t="str">
        <x:v>47.0</x:v>
      </x:c>
      <x:c r="L319" s="12" t="str">
        <x:v>47.0</x:v>
      </x:c>
      <x:c r="M319" s="12" t="str">
        <x:v>True</x:v>
      </x:c>
      <x:c r="N319" s="12" t="str">
        <x:v>68</x:v>
      </x:c>
      <x:c r="O319" s="12" t="str">
        <x:v>68</x:v>
      </x:c>
      <x:c r="P319" s="16" t="str">
        <x:v>1.0</x:v>
      </x:c>
      <x:c r="Q319" s="12" t="str">
        <x:v>68</x:v>
      </x:c>
      <x:c r="R319" s="16" t="str">
        <x:v>1.0</x:v>
      </x:c>
      <x:c r="S319" s="12" t="str">
        <x:v>0.2</x:v>
      </x:c>
      <x:c r="T319" s="12" t="str">
        <x:v>68</x:v>
      </x:c>
      <x:c r="U319" s="16" t="str">
        <x:v>1.0</x:v>
      </x:c>
      <x:c r="V319" s="18" t="str">
        <x:v>0.34413036704063416</x:v>
      </x:c>
      <x:c r="W319" s="18" t="str">
        <x:v>0.659327632188797</x:v>
      </x:c>
      <x:c r="X319" s="18" t="str">
        <x:v>0.7624121308326721</x:v>
      </x:c>
      <x:c r="Y319" s="18" t="str">
        <x:v>0.7841510772705078</x:v>
      </x:c>
      <x:c r="Z319" s="18" t="str">
        <x:v>0.8604213893413544</x:v>
      </x:c>
      <x:c r="AA319" s="18" t="str">
        <x:v>0.9037616848945618</x:v>
      </x:c>
      <x:c r="AB319" s="20" t="str">
        <x:v>164.92740000103367</x:v>
      </x:c>
      <x:c r="AC319" s="12" t="str">
        <x:v>overlays\surprise_018.png</x:v>
      </x:c>
      <x:c r="AD319" s="12" t="str"/>
      <x:c r="AE319" s="12" t="str"/>
      <x:c r="AF319" s="12" t="str">
        <x:v>acceptable</x:v>
      </x:c>
      <x:c r="AG319" s="12" t="n">
        <x:v>1</x:v>
      </x:c>
      <x:c r="AH319" s="12" t="str">
        <x:v>acceptable</x:v>
      </x:c>
      <x:c r="AI319" s="12" t="str">
        <x:v>acceptable</x:v>
      </x:c>
      <x:c r="AJ319" s="12" t="str">
        <x:v>acceptable</x:v>
      </x:c>
      <x:c r="AK319" s="12" t="str">
        <x:v>acceptable</x:v>
      </x:c>
      <x:c r="AL319" s="12" t="str">
        <x:v>mild</x:v>
      </x:c>
      <x:c r="AM319" s="14" t="str">
        <x:v>Moderate pose, crop, blur, or facial texture causes minor landmark uncertainty; the result remains usable.</x:v>
      </x:c>
    </x:row>
    <x:row r="320" ht="28" customHeight="1">
      <x:c r="A320" s="12" t="str">
        <x:v>surprise_019</x:v>
      </x:c>
      <x:c r="B320" s="12" t="str">
        <x:v>surprise</x:v>
      </x:c>
      <x:c r="C320" s="14" t="str">
        <x:v>surprise/Training_68747987.jpg</x:v>
      </x:c>
      <x:c r="D320" s="12" t="str">
        <x:v>94a91510d2ee5e3273b4d18a56605a81627bd48ba2ab41265c456287c6978fc3</x:v>
      </x:c>
      <x:c r="E320" s="12" t="str">
        <x:v>94a91510d2ee5e3273b4d18a56605a81627bd48ba2ab41265c456287c6978fc3</x:v>
      </x:c>
      <x:c r="F320" s="12" t="str">
        <x:v>True</x:v>
      </x:c>
      <x:c r="G320" s="12" t="str">
        <x:v>48</x:v>
      </x:c>
      <x:c r="H320" s="12" t="str">
        <x:v>48</x:v>
      </x:c>
      <x:c r="I320" s="12" t="str">
        <x:v>0.0</x:v>
      </x:c>
      <x:c r="J320" s="12" t="str">
        <x:v>0.0</x:v>
      </x:c>
      <x:c r="K320" s="12" t="str">
        <x:v>47.0</x:v>
      </x:c>
      <x:c r="L320" s="12" t="str">
        <x:v>47.0</x:v>
      </x:c>
      <x:c r="M320" s="12" t="str">
        <x:v>True</x:v>
      </x:c>
      <x:c r="N320" s="12" t="str">
        <x:v>68</x:v>
      </x:c>
      <x:c r="O320" s="12" t="str">
        <x:v>68</x:v>
      </x:c>
      <x:c r="P320" s="16" t="str">
        <x:v>1.0</x:v>
      </x:c>
      <x:c r="Q320" s="12" t="str">
        <x:v>66</x:v>
      </x:c>
      <x:c r="R320" s="16" t="str">
        <x:v>0.9705882352941176</x:v>
      </x:c>
      <x:c r="S320" s="12" t="str">
        <x:v>0.2</x:v>
      </x:c>
      <x:c r="T320" s="12" t="str">
        <x:v>68</x:v>
      </x:c>
      <x:c r="U320" s="16" t="str">
        <x:v>1.0</x:v>
      </x:c>
      <x:c r="V320" s="18" t="str">
        <x:v>0.546271800994873</x:v>
      </x:c>
      <x:c r="W320" s="18" t="str">
        <x:v>0.7435728430747985</x:v>
      </x:c>
      <x:c r="X320" s="18" t="str">
        <x:v>0.8076762557029724</x:v>
      </x:c>
      <x:c r="Y320" s="18" t="str">
        <x:v>0.816683292388916</x:v>
      </x:c>
      <x:c r="Z320" s="18" t="str">
        <x:v>0.863979822397232</x:v>
      </x:c>
      <x:c r="AA320" s="18" t="str">
        <x:v>0.9179044365882874</x:v>
      </x:c>
      <x:c r="AB320" s="20" t="str">
        <x:v>214.97999999701278</x:v>
      </x:c>
      <x:c r="AC320" s="12" t="str">
        <x:v>overlays\surprise_019.png</x:v>
      </x:c>
      <x:c r="AD320" s="12" t="str"/>
      <x:c r="AE320" s="12" t="str"/>
      <x:c r="AF320" s="12" t="str">
        <x:v>good</x:v>
      </x:c>
      <x:c r="AG320" s="12" t="n">
        <x:v>1</x:v>
      </x:c>
      <x:c r="AH320" s="12" t="str">
        <x:v>good</x:v>
      </x:c>
      <x:c r="AI320" s="12" t="str">
        <x:v>good</x:v>
      </x:c>
      <x:c r="AJ320" s="12" t="str">
        <x:v>good</x:v>
      </x:c>
      <x:c r="AK320" s="12" t="str">
        <x:v>good</x:v>
      </x:c>
      <x:c r="AL320" s="12" t="str">
        <x:v>none</x:v>
      </x:c>
      <x:c r="AM320" s="14" t="str">
        <x:v>Clear and well-aligned facial landmarks with no major pose, crop, or occlusion issue.</x:v>
      </x:c>
    </x:row>
    <x:row r="321" ht="28" customHeight="1">
      <x:c r="A321" s="12" t="str">
        <x:v>surprise_020</x:v>
      </x:c>
      <x:c r="B321" s="12" t="str">
        <x:v>surprise</x:v>
      </x:c>
      <x:c r="C321" s="14" t="str">
        <x:v>surprise/Training_18954209.jpg</x:v>
      </x:c>
      <x:c r="D321" s="12" t="str">
        <x:v>f77ac83eb86ce61e62c560f796f56d34d42db5955ccccac34a7059491df79a39</x:v>
      </x:c>
      <x:c r="E321" s="12" t="str">
        <x:v>f77ac83eb86ce61e62c560f796f56d34d42db5955ccccac34a7059491df79a39</x:v>
      </x:c>
      <x:c r="F321" s="12" t="str">
        <x:v>True</x:v>
      </x:c>
      <x:c r="G321" s="12" t="str">
        <x:v>48</x:v>
      </x:c>
      <x:c r="H321" s="12" t="str">
        <x:v>48</x:v>
      </x:c>
      <x:c r="I321" s="12" t="str">
        <x:v>0.0</x:v>
      </x:c>
      <x:c r="J321" s="12" t="str">
        <x:v>0.0</x:v>
      </x:c>
      <x:c r="K321" s="12" t="str">
        <x:v>47.0</x:v>
      </x:c>
      <x:c r="L321" s="12" t="str">
        <x:v>47.0</x:v>
      </x:c>
      <x:c r="M321" s="12" t="str">
        <x:v>True</x:v>
      </x:c>
      <x:c r="N321" s="12" t="str">
        <x:v>68</x:v>
      </x:c>
      <x:c r="O321" s="12" t="str">
        <x:v>68</x:v>
      </x:c>
      <x:c r="P321" s="16" t="str">
        <x:v>1.0</x:v>
      </x:c>
      <x:c r="Q321" s="12" t="str">
        <x:v>68</x:v>
      </x:c>
      <x:c r="R321" s="16" t="str">
        <x:v>1.0</x:v>
      </x:c>
      <x:c r="S321" s="12" t="str">
        <x:v>0.2</x:v>
      </x:c>
      <x:c r="T321" s="12" t="str">
        <x:v>68</x:v>
      </x:c>
      <x:c r="U321" s="16" t="str">
        <x:v>1.0</x:v>
      </x:c>
      <x:c r="V321" s="18" t="str">
        <x:v>0.4407079219818115</x:v>
      </x:c>
      <x:c r="W321" s="18" t="str">
        <x:v>0.5282451093196869</x:v>
      </x:c>
      <x:c r="X321" s="18" t="str">
        <x:v>0.7058884501457214</x:v>
      </x:c>
      <x:c r="Y321" s="18" t="str">
        <x:v>0.7470182776451111</x:v>
      </x:c>
      <x:c r="Z321" s="18" t="str">
        <x:v>0.8188520908355713</x:v>
      </x:c>
      <x:c r="AA321" s="18" t="str">
        <x:v>0.8355852961540222</x:v>
      </x:c>
      <x:c r="AB321" s="20" t="str">
        <x:v>156.89190000557574</x:v>
      </x:c>
      <x:c r="AC321" s="12" t="str">
        <x:v>overlays\surprise_020.png</x:v>
      </x:c>
      <x:c r="AD321" s="12" t="str"/>
      <x:c r="AE321" s="12" t="str"/>
      <x:c r="AF321" s="12" t="str">
        <x:v>good</x:v>
      </x:c>
      <x:c r="AG321" s="12" t="n">
        <x:v>1</x:v>
      </x:c>
      <x:c r="AH321" s="12" t="str">
        <x:v>good</x:v>
      </x:c>
      <x:c r="AI321" s="12" t="str">
        <x:v>good</x:v>
      </x:c>
      <x:c r="AJ321" s="12" t="str">
        <x:v>good</x:v>
      </x:c>
      <x:c r="AK321" s="12" t="str">
        <x:v>good</x:v>
      </x:c>
      <x:c r="AL321" s="12" t="str">
        <x:v>none</x:v>
      </x:c>
      <x:c r="AM321" s="14" t="str">
        <x:v>Clear and well-aligned facial landmarks with no major pose, crop, or occlusion issue.</x:v>
      </x:c>
    </x:row>
    <x:row r="322" ht="28" customHeight="1">
      <x:c r="A322" s="12" t="str">
        <x:v>surprise_021</x:v>
      </x:c>
      <x:c r="B322" s="12" t="str">
        <x:v>surprise</x:v>
      </x:c>
      <x:c r="C322" s="14" t="str">
        <x:v>surprise/Training_31559799.jpg</x:v>
      </x:c>
      <x:c r="D322" s="12" t="str">
        <x:v>5cff628e17f9b4bc111573960837e6e95c411ad722bbecf8fc9d11b4843f079a</x:v>
      </x:c>
      <x:c r="E322" s="12" t="str">
        <x:v>5cff628e17f9b4bc111573960837e6e95c411ad722bbecf8fc9d11b4843f079a</x:v>
      </x:c>
      <x:c r="F322" s="12" t="str">
        <x:v>True</x:v>
      </x:c>
      <x:c r="G322" s="12" t="str">
        <x:v>48</x:v>
      </x:c>
      <x:c r="H322" s="12" t="str">
        <x:v>48</x:v>
      </x:c>
      <x:c r="I322" s="12" t="str">
        <x:v>0.0</x:v>
      </x:c>
      <x:c r="J322" s="12" t="str">
        <x:v>0.0</x:v>
      </x:c>
      <x:c r="K322" s="12" t="str">
        <x:v>47.0</x:v>
      </x:c>
      <x:c r="L322" s="12" t="str">
        <x:v>47.0</x:v>
      </x:c>
      <x:c r="M322" s="12" t="str">
        <x:v>True</x:v>
      </x:c>
      <x:c r="N322" s="12" t="str">
        <x:v>68</x:v>
      </x:c>
      <x:c r="O322" s="12" t="str">
        <x:v>68</x:v>
      </x:c>
      <x:c r="P322" s="16" t="str">
        <x:v>1.0</x:v>
      </x:c>
      <x:c r="Q322" s="12" t="str">
        <x:v>68</x:v>
      </x:c>
      <x:c r="R322" s="16" t="str">
        <x:v>1.0</x:v>
      </x:c>
      <x:c r="S322" s="12" t="str">
        <x:v>0.2</x:v>
      </x:c>
      <x:c r="T322" s="12" t="str">
        <x:v>68</x:v>
      </x:c>
      <x:c r="U322" s="16" t="str">
        <x:v>1.0</x:v>
      </x:c>
      <x:c r="V322" s="18" t="str">
        <x:v>0.7577033638954163</x:v>
      </x:c>
      <x:c r="W322" s="18" t="str">
        <x:v>0.8043059945106507</x:v>
      </x:c>
      <x:c r="X322" s="18" t="str">
        <x:v>0.8469069004058838</x:v>
      </x:c>
      <x:c r="Y322" s="18" t="str">
        <x:v>0.8521607518196106</x:v>
      </x:c>
      <x:c r="Z322" s="18" t="str">
        <x:v>0.8825820863246918</x:v>
      </x:c>
      <x:c r="AA322" s="18" t="str">
        <x:v>0.9067686200141907</x:v>
      </x:c>
      <x:c r="AB322" s="20" t="str">
        <x:v>157.1544999969774</x:v>
      </x:c>
      <x:c r="AC322" s="12" t="str">
        <x:v>overlays\surprise_021.png</x:v>
      </x:c>
      <x:c r="AD322" s="12" t="str"/>
      <x:c r="AE322" s="12" t="str"/>
      <x:c r="AF322" s="12" t="str">
        <x:v>good</x:v>
      </x:c>
      <x:c r="AG322" s="12" t="n">
        <x:v>1</x:v>
      </x:c>
      <x:c r="AH322" s="12" t="str">
        <x:v>good</x:v>
      </x:c>
      <x:c r="AI322" s="12" t="str">
        <x:v>good</x:v>
      </x:c>
      <x:c r="AJ322" s="12" t="str">
        <x:v>good</x:v>
      </x:c>
      <x:c r="AK322" s="12" t="str">
        <x:v>not_applicable</x:v>
      </x:c>
      <x:c r="AL322" s="12" t="str">
        <x:v>none</x:v>
      </x:c>
      <x:c r="AM322" s="14" t="str">
        <x:v>Clear and well-aligned facial landmarks with no major pose, crop, or occlusion issue.</x:v>
      </x:c>
    </x:row>
    <x:row r="323" ht="28" customHeight="1">
      <x:c r="A323" s="12" t="str">
        <x:v>surprise_022</x:v>
      </x:c>
      <x:c r="B323" s="12" t="str">
        <x:v>surprise</x:v>
      </x:c>
      <x:c r="C323" s="14" t="str">
        <x:v>surprise/Training_17771777.jpg</x:v>
      </x:c>
      <x:c r="D323" s="12" t="str">
        <x:v>754122b558e8357a50450acf1b5d0bf52929cc861d2191aaffaf56afce472e26</x:v>
      </x:c>
      <x:c r="E323" s="12" t="str">
        <x:v>754122b558e8357a50450acf1b5d0bf52929cc861d2191aaffaf56afce472e26</x:v>
      </x:c>
      <x:c r="F323" s="12" t="str">
        <x:v>True</x:v>
      </x:c>
      <x:c r="G323" s="12" t="str">
        <x:v>48</x:v>
      </x:c>
      <x:c r="H323" s="12" t="str">
        <x:v>48</x:v>
      </x:c>
      <x:c r="I323" s="12" t="str">
        <x:v>0.0</x:v>
      </x:c>
      <x:c r="J323" s="12" t="str">
        <x:v>0.0</x:v>
      </x:c>
      <x:c r="K323" s="12" t="str">
        <x:v>47.0</x:v>
      </x:c>
      <x:c r="L323" s="12" t="str">
        <x:v>47.0</x:v>
      </x:c>
      <x:c r="M323" s="12" t="str">
        <x:v>True</x:v>
      </x:c>
      <x:c r="N323" s="12" t="str">
        <x:v>68</x:v>
      </x:c>
      <x:c r="O323" s="12" t="str">
        <x:v>68</x:v>
      </x:c>
      <x:c r="P323" s="16" t="str">
        <x:v>1.0</x:v>
      </x:c>
      <x:c r="Q323" s="12" t="str">
        <x:v>68</x:v>
      </x:c>
      <x:c r="R323" s="16" t="str">
        <x:v>1.0</x:v>
      </x:c>
      <x:c r="S323" s="12" t="str">
        <x:v>0.2</x:v>
      </x:c>
      <x:c r="T323" s="12" t="str">
        <x:v>68</x:v>
      </x:c>
      <x:c r="U323" s="16" t="str">
        <x:v>1.0</x:v>
      </x:c>
      <x:c r="V323" s="18" t="str">
        <x:v>0.5544955134391785</x:v>
      </x:c>
      <x:c r="W323" s="18" t="str">
        <x:v>0.7247011601924896</x:v>
      </x:c>
      <x:c r="X323" s="18" t="str">
        <x:v>0.798556387424469</x:v>
      </x:c>
      <x:c r="Y323" s="18" t="str">
        <x:v>0.8126033544540405</x:v>
      </x:c>
      <x:c r="Z323" s="18" t="str">
        <x:v>0.8563365697860718</x:v>
      </x:c>
      <x:c r="AA323" s="18" t="str">
        <x:v>0.9019189476966858</x:v>
      </x:c>
      <x:c r="AB323" s="20" t="str">
        <x:v>205.5774999971618</x:v>
      </x:c>
      <x:c r="AC323" s="12" t="str">
        <x:v>overlays\surprise_022.png</x:v>
      </x:c>
      <x:c r="AD323" s="12" t="str"/>
      <x:c r="AE323" s="12" t="str"/>
      <x:c r="AF323" s="12" t="str">
        <x:v>acceptable</x:v>
      </x:c>
      <x:c r="AG323" s="12" t="n">
        <x:v>1</x:v>
      </x:c>
      <x:c r="AH323" s="12" t="str">
        <x:v>acceptable</x:v>
      </x:c>
      <x:c r="AI323" s="12" t="str">
        <x:v>acceptable</x:v>
      </x:c>
      <x:c r="AJ323" s="12" t="str">
        <x:v>acceptable</x:v>
      </x:c>
      <x:c r="AK323" s="12" t="str">
        <x:v>acceptable</x:v>
      </x:c>
      <x:c r="AL323" s="12" t="str">
        <x:v>mild</x:v>
      </x:c>
      <x:c r="AM323" s="14" t="str">
        <x:v>Large pose or profile; visible landmarks remain useful, while hidden-side and contour points are inferred.</x:v>
      </x:c>
    </x:row>
    <x:row r="324" ht="28" customHeight="1">
      <x:c r="A324" s="12" t="str">
        <x:v>surprise_023</x:v>
      </x:c>
      <x:c r="B324" s="12" t="str">
        <x:v>surprise</x:v>
      </x:c>
      <x:c r="C324" s="14" t="str">
        <x:v>surprise/Training_78150560.jpg</x:v>
      </x:c>
      <x:c r="D324" s="12" t="str">
        <x:v>4a865bf83c29319aa60975caa76682193f7c9decf5bc5f815b60a6b1075f0dca</x:v>
      </x:c>
      <x:c r="E324" s="12" t="str">
        <x:v>4a865bf83c29319aa60975caa76682193f7c9decf5bc5f815b60a6b1075f0dca</x:v>
      </x:c>
      <x:c r="F324" s="12" t="str">
        <x:v>True</x:v>
      </x:c>
      <x:c r="G324" s="12" t="str">
        <x:v>48</x:v>
      </x:c>
      <x:c r="H324" s="12" t="str">
        <x:v>48</x:v>
      </x:c>
      <x:c r="I324" s="12" t="str">
        <x:v>0.0</x:v>
      </x:c>
      <x:c r="J324" s="12" t="str">
        <x:v>0.0</x:v>
      </x:c>
      <x:c r="K324" s="12" t="str">
        <x:v>47.0</x:v>
      </x:c>
      <x:c r="L324" s="12" t="str">
        <x:v>47.0</x:v>
      </x:c>
      <x:c r="M324" s="12" t="str">
        <x:v>True</x:v>
      </x:c>
      <x:c r="N324" s="12" t="str">
        <x:v>68</x:v>
      </x:c>
      <x:c r="O324" s="12" t="str">
        <x:v>68</x:v>
      </x:c>
      <x:c r="P324" s="16" t="str">
        <x:v>1.0</x:v>
      </x:c>
      <x:c r="Q324" s="12" t="str">
        <x:v>68</x:v>
      </x:c>
      <x:c r="R324" s="16" t="str">
        <x:v>1.0</x:v>
      </x:c>
      <x:c r="S324" s="12" t="str">
        <x:v>0.2</x:v>
      </x:c>
      <x:c r="T324" s="12" t="str">
        <x:v>68</x:v>
      </x:c>
      <x:c r="U324" s="16" t="str">
        <x:v>1.0</x:v>
      </x:c>
      <x:c r="V324" s="18" t="str">
        <x:v>0.6701842546463013</x:v>
      </x:c>
      <x:c r="W324" s="18" t="str">
        <x:v>0.7715584933757782</x:v>
      </x:c>
      <x:c r="X324" s="18" t="str">
        <x:v>0.8216941356658936</x:v>
      </x:c>
      <x:c r="Y324" s="18" t="str">
        <x:v>0.8283324241638184</x:v>
      </x:c>
      <x:c r="Z324" s="18" t="str">
        <x:v>0.8649883031845093</x:v>
      </x:c>
      <x:c r="AA324" s="18" t="str">
        <x:v>0.9058961272239685</x:v>
      </x:c>
      <x:c r="AB324" s="20" t="str">
        <x:v>155.48710000439314</x:v>
      </x:c>
      <x:c r="AC324" s="12" t="str">
        <x:v>overlays\surprise_023.png</x:v>
      </x:c>
      <x:c r="AD324" s="12" t="str"/>
      <x:c r="AE324" s="12" t="str"/>
      <x:c r="AF324" s="12" t="str">
        <x:v>acceptable</x:v>
      </x:c>
      <x:c r="AG324" s="12" t="n">
        <x:v>1</x:v>
      </x:c>
      <x:c r="AH324" s="12" t="str">
        <x:v>acceptable</x:v>
      </x:c>
      <x:c r="AI324" s="12" t="str">
        <x:v>acceptable</x:v>
      </x:c>
      <x:c r="AJ324" s="12" t="str">
        <x:v>acceptable</x:v>
      </x:c>
      <x:c r="AK324" s="12" t="str">
        <x:v>acceptable</x:v>
      </x:c>
      <x:c r="AL324" s="12" t="str">
        <x:v>mild</x:v>
      </x:c>
      <x:c r="AM324" s="14" t="str">
        <x:v>Moderate pose, crop, blur, or facial texture causes minor landmark uncertainty; the result remains usable.</x:v>
      </x:c>
    </x:row>
    <x:row r="325" ht="28" customHeight="1">
      <x:c r="A325" s="12" t="str">
        <x:v>surprise_024</x:v>
      </x:c>
      <x:c r="B325" s="12" t="str">
        <x:v>surprise</x:v>
      </x:c>
      <x:c r="C325" s="14" t="str">
        <x:v>surprise/Training_17718809.jpg</x:v>
      </x:c>
      <x:c r="D325" s="12" t="str">
        <x:v>6cf637f9f28b23a13b8f00dcce1551e2f76f0313e0efbfee8fc2a4bc4f4dd0cb</x:v>
      </x:c>
      <x:c r="E325" s="12" t="str">
        <x:v>6cf637f9f28b23a13b8f00dcce1551e2f76f0313e0efbfee8fc2a4bc4f4dd0cb</x:v>
      </x:c>
      <x:c r="F325" s="12" t="str">
        <x:v>True</x:v>
      </x:c>
      <x:c r="G325" s="12" t="str">
        <x:v>48</x:v>
      </x:c>
      <x:c r="H325" s="12" t="str">
        <x:v>48</x:v>
      </x:c>
      <x:c r="I325" s="12" t="str">
        <x:v>0.0</x:v>
      </x:c>
      <x:c r="J325" s="12" t="str">
        <x:v>0.0</x:v>
      </x:c>
      <x:c r="K325" s="12" t="str">
        <x:v>47.0</x:v>
      </x:c>
      <x:c r="L325" s="12" t="str">
        <x:v>47.0</x:v>
      </x:c>
      <x:c r="M325" s="12" t="str">
        <x:v>True</x:v>
      </x:c>
      <x:c r="N325" s="12" t="str">
        <x:v>68</x:v>
      </x:c>
      <x:c r="O325" s="12" t="str">
        <x:v>68</x:v>
      </x:c>
      <x:c r="P325" s="16" t="str">
        <x:v>1.0</x:v>
      </x:c>
      <x:c r="Q325" s="12" t="str">
        <x:v>68</x:v>
      </x:c>
      <x:c r="R325" s="16" t="str">
        <x:v>1.0</x:v>
      </x:c>
      <x:c r="S325" s="12" t="str">
        <x:v>0.2</x:v>
      </x:c>
      <x:c r="T325" s="12" t="str">
        <x:v>68</x:v>
      </x:c>
      <x:c r="U325" s="16" t="str">
        <x:v>1.0</x:v>
      </x:c>
      <x:c r="V325" s="18" t="str">
        <x:v>0.6923248171806335</x:v>
      </x:c>
      <x:c r="W325" s="18" t="str">
        <x:v>0.7714491963386536</x:v>
      </x:c>
      <x:c r="X325" s="18" t="str">
        <x:v>0.806877076625824</x:v>
      </x:c>
      <x:c r="Y325" s="18" t="str">
        <x:v>0.802750825881958</x:v>
      </x:c>
      <x:c r="Z325" s="18" t="str">
        <x:v>0.8563599467277527</x:v>
      </x:c>
      <x:c r="AA325" s="18" t="str">
        <x:v>0.8771423697471619</x:v>
      </x:c>
      <x:c r="AB325" s="20" t="str">
        <x:v>202.75070000207052</x:v>
      </x:c>
      <x:c r="AC325" s="12" t="str">
        <x:v>overlays\surprise_024.png</x:v>
      </x:c>
      <x:c r="AD325" s="12" t="str"/>
      <x:c r="AE325" s="12" t="str"/>
      <x:c r="AF325" s="12" t="str">
        <x:v>good</x:v>
      </x:c>
      <x:c r="AG325" s="12" t="n">
        <x:v>1</x:v>
      </x:c>
      <x:c r="AH325" s="12" t="str">
        <x:v>good</x:v>
      </x:c>
      <x:c r="AI325" s="12" t="str">
        <x:v>good</x:v>
      </x:c>
      <x:c r="AJ325" s="12" t="str">
        <x:v>good</x:v>
      </x:c>
      <x:c r="AK325" s="12" t="str">
        <x:v>good</x:v>
      </x:c>
      <x:c r="AL325" s="12" t="str">
        <x:v>none</x:v>
      </x:c>
      <x:c r="AM325" s="14" t="str">
        <x:v>Clear and well-aligned facial landmarks with no major pose, crop, or occlusion issue.</x:v>
      </x:c>
    </x:row>
    <x:row r="326" ht="28" customHeight="1">
      <x:c r="A326" s="12" t="str">
        <x:v>surprise_025</x:v>
      </x:c>
      <x:c r="B326" s="12" t="str">
        <x:v>surprise</x:v>
      </x:c>
      <x:c r="C326" s="14" t="str">
        <x:v>surprise/Training_88092704.jpg</x:v>
      </x:c>
      <x:c r="D326" s="12" t="str">
        <x:v>943009c6bf2d613ba2dd2a589453c506c467c2f2483c7ad940b8f47505524283</x:v>
      </x:c>
      <x:c r="E326" s="12" t="str">
        <x:v>943009c6bf2d613ba2dd2a589453c506c467c2f2483c7ad940b8f47505524283</x:v>
      </x:c>
      <x:c r="F326" s="12" t="str">
        <x:v>True</x:v>
      </x:c>
      <x:c r="G326" s="12" t="str">
        <x:v>48</x:v>
      </x:c>
      <x:c r="H326" s="12" t="str">
        <x:v>48</x:v>
      </x:c>
      <x:c r="I326" s="12" t="str">
        <x:v>0.0</x:v>
      </x:c>
      <x:c r="J326" s="12" t="str">
        <x:v>0.0</x:v>
      </x:c>
      <x:c r="K326" s="12" t="str">
        <x:v>47.0</x:v>
      </x:c>
      <x:c r="L326" s="12" t="str">
        <x:v>47.0</x:v>
      </x:c>
      <x:c r="M326" s="12" t="str">
        <x:v>True</x:v>
      </x:c>
      <x:c r="N326" s="12" t="str">
        <x:v>68</x:v>
      </x:c>
      <x:c r="O326" s="12" t="str">
        <x:v>68</x:v>
      </x:c>
      <x:c r="P326" s="16" t="str">
        <x:v>1.0</x:v>
      </x:c>
      <x:c r="Q326" s="12" t="str">
        <x:v>68</x:v>
      </x:c>
      <x:c r="R326" s="16" t="str">
        <x:v>1.0</x:v>
      </x:c>
      <x:c r="S326" s="12" t="str">
        <x:v>0.2</x:v>
      </x:c>
      <x:c r="T326" s="12" t="str">
        <x:v>68</x:v>
      </x:c>
      <x:c r="U326" s="16" t="str">
        <x:v>1.0</x:v>
      </x:c>
      <x:c r="V326" s="18" t="str">
        <x:v>0.25790393352508545</x:v>
      </x:c>
      <x:c r="W326" s="18" t="str">
        <x:v>0.5413230657577515</x:v>
      </x:c>
      <x:c r="X326" s="18" t="str">
        <x:v>0.7261369824409485</x:v>
      </x:c>
      <x:c r="Y326" s="18" t="str">
        <x:v>0.7910469770431519</x:v>
      </x:c>
      <x:c r="Z326" s="18" t="str">
        <x:v>0.8346419394016267</x:v>
      </x:c>
      <x:c r="AA326" s="18" t="str">
        <x:v>0.8767795562744141</x:v>
      </x:c>
      <x:c r="AB326" s="20" t="str">
        <x:v>172.54030000185594</x:v>
      </x:c>
      <x:c r="AC326" s="12" t="str">
        <x:v>overlays\surprise_025.png</x:v>
      </x:c>
      <x:c r="AD326" s="12" t="str"/>
      <x:c r="AE326" s="12" t="str"/>
      <x:c r="AF326" s="12" t="str">
        <x:v>acceptable</x:v>
      </x:c>
      <x:c r="AG326" s="12" t="n">
        <x:v>1</x:v>
      </x:c>
      <x:c r="AH326" s="12" t="str">
        <x:v>acceptable</x:v>
      </x:c>
      <x:c r="AI326" s="12" t="str">
        <x:v>acceptable</x:v>
      </x:c>
      <x:c r="AJ326" s="12" t="str">
        <x:v>acceptable</x:v>
      </x:c>
      <x:c r="AK326" s="12" t="str">
        <x:v>acceptable</x:v>
      </x:c>
      <x:c r="AL326" s="12" t="str">
        <x:v>mild</x:v>
      </x:c>
      <x:c r="AM326" s="14" t="str">
        <x:v>Moderate pose, crop, blur, or facial texture causes minor landmark uncertainty; the result remains usable.</x:v>
      </x:c>
    </x:row>
    <x:row r="327" ht="28" customHeight="1">
      <x:c r="A327" s="12" t="str">
        <x:v>surprise_026</x:v>
      </x:c>
      <x:c r="B327" s="12" t="str">
        <x:v>surprise</x:v>
      </x:c>
      <x:c r="C327" s="14" t="str">
        <x:v>surprise/Training_37479297.jpg</x:v>
      </x:c>
      <x:c r="D327" s="12" t="str">
        <x:v>fb2a6f18f285dc54b76dc753e358f5d9579729da198546973300a999935a9912</x:v>
      </x:c>
      <x:c r="E327" s="12" t="str">
        <x:v>fb2a6f18f285dc54b76dc753e358f5d9579729da198546973300a999935a9912</x:v>
      </x:c>
      <x:c r="F327" s="12" t="str">
        <x:v>True</x:v>
      </x:c>
      <x:c r="G327" s="12" t="str">
        <x:v>48</x:v>
      </x:c>
      <x:c r="H327" s="12" t="str">
        <x:v>48</x:v>
      </x:c>
      <x:c r="I327" s="12" t="str">
        <x:v>0.0</x:v>
      </x:c>
      <x:c r="J327" s="12" t="str">
        <x:v>0.0</x:v>
      </x:c>
      <x:c r="K327" s="12" t="str">
        <x:v>47.0</x:v>
      </x:c>
      <x:c r="L327" s="12" t="str">
        <x:v>47.0</x:v>
      </x:c>
      <x:c r="M327" s="12" t="str">
        <x:v>True</x:v>
      </x:c>
      <x:c r="N327" s="12" t="str">
        <x:v>68</x:v>
      </x:c>
      <x:c r="O327" s="12" t="str">
        <x:v>68</x:v>
      </x:c>
      <x:c r="P327" s="16" t="str">
        <x:v>1.0</x:v>
      </x:c>
      <x:c r="Q327" s="12" t="str">
        <x:v>67</x:v>
      </x:c>
      <x:c r="R327" s="16" t="str">
        <x:v>0.9852941176470589</x:v>
      </x:c>
      <x:c r="S327" s="12" t="str">
        <x:v>0.2</x:v>
      </x:c>
      <x:c r="T327" s="12" t="str">
        <x:v>67</x:v>
      </x:c>
      <x:c r="U327" s="16" t="str">
        <x:v>0.9852941176470589</x:v>
      </x:c>
      <x:c r="V327" s="18" t="str">
        <x:v>0.1719401627779007</x:v>
      </x:c>
      <x:c r="W327" s="18" t="str">
        <x:v>0.6514957189559937</x:v>
      </x:c>
      <x:c r="X327" s="18" t="str">
        <x:v>0.7538780570030212</x:v>
      </x:c>
      <x:c r="Y327" s="18" t="str">
        <x:v>0.8009455800056458</x:v>
      </x:c>
      <x:c r="Z327" s="18" t="str">
        <x:v>0.855529648065567</x:v>
      </x:c>
      <x:c r="AA327" s="18" t="str">
        <x:v>0.8775659203529358</x:v>
      </x:c>
      <x:c r="AB327" s="20" t="str">
        <x:v>156.85099999973318</x:v>
      </x:c>
      <x:c r="AC327" s="12" t="str">
        <x:v>overlays\surprise_026.png</x:v>
      </x:c>
      <x:c r="AD327" s="12" t="str"/>
      <x:c r="AE327" s="12" t="str"/>
      <x:c r="AF327" s="12" t="str">
        <x:v>good</x:v>
      </x:c>
      <x:c r="AG327" s="12" t="n">
        <x:v>1</x:v>
      </x:c>
      <x:c r="AH327" s="12" t="str">
        <x:v>good</x:v>
      </x:c>
      <x:c r="AI327" s="12" t="str">
        <x:v>good</x:v>
      </x:c>
      <x:c r="AJ327" s="12" t="str">
        <x:v>good</x:v>
      </x:c>
      <x:c r="AK327" s="12" t="str">
        <x:v>good</x:v>
      </x:c>
      <x:c r="AL327" s="12" t="str">
        <x:v>none</x:v>
      </x:c>
      <x:c r="AM327" s="14" t="str">
        <x:v>Clear and well-aligned facial landmarks with no major pose, crop, or occlusion issue.</x:v>
      </x:c>
    </x:row>
    <x:row r="328" ht="28" customHeight="1">
      <x:c r="A328" s="12" t="str">
        <x:v>surprise_027</x:v>
      </x:c>
      <x:c r="B328" s="12" t="str">
        <x:v>surprise</x:v>
      </x:c>
      <x:c r="C328" s="14" t="str">
        <x:v>surprise/Training_57636357.jpg</x:v>
      </x:c>
      <x:c r="D328" s="12" t="str">
        <x:v>53cc4575dfea9ff14fdbc2ad8b1f92c32a24e80bbff6994837dc3113cf48b4d1</x:v>
      </x:c>
      <x:c r="E328" s="12" t="str">
        <x:v>53cc4575dfea9ff14fdbc2ad8b1f92c32a24e80bbff6994837dc3113cf48b4d1</x:v>
      </x:c>
      <x:c r="F328" s="12" t="str">
        <x:v>True</x:v>
      </x:c>
      <x:c r="G328" s="12" t="str">
        <x:v>48</x:v>
      </x:c>
      <x:c r="H328" s="12" t="str">
        <x:v>48</x:v>
      </x:c>
      <x:c r="I328" s="12" t="str">
        <x:v>0.0</x:v>
      </x:c>
      <x:c r="J328" s="12" t="str">
        <x:v>0.0</x:v>
      </x:c>
      <x:c r="K328" s="12" t="str">
        <x:v>47.0</x:v>
      </x:c>
      <x:c r="L328" s="12" t="str">
        <x:v>47.0</x:v>
      </x:c>
      <x:c r="M328" s="12" t="str">
        <x:v>True</x:v>
      </x:c>
      <x:c r="N328" s="12" t="str">
        <x:v>68</x:v>
      </x:c>
      <x:c r="O328" s="12" t="str">
        <x:v>68</x:v>
      </x:c>
      <x:c r="P328" s="16" t="str">
        <x:v>1.0</x:v>
      </x:c>
      <x:c r="Q328" s="12" t="str">
        <x:v>68</x:v>
      </x:c>
      <x:c r="R328" s="16" t="str">
        <x:v>1.0</x:v>
      </x:c>
      <x:c r="S328" s="12" t="str">
        <x:v>0.2</x:v>
      </x:c>
      <x:c r="T328" s="12" t="str">
        <x:v>68</x:v>
      </x:c>
      <x:c r="U328" s="16" t="str">
        <x:v>1.0</x:v>
      </x:c>
      <x:c r="V328" s="18" t="str">
        <x:v>0.41314324736595154</x:v>
      </x:c>
      <x:c r="W328" s="18" t="str">
        <x:v>0.6529386758804321</x:v>
      </x:c>
      <x:c r="X328" s="18" t="str">
        <x:v>0.7549237608909607</x:v>
      </x:c>
      <x:c r="Y328" s="18" t="str">
        <x:v>0.7840688228607178</x:v>
      </x:c>
      <x:c r="Z328" s="18" t="str">
        <x:v>0.8364739120006561</x:v>
      </x:c>
      <x:c r="AA328" s="18" t="str">
        <x:v>0.8917717933654785</x:v>
      </x:c>
      <x:c r="AB328" s="20" t="str">
        <x:v>153.68660000240197</x:v>
      </x:c>
      <x:c r="AC328" s="12" t="str">
        <x:v>overlays\surprise_027.png</x:v>
      </x:c>
      <x:c r="AD328" s="12" t="str"/>
      <x:c r="AE328" s="12" t="str"/>
      <x:c r="AF328" s="12" t="str">
        <x:v>acceptable</x:v>
      </x:c>
      <x:c r="AG328" s="12" t="n">
        <x:v>1</x:v>
      </x:c>
      <x:c r="AH328" s="12" t="str">
        <x:v>acceptable</x:v>
      </x:c>
      <x:c r="AI328" s="12" t="str">
        <x:v>acceptable</x:v>
      </x:c>
      <x:c r="AJ328" s="12" t="str">
        <x:v>acceptable</x:v>
      </x:c>
      <x:c r="AK328" s="12" t="str">
        <x:v>acceptable</x:v>
      </x:c>
      <x:c r="AL328" s="12" t="str">
        <x:v>mild</x:v>
      </x:c>
      <x:c r="AM328" s="14" t="str">
        <x:v>Moderate pose, crop, blur, or facial texture causes minor landmark uncertainty; the result remains usable.</x:v>
      </x:c>
    </x:row>
    <x:row r="329" ht="28" customHeight="1">
      <x:c r="A329" s="12" t="str">
        <x:v>surprise_028</x:v>
      </x:c>
      <x:c r="B329" s="12" t="str">
        <x:v>surprise</x:v>
      </x:c>
      <x:c r="C329" s="14" t="str">
        <x:v>surprise/Training_23930604.jpg</x:v>
      </x:c>
      <x:c r="D329" s="12" t="str">
        <x:v>a6dd818fa3ee60cae569a91a9b937542bd2ca7b4eab6123bda8baae88e1c9d6c</x:v>
      </x:c>
      <x:c r="E329" s="12" t="str">
        <x:v>a6dd818fa3ee60cae569a91a9b937542bd2ca7b4eab6123bda8baae88e1c9d6c</x:v>
      </x:c>
      <x:c r="F329" s="12" t="str">
        <x:v>True</x:v>
      </x:c>
      <x:c r="G329" s="12" t="str">
        <x:v>48</x:v>
      </x:c>
      <x:c r="H329" s="12" t="str">
        <x:v>48</x:v>
      </x:c>
      <x:c r="I329" s="12" t="str">
        <x:v>0.0</x:v>
      </x:c>
      <x:c r="J329" s="12" t="str">
        <x:v>0.0</x:v>
      </x:c>
      <x:c r="K329" s="12" t="str">
        <x:v>47.0</x:v>
      </x:c>
      <x:c r="L329" s="12" t="str">
        <x:v>47.0</x:v>
      </x:c>
      <x:c r="M329" s="12" t="str">
        <x:v>True</x:v>
      </x:c>
      <x:c r="N329" s="12" t="str">
        <x:v>68</x:v>
      </x:c>
      <x:c r="O329" s="12" t="str">
        <x:v>68</x:v>
      </x:c>
      <x:c r="P329" s="16" t="str">
        <x:v>1.0</x:v>
      </x:c>
      <x:c r="Q329" s="12" t="str">
        <x:v>68</x:v>
      </x:c>
      <x:c r="R329" s="16" t="str">
        <x:v>1.0</x:v>
      </x:c>
      <x:c r="S329" s="12" t="str">
        <x:v>0.2</x:v>
      </x:c>
      <x:c r="T329" s="12" t="str">
        <x:v>68</x:v>
      </x:c>
      <x:c r="U329" s="16" t="str">
        <x:v>1.0</x:v>
      </x:c>
      <x:c r="V329" s="18" t="str">
        <x:v>0.5470007658004761</x:v>
      </x:c>
      <x:c r="W329" s="18" t="str">
        <x:v>0.7147452116012574</x:v>
      </x:c>
      <x:c r="X329" s="18" t="str">
        <x:v>0.7717505693435669</x:v>
      </x:c>
      <x:c r="Y329" s="18" t="str">
        <x:v>0.782142162322998</x:v>
      </x:c>
      <x:c r="Z329" s="18" t="str">
        <x:v>0.8245656430721283</x:v>
      </x:c>
      <x:c r="AA329" s="18" t="str">
        <x:v>0.8476357460021973</x:v>
      </x:c>
      <x:c r="AB329" s="20" t="str">
        <x:v>166.79579999618</x:v>
      </x:c>
      <x:c r="AC329" s="12" t="str">
        <x:v>overlays\surprise_028.png</x:v>
      </x:c>
      <x:c r="AD329" s="12" t="str"/>
      <x:c r="AE329" s="12" t="str"/>
      <x:c r="AF329" s="12" t="str">
        <x:v>acceptable</x:v>
      </x:c>
      <x:c r="AG329" s="12" t="n">
        <x:v>1</x:v>
      </x:c>
      <x:c r="AH329" s="12" t="str">
        <x:v>acceptable</x:v>
      </x:c>
      <x:c r="AI329" s="12" t="str">
        <x:v>acceptable</x:v>
      </x:c>
      <x:c r="AJ329" s="12" t="str">
        <x:v>acceptable</x:v>
      </x:c>
      <x:c r="AK329" s="12" t="str">
        <x:v>acceptable</x:v>
      </x:c>
      <x:c r="AL329" s="12" t="str">
        <x:v>mild</x:v>
      </x:c>
      <x:c r="AM329" s="14" t="str">
        <x:v>Moderate pose, crop, blur, or facial texture causes minor landmark uncertainty; the result remains usable.</x:v>
      </x:c>
    </x:row>
    <x:row r="330" ht="28" customHeight="1">
      <x:c r="A330" s="12" t="str">
        <x:v>surprise_029</x:v>
      </x:c>
      <x:c r="B330" s="12" t="str">
        <x:v>surprise</x:v>
      </x:c>
      <x:c r="C330" s="14" t="str">
        <x:v>surprise/Training_75662418.jpg</x:v>
      </x:c>
      <x:c r="D330" s="12" t="str">
        <x:v>927dc1c158801e33cfb058d0dd782fd87233105b381674ce743c8a0a5a61a946</x:v>
      </x:c>
      <x:c r="E330" s="12" t="str">
        <x:v>927dc1c158801e33cfb058d0dd782fd87233105b381674ce743c8a0a5a61a946</x:v>
      </x:c>
      <x:c r="F330" s="12" t="str">
        <x:v>True</x:v>
      </x:c>
      <x:c r="G330" s="12" t="str">
        <x:v>48</x:v>
      </x:c>
      <x:c r="H330" s="12" t="str">
        <x:v>48</x:v>
      </x:c>
      <x:c r="I330" s="12" t="str">
        <x:v>0.0</x:v>
      </x:c>
      <x:c r="J330" s="12" t="str">
        <x:v>0.0</x:v>
      </x:c>
      <x:c r="K330" s="12" t="str">
        <x:v>47.0</x:v>
      </x:c>
      <x:c r="L330" s="12" t="str">
        <x:v>47.0</x:v>
      </x:c>
      <x:c r="M330" s="12" t="str">
        <x:v>True</x:v>
      </x:c>
      <x:c r="N330" s="12" t="str">
        <x:v>68</x:v>
      </x:c>
      <x:c r="O330" s="12" t="str">
        <x:v>68</x:v>
      </x:c>
      <x:c r="P330" s="16" t="str">
        <x:v>1.0</x:v>
      </x:c>
      <x:c r="Q330" s="12" t="str">
        <x:v>68</x:v>
      </x:c>
      <x:c r="R330" s="16" t="str">
        <x:v>1.0</x:v>
      </x:c>
      <x:c r="S330" s="12" t="str">
        <x:v>0.2</x:v>
      </x:c>
      <x:c r="T330" s="12" t="str">
        <x:v>68</x:v>
      </x:c>
      <x:c r="U330" s="16" t="str">
        <x:v>1.0</x:v>
      </x:c>
      <x:c r="V330" s="18" t="str">
        <x:v>0.6481049656867981</x:v>
      </x:c>
      <x:c r="W330" s="18" t="str">
        <x:v>0.7213996767997741</x:v>
      </x:c>
      <x:c r="X330" s="18" t="str">
        <x:v>0.7928534746170044</x:v>
      </x:c>
      <x:c r="Y330" s="18" t="str">
        <x:v>0.807349681854248</x:v>
      </x:c>
      <x:c r="Z330" s="18" t="str">
        <x:v>0.8563918471336365</x:v>
      </x:c>
      <x:c r="AA330" s="18" t="str">
        <x:v>0.8718491196632385</x:v>
      </x:c>
      <x:c r="AB330" s="20" t="str">
        <x:v>158.06290000182344</x:v>
      </x:c>
      <x:c r="AC330" s="12" t="str">
        <x:v>overlays\surprise_029.png</x:v>
      </x:c>
      <x:c r="AD330" s="12" t="str"/>
      <x:c r="AE330" s="12" t="str"/>
      <x:c r="AF330" s="12" t="str">
        <x:v>acceptable</x:v>
      </x:c>
      <x:c r="AG330" s="12" t="n">
        <x:v>1</x:v>
      </x:c>
      <x:c r="AH330" s="12" t="str">
        <x:v>occluded</x:v>
      </x:c>
      <x:c r="AI330" s="12" t="str">
        <x:v>occluded</x:v>
      </x:c>
      <x:c r="AJ330" s="12" t="str">
        <x:v>acceptable</x:v>
      </x:c>
      <x:c r="AK330" s="12" t="str">
        <x:v>not_applicable</x:v>
      </x:c>
      <x:c r="AL330" s="12" t="str">
        <x:v>mild</x:v>
      </x:c>
      <x:c r="AM330" s="14" t="str">
        <x:v>Occlusion affects part of the face; visible landmarks remain usable, but hidden points are inferred.</x:v>
      </x:c>
    </x:row>
    <x:row r="331" ht="28" customHeight="1">
      <x:c r="A331" s="12" t="str">
        <x:v>surprise_030</x:v>
      </x:c>
      <x:c r="B331" s="12" t="str">
        <x:v>surprise</x:v>
      </x:c>
      <x:c r="C331" s="14" t="str">
        <x:v>surprise/Training_38697129.jpg</x:v>
      </x:c>
      <x:c r="D331" s="12" t="str">
        <x:v>52a1f34e91adf6bbf30896830309300a78d570d776349b96b85eef6e9eb49165</x:v>
      </x:c>
      <x:c r="E331" s="12" t="str">
        <x:v>52a1f34e91adf6bbf30896830309300a78d570d776349b96b85eef6e9eb49165</x:v>
      </x:c>
      <x:c r="F331" s="12" t="str">
        <x:v>True</x:v>
      </x:c>
      <x:c r="G331" s="12" t="str">
        <x:v>48</x:v>
      </x:c>
      <x:c r="H331" s="12" t="str">
        <x:v>48</x:v>
      </x:c>
      <x:c r="I331" s="12" t="str">
        <x:v>0.0</x:v>
      </x:c>
      <x:c r="J331" s="12" t="str">
        <x:v>0.0</x:v>
      </x:c>
      <x:c r="K331" s="12" t="str">
        <x:v>47.0</x:v>
      </x:c>
      <x:c r="L331" s="12" t="str">
        <x:v>47.0</x:v>
      </x:c>
      <x:c r="M331" s="12" t="str">
        <x:v>True</x:v>
      </x:c>
      <x:c r="N331" s="12" t="str">
        <x:v>68</x:v>
      </x:c>
      <x:c r="O331" s="12" t="str">
        <x:v>68</x:v>
      </x:c>
      <x:c r="P331" s="16" t="str">
        <x:v>1.0</x:v>
      </x:c>
      <x:c r="Q331" s="12" t="str">
        <x:v>68</x:v>
      </x:c>
      <x:c r="R331" s="16" t="str">
        <x:v>1.0</x:v>
      </x:c>
      <x:c r="S331" s="12" t="str">
        <x:v>0.2</x:v>
      </x:c>
      <x:c r="T331" s="12" t="str">
        <x:v>68</x:v>
      </x:c>
      <x:c r="U331" s="16" t="str">
        <x:v>1.0</x:v>
      </x:c>
      <x:c r="V331" s="18" t="str">
        <x:v>0.5791471004486084</x:v>
      </x:c>
      <x:c r="W331" s="18" t="str">
        <x:v>0.6828282833099365</x:v>
      </x:c>
      <x:c r="X331" s="18" t="str">
        <x:v>0.7770687341690063</x:v>
      </x:c>
      <x:c r="Y331" s="18" t="str">
        <x:v>0.794135332107544</x:v>
      </x:c>
      <x:c r="Z331" s="18" t="str">
        <x:v>0.8430129647254944</x:v>
      </x:c>
      <x:c r="AA331" s="18" t="str">
        <x:v>0.8731701970100403</x:v>
      </x:c>
      <x:c r="AB331" s="20" t="str">
        <x:v>156.83339999668533</x:v>
      </x:c>
      <x:c r="AC331" s="12" t="str">
        <x:v>overlays\surprise_030.png</x:v>
      </x:c>
      <x:c r="AD331" s="12" t="str"/>
      <x:c r="AE331" s="12" t="str"/>
      <x:c r="AF331" s="12" t="str">
        <x:v>good</x:v>
      </x:c>
      <x:c r="AG331" s="12" t="n">
        <x:v>1</x:v>
      </x:c>
      <x:c r="AH331" s="12" t="str">
        <x:v>good</x:v>
      </x:c>
      <x:c r="AI331" s="12" t="str">
        <x:v>good</x:v>
      </x:c>
      <x:c r="AJ331" s="12" t="str">
        <x:v>good</x:v>
      </x:c>
      <x:c r="AK331" s="12" t="str">
        <x:v>good</x:v>
      </x:c>
      <x:c r="AL331" s="12" t="str">
        <x:v>none</x:v>
      </x:c>
      <x:c r="AM331" s="14" t="str">
        <x:v>Clear and well-aligned facial landmarks with no major pose, crop, or occlusion issue.</x:v>
      </x:c>
    </x:row>
    <x:row r="332" ht="28" customHeight="1">
      <x:c r="A332" s="12" t="str">
        <x:v>surprise_031</x:v>
      </x:c>
      <x:c r="B332" s="12" t="str">
        <x:v>surprise</x:v>
      </x:c>
      <x:c r="C332" s="14" t="str">
        <x:v>surprise/Training_76519158.jpg</x:v>
      </x:c>
      <x:c r="D332" s="12" t="str">
        <x:v>ab41124370fe2af6bf4b11ebd0a554363016a7d5aa78642ca7d97b84d67c72b9</x:v>
      </x:c>
      <x:c r="E332" s="12" t="str">
        <x:v>ab41124370fe2af6bf4b11ebd0a554363016a7d5aa78642ca7d97b84d67c72b9</x:v>
      </x:c>
      <x:c r="F332" s="12" t="str">
        <x:v>True</x:v>
      </x:c>
      <x:c r="G332" s="12" t="str">
        <x:v>48</x:v>
      </x:c>
      <x:c r="H332" s="12" t="str">
        <x:v>48</x:v>
      </x:c>
      <x:c r="I332" s="12" t="str">
        <x:v>0.0</x:v>
      </x:c>
      <x:c r="J332" s="12" t="str">
        <x:v>0.0</x:v>
      </x:c>
      <x:c r="K332" s="12" t="str">
        <x:v>47.0</x:v>
      </x:c>
      <x:c r="L332" s="12" t="str">
        <x:v>47.0</x:v>
      </x:c>
      <x:c r="M332" s="12" t="str">
        <x:v>True</x:v>
      </x:c>
      <x:c r="N332" s="12" t="str">
        <x:v>68</x:v>
      </x:c>
      <x:c r="O332" s="12" t="str">
        <x:v>68</x:v>
      </x:c>
      <x:c r="P332" s="16" t="str">
        <x:v>1.0</x:v>
      </x:c>
      <x:c r="Q332" s="12" t="str">
        <x:v>68</x:v>
      </x:c>
      <x:c r="R332" s="16" t="str">
        <x:v>1.0</x:v>
      </x:c>
      <x:c r="S332" s="12" t="str">
        <x:v>0.2</x:v>
      </x:c>
      <x:c r="T332" s="12" t="str">
        <x:v>68</x:v>
      </x:c>
      <x:c r="U332" s="16" t="str">
        <x:v>1.0</x:v>
      </x:c>
      <x:c r="V332" s="18" t="str">
        <x:v>0.7046362161636353</x:v>
      </x:c>
      <x:c r="W332" s="18" t="str">
        <x:v>0.7301032304763794</x:v>
      </x:c>
      <x:c r="X332" s="18" t="str">
        <x:v>0.8077312111854553</x:v>
      </x:c>
      <x:c r="Y332" s="18" t="str">
        <x:v>0.824488639831543</x:v>
      </x:c>
      <x:c r="Z332" s="18" t="str">
        <x:v>0.8564741909503937</x:v>
      </x:c>
      <x:c r="AA332" s="18" t="str">
        <x:v>0.8808535933494568</x:v>
      </x:c>
      <x:c r="AB332" s="20" t="str">
        <x:v>166.74930000590393</x:v>
      </x:c>
      <x:c r="AC332" s="12" t="str">
        <x:v>overlays\surprise_031.png</x:v>
      </x:c>
      <x:c r="AD332" s="12" t="str"/>
      <x:c r="AE332" s="12" t="str"/>
      <x:c r="AF332" s="12" t="str">
        <x:v>good</x:v>
      </x:c>
      <x:c r="AG332" s="12" t="n">
        <x:v>1</x:v>
      </x:c>
      <x:c r="AH332" s="12" t="str">
        <x:v>good</x:v>
      </x:c>
      <x:c r="AI332" s="12" t="str">
        <x:v>good</x:v>
      </x:c>
      <x:c r="AJ332" s="12" t="str">
        <x:v>good</x:v>
      </x:c>
      <x:c r="AK332" s="12" t="str">
        <x:v>not_applicable</x:v>
      </x:c>
      <x:c r="AL332" s="12" t="str">
        <x:v>none</x:v>
      </x:c>
      <x:c r="AM332" s="14" t="str">
        <x:v>Clear and well-aligned facial landmarks with no major pose, crop, or occlusion issue.</x:v>
      </x:c>
    </x:row>
    <x:row r="333" ht="28" customHeight="1">
      <x:c r="A333" s="12" t="str">
        <x:v>surprise_032</x:v>
      </x:c>
      <x:c r="B333" s="12" t="str">
        <x:v>surprise</x:v>
      </x:c>
      <x:c r="C333" s="14" t="str">
        <x:v>surprise/Training_78119452.jpg</x:v>
      </x:c>
      <x:c r="D333" s="12" t="str">
        <x:v>f55eac67bef13ecef9c5a8bf5dab2df185e51d39e462bd8a733f18ba3da2b211</x:v>
      </x:c>
      <x:c r="E333" s="12" t="str">
        <x:v>f55eac67bef13ecef9c5a8bf5dab2df185e51d39e462bd8a733f18ba3da2b211</x:v>
      </x:c>
      <x:c r="F333" s="12" t="str">
        <x:v>True</x:v>
      </x:c>
      <x:c r="G333" s="12" t="str">
        <x:v>48</x:v>
      </x:c>
      <x:c r="H333" s="12" t="str">
        <x:v>48</x:v>
      </x:c>
      <x:c r="I333" s="12" t="str">
        <x:v>0.0</x:v>
      </x:c>
      <x:c r="J333" s="12" t="str">
        <x:v>0.0</x:v>
      </x:c>
      <x:c r="K333" s="12" t="str">
        <x:v>47.0</x:v>
      </x:c>
      <x:c r="L333" s="12" t="str">
        <x:v>47.0</x:v>
      </x:c>
      <x:c r="M333" s="12" t="str">
        <x:v>True</x:v>
      </x:c>
      <x:c r="N333" s="12" t="str">
        <x:v>68</x:v>
      </x:c>
      <x:c r="O333" s="12" t="str">
        <x:v>68</x:v>
      </x:c>
      <x:c r="P333" s="16" t="str">
        <x:v>1.0</x:v>
      </x:c>
      <x:c r="Q333" s="12" t="str">
        <x:v>66</x:v>
      </x:c>
      <x:c r="R333" s="16" t="str">
        <x:v>0.9705882352941176</x:v>
      </x:c>
      <x:c r="S333" s="12" t="str">
        <x:v>0.2</x:v>
      </x:c>
      <x:c r="T333" s="12" t="str">
        <x:v>63</x:v>
      </x:c>
      <x:c r="U333" s="16" t="str">
        <x:v>0.9264705882352942</x:v>
      </x:c>
      <x:c r="V333" s="18" t="str">
        <x:v>0.0537298321723938</x:v>
      </x:c>
      <x:c r="W333" s="18" t="str">
        <x:v>0.3316224247217178</x:v>
      </x:c>
      <x:c r="X333" s="18" t="str">
        <x:v>0.6030359268188477</x:v>
      </x:c>
      <x:c r="Y333" s="18" t="str">
        <x:v>0.6999489068984985</x:v>
      </x:c>
      <x:c r="Z333" s="18" t="str">
        <x:v>0.806078577041626</x:v>
      </x:c>
      <x:c r="AA333" s="18" t="str">
        <x:v>0.8404017090797424</x:v>
      </x:c>
      <x:c r="AB333" s="20" t="str">
        <x:v>238.0886000028113</x:v>
      </x:c>
      <x:c r="AC333" s="12" t="str">
        <x:v>overlays\surprise_032.png</x:v>
      </x:c>
      <x:c r="AD333" s="12" t="str"/>
      <x:c r="AE333" s="12" t="str"/>
      <x:c r="AF333" s="12" t="str">
        <x:v>acceptable</x:v>
      </x:c>
      <x:c r="AG333" s="12" t="n">
        <x:v>1</x:v>
      </x:c>
      <x:c r="AH333" s="12" t="str">
        <x:v>acceptable</x:v>
      </x:c>
      <x:c r="AI333" s="12" t="str">
        <x:v>acceptable</x:v>
      </x:c>
      <x:c r="AJ333" s="12" t="str">
        <x:v>acceptable</x:v>
      </x:c>
      <x:c r="AK333" s="12" t="str">
        <x:v>acceptable</x:v>
      </x:c>
      <x:c r="AL333" s="12" t="str">
        <x:v>mild</x:v>
      </x:c>
      <x:c r="AM333" s="14" t="str">
        <x:v>Blur, low contrast, or unusual appearance lowers confidence, but the landmark geometry remains usable.</x:v>
      </x:c>
    </x:row>
    <x:row r="334" ht="28" customHeight="1">
      <x:c r="A334" s="12" t="str">
        <x:v>surprise_033</x:v>
      </x:c>
      <x:c r="B334" s="12" t="str">
        <x:v>surprise</x:v>
      </x:c>
      <x:c r="C334" s="14" t="str">
        <x:v>surprise/Training_14413710.jpg</x:v>
      </x:c>
      <x:c r="D334" s="12" t="str">
        <x:v>626bfa77d4ed117cc4d03a138d6c53c02fce8c6336584c6c169d652ddbdf6d88</x:v>
      </x:c>
      <x:c r="E334" s="12" t="str">
        <x:v>626bfa77d4ed117cc4d03a138d6c53c02fce8c6336584c6c169d652ddbdf6d88</x:v>
      </x:c>
      <x:c r="F334" s="12" t="str">
        <x:v>True</x:v>
      </x:c>
      <x:c r="G334" s="12" t="str">
        <x:v>48</x:v>
      </x:c>
      <x:c r="H334" s="12" t="str">
        <x:v>48</x:v>
      </x:c>
      <x:c r="I334" s="12" t="str">
        <x:v>0.0</x:v>
      </x:c>
      <x:c r="J334" s="12" t="str">
        <x:v>0.0</x:v>
      </x:c>
      <x:c r="K334" s="12" t="str">
        <x:v>47.0</x:v>
      </x:c>
      <x:c r="L334" s="12" t="str">
        <x:v>47.0</x:v>
      </x:c>
      <x:c r="M334" s="12" t="str">
        <x:v>True</x:v>
      </x:c>
      <x:c r="N334" s="12" t="str">
        <x:v>68</x:v>
      </x:c>
      <x:c r="O334" s="12" t="str">
        <x:v>68</x:v>
      </x:c>
      <x:c r="P334" s="16" t="str">
        <x:v>1.0</x:v>
      </x:c>
      <x:c r="Q334" s="12" t="str">
        <x:v>67</x:v>
      </x:c>
      <x:c r="R334" s="16" t="str">
        <x:v>0.9852941176470589</x:v>
      </x:c>
      <x:c r="S334" s="12" t="str">
        <x:v>0.2</x:v>
      </x:c>
      <x:c r="T334" s="12" t="str">
        <x:v>68</x:v>
      </x:c>
      <x:c r="U334" s="16" t="str">
        <x:v>1.0</x:v>
      </x:c>
      <x:c r="V334" s="18" t="str">
        <x:v>0.7368064522743225</x:v>
      </x:c>
      <x:c r="W334" s="18" t="str">
        <x:v>0.7789042711257934</x:v>
      </x:c>
      <x:c r="X334" s="18" t="str">
        <x:v>0.8323044776916504</x:v>
      </x:c>
      <x:c r="Y334" s="18" t="str">
        <x:v>0.8365299701690674</x:v>
      </x:c>
      <x:c r="Z334" s="18" t="str">
        <x:v>0.8792098701000214</x:v>
      </x:c>
      <x:c r="AA334" s="18" t="str">
        <x:v>0.9009867906570435</x:v>
      </x:c>
      <x:c r="AB334" s="20" t="str">
        <x:v>240.1218999948469</x:v>
      </x:c>
      <x:c r="AC334" s="12" t="str">
        <x:v>overlays\surprise_033.png</x:v>
      </x:c>
      <x:c r="AD334" s="12" t="str"/>
      <x:c r="AE334" s="12" t="str"/>
      <x:c r="AF334" s="12" t="str">
        <x:v>good</x:v>
      </x:c>
      <x:c r="AG334" s="12" t="n">
        <x:v>1</x:v>
      </x:c>
      <x:c r="AH334" s="12" t="str">
        <x:v>good</x:v>
      </x:c>
      <x:c r="AI334" s="12" t="str">
        <x:v>good</x:v>
      </x:c>
      <x:c r="AJ334" s="12" t="str">
        <x:v>good</x:v>
      </x:c>
      <x:c r="AK334" s="12" t="str">
        <x:v>not_applicable</x:v>
      </x:c>
      <x:c r="AL334" s="12" t="str">
        <x:v>none</x:v>
      </x:c>
      <x:c r="AM334" s="14" t="str">
        <x:v>Clear and well-aligned facial landmarks with no major pose, crop, or occlusion issue.</x:v>
      </x:c>
    </x:row>
    <x:row r="335" ht="28" customHeight="1">
      <x:c r="A335" s="12" t="str">
        <x:v>surprise_034</x:v>
      </x:c>
      <x:c r="B335" s="12" t="str">
        <x:v>surprise</x:v>
      </x:c>
      <x:c r="C335" s="14" t="str">
        <x:v>surprise/Training_80844522.jpg</x:v>
      </x:c>
      <x:c r="D335" s="12" t="str">
        <x:v>7e1e19f846af122c50452e4b61ca56238746f94913b6edfb94e5ae864cce20d9</x:v>
      </x:c>
      <x:c r="E335" s="12" t="str">
        <x:v>7e1e19f846af122c50452e4b61ca56238746f94913b6edfb94e5ae864cce20d9</x:v>
      </x:c>
      <x:c r="F335" s="12" t="str">
        <x:v>True</x:v>
      </x:c>
      <x:c r="G335" s="12" t="str">
        <x:v>48</x:v>
      </x:c>
      <x:c r="H335" s="12" t="str">
        <x:v>48</x:v>
      </x:c>
      <x:c r="I335" s="12" t="str">
        <x:v>0.0</x:v>
      </x:c>
      <x:c r="J335" s="12" t="str">
        <x:v>0.0</x:v>
      </x:c>
      <x:c r="K335" s="12" t="str">
        <x:v>47.0</x:v>
      </x:c>
      <x:c r="L335" s="12" t="str">
        <x:v>47.0</x:v>
      </x:c>
      <x:c r="M335" s="12" t="str">
        <x:v>True</x:v>
      </x:c>
      <x:c r="N335" s="12" t="str">
        <x:v>68</x:v>
      </x:c>
      <x:c r="O335" s="12" t="str">
        <x:v>68</x:v>
      </x:c>
      <x:c r="P335" s="16" t="str">
        <x:v>1.0</x:v>
      </x:c>
      <x:c r="Q335" s="12" t="str">
        <x:v>68</x:v>
      </x:c>
      <x:c r="R335" s="16" t="str">
        <x:v>1.0</x:v>
      </x:c>
      <x:c r="S335" s="12" t="str">
        <x:v>0.2</x:v>
      </x:c>
      <x:c r="T335" s="12" t="str">
        <x:v>68</x:v>
      </x:c>
      <x:c r="U335" s="16" t="str">
        <x:v>1.0</x:v>
      </x:c>
      <x:c r="V335" s="18" t="str">
        <x:v>0.5917873978614807</x:v>
      </x:c>
      <x:c r="W335" s="18" t="str">
        <x:v>0.663221687078476</x:v>
      </x:c>
      <x:c r="X335" s="18" t="str">
        <x:v>0.7634395956993103</x:v>
      </x:c>
      <x:c r="Y335" s="18" t="str">
        <x:v>0.7861700057983398</x:v>
      </x:c>
      <x:c r="Z335" s="18" t="str">
        <x:v>0.8352712452411651</x:v>
      </x:c>
      <x:c r="AA335" s="18" t="str">
        <x:v>0.8679750561714172</x:v>
      </x:c>
      <x:c r="AB335" s="20" t="str">
        <x:v>213.76949999830686</x:v>
      </x:c>
      <x:c r="AC335" s="12" t="str">
        <x:v>overlays\surprise_034.png</x:v>
      </x:c>
      <x:c r="AD335" s="12" t="str"/>
      <x:c r="AE335" s="12" t="str"/>
      <x:c r="AF335" s="12" t="str">
        <x:v>acceptable</x:v>
      </x:c>
      <x:c r="AG335" s="12" t="n">
        <x:v>1</x:v>
      </x:c>
      <x:c r="AH335" s="12" t="str">
        <x:v>acceptable</x:v>
      </x:c>
      <x:c r="AI335" s="12" t="str">
        <x:v>acceptable</x:v>
      </x:c>
      <x:c r="AJ335" s="12" t="str">
        <x:v>occluded</x:v>
      </x:c>
      <x:c r="AK335" s="12" t="str">
        <x:v>acceptable</x:v>
      </x:c>
      <x:c r="AL335" s="12" t="str">
        <x:v>mild</x:v>
      </x:c>
      <x:c r="AM335" s="14" t="str">
        <x:v>Occlusion affects part of the face; visible landmarks remain usable, but hidden points are inferred.</x:v>
      </x:c>
    </x:row>
    <x:row r="336" ht="28" customHeight="1">
      <x:c r="A336" s="12" t="str">
        <x:v>surprise_035</x:v>
      </x:c>
      <x:c r="B336" s="12" t="str">
        <x:v>surprise</x:v>
      </x:c>
      <x:c r="C336" s="14" t="str">
        <x:v>surprise/Training_19085888.jpg</x:v>
      </x:c>
      <x:c r="D336" s="12" t="str">
        <x:v>2e87001ba0b104e5b5eb7e2000e05befb91c5c8771085e6c61bc8ac78457eb6b</x:v>
      </x:c>
      <x:c r="E336" s="12" t="str">
        <x:v>2e87001ba0b104e5b5eb7e2000e05befb91c5c8771085e6c61bc8ac78457eb6b</x:v>
      </x:c>
      <x:c r="F336" s="12" t="str">
        <x:v>True</x:v>
      </x:c>
      <x:c r="G336" s="12" t="str">
        <x:v>48</x:v>
      </x:c>
      <x:c r="H336" s="12" t="str">
        <x:v>48</x:v>
      </x:c>
      <x:c r="I336" s="12" t="str">
        <x:v>0.0</x:v>
      </x:c>
      <x:c r="J336" s="12" t="str">
        <x:v>0.0</x:v>
      </x:c>
      <x:c r="K336" s="12" t="str">
        <x:v>47.0</x:v>
      </x:c>
      <x:c r="L336" s="12" t="str">
        <x:v>47.0</x:v>
      </x:c>
      <x:c r="M336" s="12" t="str">
        <x:v>True</x:v>
      </x:c>
      <x:c r="N336" s="12" t="str">
        <x:v>68</x:v>
      </x:c>
      <x:c r="O336" s="12" t="str">
        <x:v>68</x:v>
      </x:c>
      <x:c r="P336" s="16" t="str">
        <x:v>1.0</x:v>
      </x:c>
      <x:c r="Q336" s="12" t="str">
        <x:v>68</x:v>
      </x:c>
      <x:c r="R336" s="16" t="str">
        <x:v>1.0</x:v>
      </x:c>
      <x:c r="S336" s="12" t="str">
        <x:v>0.2</x:v>
      </x:c>
      <x:c r="T336" s="12" t="str">
        <x:v>67</x:v>
      </x:c>
      <x:c r="U336" s="16" t="str">
        <x:v>0.9852941176470589</x:v>
      </x:c>
      <x:c r="V336" s="18" t="str">
        <x:v>0.19150808453559875</x:v>
      </x:c>
      <x:c r="W336" s="18" t="str">
        <x:v>0.359700945019722</x:v>
      </x:c>
      <x:c r="X336" s="18" t="str">
        <x:v>0.7299498915672302</x:v>
      </x:c>
      <x:c r="Y336" s="18" t="str">
        <x:v>0.8035920858383179</x:v>
      </x:c>
      <x:c r="Z336" s="18" t="str">
        <x:v>0.8469192683696747</x:v>
      </x:c>
      <x:c r="AA336" s="18" t="str">
        <x:v>0.8613170385360718</x:v>
      </x:c>
      <x:c r="AB336" s="20" t="str">
        <x:v>194.2994999990333</x:v>
      </x:c>
      <x:c r="AC336" s="12" t="str">
        <x:v>overlays\surprise_035.png</x:v>
      </x:c>
      <x:c r="AD336" s="12" t="str"/>
      <x:c r="AE336" s="12" t="str"/>
      <x:c r="AF336" s="12" t="str">
        <x:v>acceptable</x:v>
      </x:c>
      <x:c r="AG336" s="12" t="n">
        <x:v>1</x:v>
      </x:c>
      <x:c r="AH336" s="12" t="str">
        <x:v>acceptable</x:v>
      </x:c>
      <x:c r="AI336" s="12" t="str">
        <x:v>acceptable</x:v>
      </x:c>
      <x:c r="AJ336" s="12" t="str">
        <x:v>acceptable</x:v>
      </x:c>
      <x:c r="AK336" s="12" t="str">
        <x:v>acceptable</x:v>
      </x:c>
      <x:c r="AL336" s="12" t="str">
        <x:v>mild</x:v>
      </x:c>
      <x:c r="AM336" s="14" t="str">
        <x:v>Moderate pose, crop, blur, or facial texture causes minor landmark uncertainty; the result remains usable.</x:v>
      </x:c>
    </x:row>
    <x:row r="337" ht="28" customHeight="1">
      <x:c r="A337" s="12" t="str">
        <x:v>surprise_036</x:v>
      </x:c>
      <x:c r="B337" s="12" t="str">
        <x:v>surprise</x:v>
      </x:c>
      <x:c r="C337" s="14" t="str">
        <x:v>surprise/Training_59291103.jpg</x:v>
      </x:c>
      <x:c r="D337" s="12" t="str">
        <x:v>726a99ff8d7eec7751df0149f4a0d1fb2b4755b4a4e97a93293aa40ca0fbd125</x:v>
      </x:c>
      <x:c r="E337" s="12" t="str">
        <x:v>726a99ff8d7eec7751df0149f4a0d1fb2b4755b4a4e97a93293aa40ca0fbd125</x:v>
      </x:c>
      <x:c r="F337" s="12" t="str">
        <x:v>True</x:v>
      </x:c>
      <x:c r="G337" s="12" t="str">
        <x:v>48</x:v>
      </x:c>
      <x:c r="H337" s="12" t="str">
        <x:v>48</x:v>
      </x:c>
      <x:c r="I337" s="12" t="str">
        <x:v>0.0</x:v>
      </x:c>
      <x:c r="J337" s="12" t="str">
        <x:v>0.0</x:v>
      </x:c>
      <x:c r="K337" s="12" t="str">
        <x:v>47.0</x:v>
      </x:c>
      <x:c r="L337" s="12" t="str">
        <x:v>47.0</x:v>
      </x:c>
      <x:c r="M337" s="12" t="str">
        <x:v>True</x:v>
      </x:c>
      <x:c r="N337" s="12" t="str">
        <x:v>68</x:v>
      </x:c>
      <x:c r="O337" s="12" t="str">
        <x:v>68</x:v>
      </x:c>
      <x:c r="P337" s="16" t="str">
        <x:v>1.0</x:v>
      </x:c>
      <x:c r="Q337" s="12" t="str">
        <x:v>68</x:v>
      </x:c>
      <x:c r="R337" s="16" t="str">
        <x:v>1.0</x:v>
      </x:c>
      <x:c r="S337" s="12" t="str">
        <x:v>0.2</x:v>
      </x:c>
      <x:c r="T337" s="12" t="str">
        <x:v>68</x:v>
      </x:c>
      <x:c r="U337" s="16" t="str">
        <x:v>1.0</x:v>
      </x:c>
      <x:c r="V337" s="18" t="str">
        <x:v>0.6562150716781616</x:v>
      </x:c>
      <x:c r="W337" s="18" t="str">
        <x:v>0.7471137106418609</x:v>
      </x:c>
      <x:c r="X337" s="18" t="str">
        <x:v>0.8181135654449463</x:v>
      </x:c>
      <x:c r="Y337" s="18" t="str">
        <x:v>0.8346766829490662</x:v>
      </x:c>
      <x:c r="Z337" s="18" t="str">
        <x:v>0.8690307438373566</x:v>
      </x:c>
      <x:c r="AA337" s="18" t="str">
        <x:v>0.911136269569397</x:v>
      </x:c>
      <x:c r="AB337" s="20" t="str">
        <x:v>152.18470000399975</x:v>
      </x:c>
      <x:c r="AC337" s="12" t="str">
        <x:v>overlays\surprise_036.png</x:v>
      </x:c>
      <x:c r="AD337" s="12" t="str"/>
      <x:c r="AE337" s="12" t="str"/>
      <x:c r="AF337" s="12" t="str">
        <x:v>good</x:v>
      </x:c>
      <x:c r="AG337" s="12" t="n">
        <x:v>1</x:v>
      </x:c>
      <x:c r="AH337" s="12" t="str">
        <x:v>good</x:v>
      </x:c>
      <x:c r="AI337" s="12" t="str">
        <x:v>good</x:v>
      </x:c>
      <x:c r="AJ337" s="12" t="str">
        <x:v>good</x:v>
      </x:c>
      <x:c r="AK337" s="12" t="str">
        <x:v>good</x:v>
      </x:c>
      <x:c r="AL337" s="12" t="str">
        <x:v>none</x:v>
      </x:c>
      <x:c r="AM337" s="14" t="str">
        <x:v>Clear and well-aligned facial landmarks with no major pose, crop, or occlusion issue.</x:v>
      </x:c>
    </x:row>
    <x:row r="338" ht="28" customHeight="1">
      <x:c r="A338" s="12" t="str">
        <x:v>surprise_037</x:v>
      </x:c>
      <x:c r="B338" s="12" t="str">
        <x:v>surprise</x:v>
      </x:c>
      <x:c r="C338" s="14" t="str">
        <x:v>surprise/Training_86136797.jpg</x:v>
      </x:c>
      <x:c r="D338" s="12" t="str">
        <x:v>f6a4b9daa594f9f6be3af5b2e336d9ede5b129e7c9e072df6b62817804fa6c3d</x:v>
      </x:c>
      <x:c r="E338" s="12" t="str">
        <x:v>f6a4b9daa594f9f6be3af5b2e336d9ede5b129e7c9e072df6b62817804fa6c3d</x:v>
      </x:c>
      <x:c r="F338" s="12" t="str">
        <x:v>True</x:v>
      </x:c>
      <x:c r="G338" s="12" t="str">
        <x:v>48</x:v>
      </x:c>
      <x:c r="H338" s="12" t="str">
        <x:v>48</x:v>
      </x:c>
      <x:c r="I338" s="12" t="str">
        <x:v>0.0</x:v>
      </x:c>
      <x:c r="J338" s="12" t="str">
        <x:v>0.0</x:v>
      </x:c>
      <x:c r="K338" s="12" t="str">
        <x:v>47.0</x:v>
      </x:c>
      <x:c r="L338" s="12" t="str">
        <x:v>47.0</x:v>
      </x:c>
      <x:c r="M338" s="12" t="str">
        <x:v>True</x:v>
      </x:c>
      <x:c r="N338" s="12" t="str">
        <x:v>68</x:v>
      </x:c>
      <x:c r="O338" s="12" t="str">
        <x:v>68</x:v>
      </x:c>
      <x:c r="P338" s="16" t="str">
        <x:v>1.0</x:v>
      </x:c>
      <x:c r="Q338" s="12" t="str">
        <x:v>68</x:v>
      </x:c>
      <x:c r="R338" s="16" t="str">
        <x:v>1.0</x:v>
      </x:c>
      <x:c r="S338" s="12" t="str">
        <x:v>0.2</x:v>
      </x:c>
      <x:c r="T338" s="12" t="str">
        <x:v>57</x:v>
      </x:c>
      <x:c r="U338" s="16" t="str">
        <x:v>0.8382352941176471</x:v>
      </x:c>
      <x:c r="V338" s="18" t="str">
        <x:v>0.005916493013501167</x:v>
      </x:c>
      <x:c r="W338" s="18" t="str">
        <x:v>0.12135525941848756</x:v>
      </x:c>
      <x:c r="X338" s="18" t="str">
        <x:v>0.5964371562004089</x:v>
      </x:c>
      <x:c r="Y338" s="18" t="str">
        <x:v>0.7112622857093811</x:v>
      </x:c>
      <x:c r="Z338" s="18" t="str">
        <x:v>0.8230980098247528</x:v>
      </x:c>
      <x:c r="AA338" s="18" t="str">
        <x:v>0.8514913320541382</x:v>
      </x:c>
      <x:c r="AB338" s="20" t="str">
        <x:v>159.76239999872632</x:v>
      </x:c>
      <x:c r="AC338" s="12" t="str">
        <x:v>overlays\surprise_037.png</x:v>
      </x:c>
      <x:c r="AD338" s="12" t="str"/>
      <x:c r="AE338" s="12" t="str"/>
      <x:c r="AF338" s="12" t="str">
        <x:v>acceptable</x:v>
      </x:c>
      <x:c r="AG338" s="12" t="n">
        <x:v>1</x:v>
      </x:c>
      <x:c r="AH338" s="12" t="str">
        <x:v>acceptable</x:v>
      </x:c>
      <x:c r="AI338" s="12" t="str">
        <x:v>acceptable</x:v>
      </x:c>
      <x:c r="AJ338" s="12" t="str">
        <x:v>acceptable</x:v>
      </x:c>
      <x:c r="AK338" s="12" t="str">
        <x:v>acceptable</x:v>
      </x:c>
      <x:c r="AL338" s="12" t="str">
        <x:v>mild</x:v>
      </x:c>
      <x:c r="AM338" s="14" t="str">
        <x:v>Large pose or profile; visible landmarks remain useful, while hidden-side and contour points are inferred.</x:v>
      </x:c>
    </x:row>
    <x:row r="339" ht="28" customHeight="1">
      <x:c r="A339" s="12" t="str">
        <x:v>surprise_038</x:v>
      </x:c>
      <x:c r="B339" s="12" t="str">
        <x:v>surprise</x:v>
      </x:c>
      <x:c r="C339" s="14" t="str">
        <x:v>surprise/Training_76908795.jpg</x:v>
      </x:c>
      <x:c r="D339" s="12" t="str">
        <x:v>f816b28244ed5c95d97d21f97a22d0984912055dfa957727624337177a8b4df5</x:v>
      </x:c>
      <x:c r="E339" s="12" t="str">
        <x:v>f816b28244ed5c95d97d21f97a22d0984912055dfa957727624337177a8b4df5</x:v>
      </x:c>
      <x:c r="F339" s="12" t="str">
        <x:v>True</x:v>
      </x:c>
      <x:c r="G339" s="12" t="str">
        <x:v>48</x:v>
      </x:c>
      <x:c r="H339" s="12" t="str">
        <x:v>48</x:v>
      </x:c>
      <x:c r="I339" s="12" t="str">
        <x:v>0.0</x:v>
      </x:c>
      <x:c r="J339" s="12" t="str">
        <x:v>0.0</x:v>
      </x:c>
      <x:c r="K339" s="12" t="str">
        <x:v>47.0</x:v>
      </x:c>
      <x:c r="L339" s="12" t="str">
        <x:v>47.0</x:v>
      </x:c>
      <x:c r="M339" s="12" t="str">
        <x:v>True</x:v>
      </x:c>
      <x:c r="N339" s="12" t="str">
        <x:v>68</x:v>
      </x:c>
      <x:c r="O339" s="12" t="str">
        <x:v>68</x:v>
      </x:c>
      <x:c r="P339" s="16" t="str">
        <x:v>1.0</x:v>
      </x:c>
      <x:c r="Q339" s="12" t="str">
        <x:v>68</x:v>
      </x:c>
      <x:c r="R339" s="16" t="str">
        <x:v>1.0</x:v>
      </x:c>
      <x:c r="S339" s="12" t="str">
        <x:v>0.2</x:v>
      </x:c>
      <x:c r="T339" s="12" t="str">
        <x:v>68</x:v>
      </x:c>
      <x:c r="U339" s="16" t="str">
        <x:v>1.0</x:v>
      </x:c>
      <x:c r="V339" s="18" t="str">
        <x:v>0.5993427634239197</x:v>
      </x:c>
      <x:c r="W339" s="18" t="str">
        <x:v>0.7539675533771515</x:v>
      </x:c>
      <x:c r="X339" s="18" t="str">
        <x:v>0.8168517351150513</x:v>
      </x:c>
      <x:c r="Y339" s="18" t="str">
        <x:v>0.8234061002731323</x:v>
      </x:c>
      <x:c r="Z339" s="18" t="str">
        <x:v>0.8810015380382538</x:v>
      </x:c>
      <x:c r="AA339" s="18" t="str">
        <x:v>0.9018344879150391</x:v>
      </x:c>
      <x:c r="AB339" s="20" t="str">
        <x:v>190.64520000392804</x:v>
      </x:c>
      <x:c r="AC339" s="12" t="str">
        <x:v>overlays\surprise_038.png</x:v>
      </x:c>
      <x:c r="AD339" s="12" t="str"/>
      <x:c r="AE339" s="12" t="str"/>
      <x:c r="AF339" s="12" t="str">
        <x:v>good</x:v>
      </x:c>
      <x:c r="AG339" s="12" t="n">
        <x:v>1</x:v>
      </x:c>
      <x:c r="AH339" s="12" t="str">
        <x:v>good</x:v>
      </x:c>
      <x:c r="AI339" s="12" t="str">
        <x:v>good</x:v>
      </x:c>
      <x:c r="AJ339" s="12" t="str">
        <x:v>good</x:v>
      </x:c>
      <x:c r="AK339" s="12" t="str">
        <x:v>not_applicable</x:v>
      </x:c>
      <x:c r="AL339" s="12" t="str">
        <x:v>none</x:v>
      </x:c>
      <x:c r="AM339" s="14" t="str">
        <x:v>Clear and well-aligned facial landmarks with no major pose, crop, or occlusion issue.</x:v>
      </x:c>
    </x:row>
    <x:row r="340" ht="28" customHeight="1">
      <x:c r="A340" s="12" t="str">
        <x:v>surprise_039</x:v>
      </x:c>
      <x:c r="B340" s="12" t="str">
        <x:v>surprise</x:v>
      </x:c>
      <x:c r="C340" s="14" t="str">
        <x:v>surprise/Training_7511268.jpg</x:v>
      </x:c>
      <x:c r="D340" s="12" t="str">
        <x:v>6427687e86ad548b3b18e27e3cc569e494f9b896572fe499450654c12d0d6393</x:v>
      </x:c>
      <x:c r="E340" s="12" t="str">
        <x:v>6427687e86ad548b3b18e27e3cc569e494f9b896572fe499450654c12d0d6393</x:v>
      </x:c>
      <x:c r="F340" s="12" t="str">
        <x:v>True</x:v>
      </x:c>
      <x:c r="G340" s="12" t="str">
        <x:v>48</x:v>
      </x:c>
      <x:c r="H340" s="12" t="str">
        <x:v>48</x:v>
      </x:c>
      <x:c r="I340" s="12" t="str">
        <x:v>0.0</x:v>
      </x:c>
      <x:c r="J340" s="12" t="str">
        <x:v>0.0</x:v>
      </x:c>
      <x:c r="K340" s="12" t="str">
        <x:v>47.0</x:v>
      </x:c>
      <x:c r="L340" s="12" t="str">
        <x:v>47.0</x:v>
      </x:c>
      <x:c r="M340" s="12" t="str">
        <x:v>True</x:v>
      </x:c>
      <x:c r="N340" s="12" t="str">
        <x:v>68</x:v>
      </x:c>
      <x:c r="O340" s="12" t="str">
        <x:v>68</x:v>
      </x:c>
      <x:c r="P340" s="16" t="str">
        <x:v>1.0</x:v>
      </x:c>
      <x:c r="Q340" s="12" t="str">
        <x:v>68</x:v>
      </x:c>
      <x:c r="R340" s="16" t="str">
        <x:v>1.0</x:v>
      </x:c>
      <x:c r="S340" s="12" t="str">
        <x:v>0.2</x:v>
      </x:c>
      <x:c r="T340" s="12" t="str">
        <x:v>68</x:v>
      </x:c>
      <x:c r="U340" s="16" t="str">
        <x:v>1.0</x:v>
      </x:c>
      <x:c r="V340" s="18" t="str">
        <x:v>0.46160322427749634</x:v>
      </x:c>
      <x:c r="W340" s="18" t="str">
        <x:v>0.6454546809196472</x:v>
      </x:c>
      <x:c r="X340" s="18" t="str">
        <x:v>0.7606958746910095</x:v>
      </x:c>
      <x:c r="Y340" s="18" t="str">
        <x:v>0.7852786779403687</x:v>
      </x:c>
      <x:c r="Z340" s="18" t="str">
        <x:v>0.8182883381843566</x:v>
      </x:c>
      <x:c r="AA340" s="18" t="str">
        <x:v>0.8750559687614441</x:v>
      </x:c>
      <x:c r="AB340" s="20" t="str">
        <x:v>159.8094000000856</x:v>
      </x:c>
      <x:c r="AC340" s="12" t="str">
        <x:v>overlays\surprise_039.png</x:v>
      </x:c>
      <x:c r="AD340" s="12" t="str"/>
      <x:c r="AE340" s="12" t="str"/>
      <x:c r="AF340" s="12" t="str">
        <x:v>good</x:v>
      </x:c>
      <x:c r="AG340" s="12" t="n">
        <x:v>1</x:v>
      </x:c>
      <x:c r="AH340" s="12" t="str">
        <x:v>good</x:v>
      </x:c>
      <x:c r="AI340" s="12" t="str">
        <x:v>good</x:v>
      </x:c>
      <x:c r="AJ340" s="12" t="str">
        <x:v>good</x:v>
      </x:c>
      <x:c r="AK340" s="12" t="str">
        <x:v>good</x:v>
      </x:c>
      <x:c r="AL340" s="12" t="str">
        <x:v>none</x:v>
      </x:c>
      <x:c r="AM340" s="14" t="str">
        <x:v>Clear and well-aligned facial landmarks with no major pose, crop, or occlusion issue.</x:v>
      </x:c>
    </x:row>
    <x:row r="341" ht="28" customHeight="1">
      <x:c r="A341" s="12" t="str">
        <x:v>surprise_040</x:v>
      </x:c>
      <x:c r="B341" s="12" t="str">
        <x:v>surprise</x:v>
      </x:c>
      <x:c r="C341" s="14" t="str">
        <x:v>surprise/Training_7036747.jpg</x:v>
      </x:c>
      <x:c r="D341" s="12" t="str">
        <x:v>8a0c8326d52ee3d3ae5d3968f341455513a3f74e3d9c4933d8f428e640ee6d2e</x:v>
      </x:c>
      <x:c r="E341" s="12" t="str">
        <x:v>8a0c8326d52ee3d3ae5d3968f341455513a3f74e3d9c4933d8f428e640ee6d2e</x:v>
      </x:c>
      <x:c r="F341" s="12" t="str">
        <x:v>True</x:v>
      </x:c>
      <x:c r="G341" s="12" t="str">
        <x:v>48</x:v>
      </x:c>
      <x:c r="H341" s="12" t="str">
        <x:v>48</x:v>
      </x:c>
      <x:c r="I341" s="12" t="str">
        <x:v>0.0</x:v>
      </x:c>
      <x:c r="J341" s="12" t="str">
        <x:v>0.0</x:v>
      </x:c>
      <x:c r="K341" s="12" t="str">
        <x:v>47.0</x:v>
      </x:c>
      <x:c r="L341" s="12" t="str">
        <x:v>47.0</x:v>
      </x:c>
      <x:c r="M341" s="12" t="str">
        <x:v>True</x:v>
      </x:c>
      <x:c r="N341" s="12" t="str">
        <x:v>68</x:v>
      </x:c>
      <x:c r="O341" s="12" t="str">
        <x:v>68</x:v>
      </x:c>
      <x:c r="P341" s="16" t="str">
        <x:v>1.0</x:v>
      </x:c>
      <x:c r="Q341" s="12" t="str">
        <x:v>68</x:v>
      </x:c>
      <x:c r="R341" s="16" t="str">
        <x:v>1.0</x:v>
      </x:c>
      <x:c r="S341" s="12" t="str">
        <x:v>0.2</x:v>
      </x:c>
      <x:c r="T341" s="12" t="str">
        <x:v>68</x:v>
      </x:c>
      <x:c r="U341" s="16" t="str">
        <x:v>1.0</x:v>
      </x:c>
      <x:c r="V341" s="18" t="str">
        <x:v>0.4959230422973633</x:v>
      </x:c>
      <x:c r="W341" s="18" t="str">
        <x:v>0.7173622608184814</x:v>
      </x:c>
      <x:c r="X341" s="18" t="str">
        <x:v>0.8104240894317627</x:v>
      </x:c>
      <x:c r="Y341" s="18" t="str">
        <x:v>0.8251790404319763</x:v>
      </x:c>
      <x:c r="Z341" s="18" t="str">
        <x:v>0.8773752570152282</x:v>
      </x:c>
      <x:c r="AA341" s="18" t="str">
        <x:v>0.9185774922370911</x:v>
      </x:c>
      <x:c r="AB341" s="20" t="str">
        <x:v>157.4856000006548</x:v>
      </x:c>
      <x:c r="AC341" s="12" t="str">
        <x:v>overlays\surprise_040.png</x:v>
      </x:c>
      <x:c r="AD341" s="12" t="str"/>
      <x:c r="AE341" s="12" t="str"/>
      <x:c r="AF341" s="12" t="str">
        <x:v>good</x:v>
      </x:c>
      <x:c r="AG341" s="12" t="n">
        <x:v>1</x:v>
      </x:c>
      <x:c r="AH341" s="12" t="str">
        <x:v>good</x:v>
      </x:c>
      <x:c r="AI341" s="12" t="str">
        <x:v>good</x:v>
      </x:c>
      <x:c r="AJ341" s="12" t="str">
        <x:v>good</x:v>
      </x:c>
      <x:c r="AK341" s="12" t="str">
        <x:v>not_applicable</x:v>
      </x:c>
      <x:c r="AL341" s="12" t="str">
        <x:v>none</x:v>
      </x:c>
      <x:c r="AM341" s="14" t="str">
        <x:v>Clear and well-aligned facial landmarks with no major pose, crop, or occlusion issue.</x:v>
      </x:c>
    </x:row>
    <x:row r="342" ht="28" customHeight="1">
      <x:c r="A342" s="12" t="str">
        <x:v>surprise_041</x:v>
      </x:c>
      <x:c r="B342" s="12" t="str">
        <x:v>surprise</x:v>
      </x:c>
      <x:c r="C342" s="14" t="str">
        <x:v>surprise/Training_47106157.jpg</x:v>
      </x:c>
      <x:c r="D342" s="12" t="str">
        <x:v>8bc0a7560bcd6c2ea5ca09015e376c507097592ce5c989353b901d77e3b9ce95</x:v>
      </x:c>
      <x:c r="E342" s="12" t="str">
        <x:v>8bc0a7560bcd6c2ea5ca09015e376c507097592ce5c989353b901d77e3b9ce95</x:v>
      </x:c>
      <x:c r="F342" s="12" t="str">
        <x:v>True</x:v>
      </x:c>
      <x:c r="G342" s="12" t="str">
        <x:v>48</x:v>
      </x:c>
      <x:c r="H342" s="12" t="str">
        <x:v>48</x:v>
      </x:c>
      <x:c r="I342" s="12" t="str">
        <x:v>0.0</x:v>
      </x:c>
      <x:c r="J342" s="12" t="str">
        <x:v>0.0</x:v>
      </x:c>
      <x:c r="K342" s="12" t="str">
        <x:v>47.0</x:v>
      </x:c>
      <x:c r="L342" s="12" t="str">
        <x:v>47.0</x:v>
      </x:c>
      <x:c r="M342" s="12" t="str">
        <x:v>True</x:v>
      </x:c>
      <x:c r="N342" s="12" t="str">
        <x:v>68</x:v>
      </x:c>
      <x:c r="O342" s="12" t="str">
        <x:v>68</x:v>
      </x:c>
      <x:c r="P342" s="16" t="str">
        <x:v>1.0</x:v>
      </x:c>
      <x:c r="Q342" s="12" t="str">
        <x:v>68</x:v>
      </x:c>
      <x:c r="R342" s="16" t="str">
        <x:v>1.0</x:v>
      </x:c>
      <x:c r="S342" s="12" t="str">
        <x:v>0.2</x:v>
      </x:c>
      <x:c r="T342" s="12" t="str">
        <x:v>68</x:v>
      </x:c>
      <x:c r="U342" s="16" t="str">
        <x:v>1.0</x:v>
      </x:c>
      <x:c r="V342" s="18" t="str">
        <x:v>0.5201128125190735</x:v>
      </x:c>
      <x:c r="W342" s="18" t="str">
        <x:v>0.6670628130435944</x:v>
      </x:c>
      <x:c r="X342" s="18" t="str">
        <x:v>0.7989402413368225</x:v>
      </x:c>
      <x:c r="Y342" s="18" t="str">
        <x:v>0.8196483850479126</x:v>
      </x:c>
      <x:c r="Z342" s="18" t="str">
        <x:v>0.8779422640800476</x:v>
      </x:c>
      <x:c r="AA342" s="18" t="str">
        <x:v>0.902847409248352</x:v>
      </x:c>
      <x:c r="AB342" s="20" t="str">
        <x:v>189.497700004722</x:v>
      </x:c>
      <x:c r="AC342" s="12" t="str">
        <x:v>overlays\surprise_041.png</x:v>
      </x:c>
      <x:c r="AD342" s="12" t="str"/>
      <x:c r="AE342" s="12" t="str"/>
      <x:c r="AF342" s="12" t="str">
        <x:v>good</x:v>
      </x:c>
      <x:c r="AG342" s="12" t="n">
        <x:v>1</x:v>
      </x:c>
      <x:c r="AH342" s="12" t="str">
        <x:v>good</x:v>
      </x:c>
      <x:c r="AI342" s="12" t="str">
        <x:v>good</x:v>
      </x:c>
      <x:c r="AJ342" s="12" t="str">
        <x:v>good</x:v>
      </x:c>
      <x:c r="AK342" s="12" t="str">
        <x:v>good</x:v>
      </x:c>
      <x:c r="AL342" s="12" t="str">
        <x:v>none</x:v>
      </x:c>
      <x:c r="AM342" s="14" t="str">
        <x:v>Clear and well-aligned facial landmarks with no major pose, crop, or occlusion issue.</x:v>
      </x:c>
    </x:row>
    <x:row r="343" ht="28" customHeight="1">
      <x:c r="A343" s="12" t="str">
        <x:v>surprise_042</x:v>
      </x:c>
      <x:c r="B343" s="12" t="str">
        <x:v>surprise</x:v>
      </x:c>
      <x:c r="C343" s="14" t="str">
        <x:v>surprise/Training_40751582.jpg</x:v>
      </x:c>
      <x:c r="D343" s="12" t="str">
        <x:v>2497cba5baf247654dd6f1ddd1a51f68f1939c8fa50a095e0a987439cbb65921</x:v>
      </x:c>
      <x:c r="E343" s="12" t="str">
        <x:v>2497cba5baf247654dd6f1ddd1a51f68f1939c8fa50a095e0a987439cbb65921</x:v>
      </x:c>
      <x:c r="F343" s="12" t="str">
        <x:v>True</x:v>
      </x:c>
      <x:c r="G343" s="12" t="str">
        <x:v>48</x:v>
      </x:c>
      <x:c r="H343" s="12" t="str">
        <x:v>48</x:v>
      </x:c>
      <x:c r="I343" s="12" t="str">
        <x:v>0.0</x:v>
      </x:c>
      <x:c r="J343" s="12" t="str">
        <x:v>0.0</x:v>
      </x:c>
      <x:c r="K343" s="12" t="str">
        <x:v>47.0</x:v>
      </x:c>
      <x:c r="L343" s="12" t="str">
        <x:v>47.0</x:v>
      </x:c>
      <x:c r="M343" s="12" t="str">
        <x:v>True</x:v>
      </x:c>
      <x:c r="N343" s="12" t="str">
        <x:v>68</x:v>
      </x:c>
      <x:c r="O343" s="12" t="str">
        <x:v>68</x:v>
      </x:c>
      <x:c r="P343" s="16" t="str">
        <x:v>1.0</x:v>
      </x:c>
      <x:c r="Q343" s="12" t="str">
        <x:v>68</x:v>
      </x:c>
      <x:c r="R343" s="16" t="str">
        <x:v>1.0</x:v>
      </x:c>
      <x:c r="S343" s="12" t="str">
        <x:v>0.2</x:v>
      </x:c>
      <x:c r="T343" s="12" t="str">
        <x:v>68</x:v>
      </x:c>
      <x:c r="U343" s="16" t="str">
        <x:v>1.0</x:v>
      </x:c>
      <x:c r="V343" s="18" t="str">
        <x:v>0.6337326765060425</x:v>
      </x:c>
      <x:c r="W343" s="18" t="str">
        <x:v>0.7023840963840484</x:v>
      </x:c>
      <x:c r="X343" s="18" t="str">
        <x:v>0.7847293615341187</x:v>
      </x:c>
      <x:c r="Y343" s="18" t="str">
        <x:v>0.798082709312439</x:v>
      </x:c>
      <x:c r="Z343" s="18" t="str">
        <x:v>0.8422231674194336</x:v>
      </x:c>
      <x:c r="AA343" s="18" t="str">
        <x:v>0.8762891292572021</x:v>
      </x:c>
      <x:c r="AB343" s="20" t="str">
        <x:v>159.11880000203382</x:v>
      </x:c>
      <x:c r="AC343" s="12" t="str">
        <x:v>overlays\surprise_042.png</x:v>
      </x:c>
      <x:c r="AD343" s="12" t="str"/>
      <x:c r="AE343" s="12" t="str"/>
      <x:c r="AF343" s="12" t="str">
        <x:v>acceptable</x:v>
      </x:c>
      <x:c r="AG343" s="12" t="n">
        <x:v>1</x:v>
      </x:c>
      <x:c r="AH343" s="12" t="str">
        <x:v>acceptable</x:v>
      </x:c>
      <x:c r="AI343" s="12" t="str">
        <x:v>acceptable</x:v>
      </x:c>
      <x:c r="AJ343" s="12" t="str">
        <x:v>acceptable</x:v>
      </x:c>
      <x:c r="AK343" s="12" t="str">
        <x:v>acceptable</x:v>
      </x:c>
      <x:c r="AL343" s="12" t="str">
        <x:v>mild</x:v>
      </x:c>
      <x:c r="AM343" s="14" t="str">
        <x:v>Large pose or profile; visible landmarks remain useful, while hidden-side and contour points are inferred.</x:v>
      </x:c>
    </x:row>
    <x:row r="344" ht="28" customHeight="1">
      <x:c r="A344" s="12" t="str">
        <x:v>surprise_043</x:v>
      </x:c>
      <x:c r="B344" s="12" t="str">
        <x:v>surprise</x:v>
      </x:c>
      <x:c r="C344" s="14" t="str">
        <x:v>surprise/Training_33638568.jpg</x:v>
      </x:c>
      <x:c r="D344" s="12" t="str">
        <x:v>7a127d2396ac2ece59390cee8c1b69aaa1c2daa35f1704c14bae0274bcbfbaa4</x:v>
      </x:c>
      <x:c r="E344" s="12" t="str">
        <x:v>7a127d2396ac2ece59390cee8c1b69aaa1c2daa35f1704c14bae0274bcbfbaa4</x:v>
      </x:c>
      <x:c r="F344" s="12" t="str">
        <x:v>True</x:v>
      </x:c>
      <x:c r="G344" s="12" t="str">
        <x:v>48</x:v>
      </x:c>
      <x:c r="H344" s="12" t="str">
        <x:v>48</x:v>
      </x:c>
      <x:c r="I344" s="12" t="str">
        <x:v>0.0</x:v>
      </x:c>
      <x:c r="J344" s="12" t="str">
        <x:v>0.0</x:v>
      </x:c>
      <x:c r="K344" s="12" t="str">
        <x:v>47.0</x:v>
      </x:c>
      <x:c r="L344" s="12" t="str">
        <x:v>47.0</x:v>
      </x:c>
      <x:c r="M344" s="12" t="str">
        <x:v>True</x:v>
      </x:c>
      <x:c r="N344" s="12" t="str">
        <x:v>68</x:v>
      </x:c>
      <x:c r="O344" s="12" t="str">
        <x:v>68</x:v>
      </x:c>
      <x:c r="P344" s="16" t="str">
        <x:v>1.0</x:v>
      </x:c>
      <x:c r="Q344" s="12" t="str">
        <x:v>68</x:v>
      </x:c>
      <x:c r="R344" s="16" t="str">
        <x:v>1.0</x:v>
      </x:c>
      <x:c r="S344" s="12" t="str">
        <x:v>0.2</x:v>
      </x:c>
      <x:c r="T344" s="12" t="str">
        <x:v>68</x:v>
      </x:c>
      <x:c r="U344" s="16" t="str">
        <x:v>1.0</x:v>
      </x:c>
      <x:c r="V344" s="18" t="str">
        <x:v>0.5275132060050964</x:v>
      </x:c>
      <x:c r="W344" s="18" t="str">
        <x:v>0.6742259085178375</x:v>
      </x:c>
      <x:c r="X344" s="18" t="str">
        <x:v>0.7602264285087585</x:v>
      </x:c>
      <x:c r="Y344" s="18" t="str">
        <x:v>0.7650742530822754</x:v>
      </x:c>
      <x:c r="Z344" s="18" t="str">
        <x:v>0.8396575808525085</x:v>
      </x:c>
      <x:c r="AA344" s="18" t="str">
        <x:v>0.8749627470970154</x:v>
      </x:c>
      <x:c r="AB344" s="20" t="str">
        <x:v>178.1254000015906</x:v>
      </x:c>
      <x:c r="AC344" s="12" t="str">
        <x:v>overlays\surprise_043.png</x:v>
      </x:c>
      <x:c r="AD344" s="12" t="str"/>
      <x:c r="AE344" s="12" t="str"/>
      <x:c r="AF344" s="12" t="str">
        <x:v>acceptable</x:v>
      </x:c>
      <x:c r="AG344" s="12" t="n">
        <x:v>1</x:v>
      </x:c>
      <x:c r="AH344" s="12" t="str">
        <x:v>acceptable</x:v>
      </x:c>
      <x:c r="AI344" s="12" t="str">
        <x:v>acceptable</x:v>
      </x:c>
      <x:c r="AJ344" s="12" t="str">
        <x:v>acceptable</x:v>
      </x:c>
      <x:c r="AK344" s="12" t="str">
        <x:v>not_applicable</x:v>
      </x:c>
      <x:c r="AL344" s="12" t="str">
        <x:v>mild</x:v>
      </x:c>
      <x:c r="AM344" s="14" t="str">
        <x:v>Moderate pose, crop, blur, or facial texture causes minor landmark uncertainty; the result remains usable.</x:v>
      </x:c>
    </x:row>
    <x:row r="345" ht="28" customHeight="1">
      <x:c r="A345" s="12" t="str">
        <x:v>surprise_044</x:v>
      </x:c>
      <x:c r="B345" s="12" t="str">
        <x:v>surprise</x:v>
      </x:c>
      <x:c r="C345" s="14" t="str">
        <x:v>surprise/Training_87607009.jpg</x:v>
      </x:c>
      <x:c r="D345" s="12" t="str">
        <x:v>7547a385bb946bfc4484fd20327581c2e1666a4041810e29464b3a419cc3906d</x:v>
      </x:c>
      <x:c r="E345" s="12" t="str">
        <x:v>7547a385bb946bfc4484fd20327581c2e1666a4041810e29464b3a419cc3906d</x:v>
      </x:c>
      <x:c r="F345" s="12" t="str">
        <x:v>True</x:v>
      </x:c>
      <x:c r="G345" s="12" t="str">
        <x:v>48</x:v>
      </x:c>
      <x:c r="H345" s="12" t="str">
        <x:v>48</x:v>
      </x:c>
      <x:c r="I345" s="12" t="str">
        <x:v>0.0</x:v>
      </x:c>
      <x:c r="J345" s="12" t="str">
        <x:v>0.0</x:v>
      </x:c>
      <x:c r="K345" s="12" t="str">
        <x:v>47.0</x:v>
      </x:c>
      <x:c r="L345" s="12" t="str">
        <x:v>47.0</x:v>
      </x:c>
      <x:c r="M345" s="12" t="str">
        <x:v>True</x:v>
      </x:c>
      <x:c r="N345" s="12" t="str">
        <x:v>68</x:v>
      </x:c>
      <x:c r="O345" s="12" t="str">
        <x:v>68</x:v>
      </x:c>
      <x:c r="P345" s="16" t="str">
        <x:v>1.0</x:v>
      </x:c>
      <x:c r="Q345" s="12" t="str">
        <x:v>68</x:v>
      </x:c>
      <x:c r="R345" s="16" t="str">
        <x:v>1.0</x:v>
      </x:c>
      <x:c r="S345" s="12" t="str">
        <x:v>0.2</x:v>
      </x:c>
      <x:c r="T345" s="12" t="str">
        <x:v>65</x:v>
      </x:c>
      <x:c r="U345" s="16" t="str">
        <x:v>0.9558823529411765</x:v>
      </x:c>
      <x:c r="V345" s="18" t="str">
        <x:v>0.032239463180303574</x:v>
      </x:c>
      <x:c r="W345" s="18" t="str">
        <x:v>0.34870629012584686</x:v>
      </x:c>
      <x:c r="X345" s="18" t="str">
        <x:v>0.6733612418174744</x:v>
      </x:c>
      <x:c r="Y345" s="18" t="str">
        <x:v>0.7721965312957764</x:v>
      </x:c>
      <x:c r="Z345" s="18" t="str">
        <x:v>0.8502945363521576</x:v>
      </x:c>
      <x:c r="AA345" s="18" t="str">
        <x:v>0.9175506234169006</x:v>
      </x:c>
      <x:c r="AB345" s="20" t="str">
        <x:v>154.21270000661025</x:v>
      </x:c>
      <x:c r="AC345" s="12" t="str">
        <x:v>overlays\surprise_044.png</x:v>
      </x:c>
      <x:c r="AD345" s="12" t="str"/>
      <x:c r="AE345" s="12" t="str"/>
      <x:c r="AF345" s="12" t="str">
        <x:v>acceptable</x:v>
      </x:c>
      <x:c r="AG345" s="12" t="n">
        <x:v>1</x:v>
      </x:c>
      <x:c r="AH345" s="12" t="str">
        <x:v>acceptable</x:v>
      </x:c>
      <x:c r="AI345" s="12" t="str">
        <x:v>acceptable</x:v>
      </x:c>
      <x:c r="AJ345" s="12" t="str">
        <x:v>acceptable</x:v>
      </x:c>
      <x:c r="AK345" s="12" t="str">
        <x:v>acceptable</x:v>
      </x:c>
      <x:c r="AL345" s="12" t="str">
        <x:v>mild</x:v>
      </x:c>
      <x:c r="AM345" s="14" t="str">
        <x:v>Moderate pose, crop, blur, or facial texture causes minor landmark uncertainty; the result remains usable.</x:v>
      </x:c>
    </x:row>
    <x:row r="346" ht="28" customHeight="1">
      <x:c r="A346" s="12" t="str">
        <x:v>surprise_045</x:v>
      </x:c>
      <x:c r="B346" s="12" t="str">
        <x:v>surprise</x:v>
      </x:c>
      <x:c r="C346" s="14" t="str">
        <x:v>surprise/Training_92701859.jpg</x:v>
      </x:c>
      <x:c r="D346" s="12" t="str">
        <x:v>9c50800bf71f2e949bfd6377d9f0cecf6fa24b2dacb8e811d7d737620767f8ea</x:v>
      </x:c>
      <x:c r="E346" s="12" t="str">
        <x:v>9c50800bf71f2e949bfd6377d9f0cecf6fa24b2dacb8e811d7d737620767f8ea</x:v>
      </x:c>
      <x:c r="F346" s="12" t="str">
        <x:v>True</x:v>
      </x:c>
      <x:c r="G346" s="12" t="str">
        <x:v>48</x:v>
      </x:c>
      <x:c r="H346" s="12" t="str">
        <x:v>48</x:v>
      </x:c>
      <x:c r="I346" s="12" t="str">
        <x:v>0.0</x:v>
      </x:c>
      <x:c r="J346" s="12" t="str">
        <x:v>0.0</x:v>
      </x:c>
      <x:c r="K346" s="12" t="str">
        <x:v>47.0</x:v>
      </x:c>
      <x:c r="L346" s="12" t="str">
        <x:v>47.0</x:v>
      </x:c>
      <x:c r="M346" s="12" t="str">
        <x:v>True</x:v>
      </x:c>
      <x:c r="N346" s="12" t="str">
        <x:v>68</x:v>
      </x:c>
      <x:c r="O346" s="12" t="str">
        <x:v>68</x:v>
      </x:c>
      <x:c r="P346" s="16" t="str">
        <x:v>1.0</x:v>
      </x:c>
      <x:c r="Q346" s="12" t="str">
        <x:v>65</x:v>
      </x:c>
      <x:c r="R346" s="16" t="str">
        <x:v>0.9558823529411765</x:v>
      </x:c>
      <x:c r="S346" s="12" t="str">
        <x:v>0.2</x:v>
      </x:c>
      <x:c r="T346" s="12" t="str">
        <x:v>68</x:v>
      </x:c>
      <x:c r="U346" s="16" t="str">
        <x:v>1.0</x:v>
      </x:c>
      <x:c r="V346" s="18" t="str">
        <x:v>0.6927329897880554</x:v>
      </x:c>
      <x:c r="W346" s="18" t="str">
        <x:v>0.7675720930099488</x:v>
      </x:c>
      <x:c r="X346" s="18" t="str">
        <x:v>0.8285571336746216</x:v>
      </x:c>
      <x:c r="Y346" s="18" t="str">
        <x:v>0.8355802297592163</x:v>
      </x:c>
      <x:c r="Z346" s="18" t="str">
        <x:v>0.8811571478843689</x:v>
      </x:c>
      <x:c r="AA346" s="18" t="str">
        <x:v>0.9249096512794495</x:v>
      </x:c>
      <x:c r="AB346" s="20" t="str">
        <x:v>152.58699999685632</x:v>
      </x:c>
      <x:c r="AC346" s="12" t="str">
        <x:v>overlays\surprise_045.png</x:v>
      </x:c>
      <x:c r="AD346" s="12" t="str"/>
      <x:c r="AE346" s="12" t="str"/>
      <x:c r="AF346" s="12" t="str">
        <x:v>good</x:v>
      </x:c>
      <x:c r="AG346" s="12" t="n">
        <x:v>1</x:v>
      </x:c>
      <x:c r="AH346" s="12" t="str">
        <x:v>good</x:v>
      </x:c>
      <x:c r="AI346" s="12" t="str">
        <x:v>good</x:v>
      </x:c>
      <x:c r="AJ346" s="12" t="str">
        <x:v>good</x:v>
      </x:c>
      <x:c r="AK346" s="12" t="str">
        <x:v>not_applicable</x:v>
      </x:c>
      <x:c r="AL346" s="12" t="str">
        <x:v>none</x:v>
      </x:c>
      <x:c r="AM346" s="14" t="str">
        <x:v>Clear and well-aligned facial landmarks with no major pose, crop, or occlusion issue.</x:v>
      </x:c>
    </x:row>
    <x:row r="347" ht="28" customHeight="1">
      <x:c r="A347" s="12" t="str">
        <x:v>surprise_046</x:v>
      </x:c>
      <x:c r="B347" s="12" t="str">
        <x:v>surprise</x:v>
      </x:c>
      <x:c r="C347" s="14" t="str">
        <x:v>surprise/Training_46869051.jpg</x:v>
      </x:c>
      <x:c r="D347" s="12" t="str">
        <x:v>28433049fbdea8b84a4f29fc729dbdc47293ac40f6be666e6ba8cc57e9c56b5e</x:v>
      </x:c>
      <x:c r="E347" s="12" t="str">
        <x:v>28433049fbdea8b84a4f29fc729dbdc47293ac40f6be666e6ba8cc57e9c56b5e</x:v>
      </x:c>
      <x:c r="F347" s="12" t="str">
        <x:v>True</x:v>
      </x:c>
      <x:c r="G347" s="12" t="str">
        <x:v>48</x:v>
      </x:c>
      <x:c r="H347" s="12" t="str">
        <x:v>48</x:v>
      </x:c>
      <x:c r="I347" s="12" t="str">
        <x:v>0.0</x:v>
      </x:c>
      <x:c r="J347" s="12" t="str">
        <x:v>0.0</x:v>
      </x:c>
      <x:c r="K347" s="12" t="str">
        <x:v>47.0</x:v>
      </x:c>
      <x:c r="L347" s="12" t="str">
        <x:v>47.0</x:v>
      </x:c>
      <x:c r="M347" s="12" t="str">
        <x:v>True</x:v>
      </x:c>
      <x:c r="N347" s="12" t="str">
        <x:v>68</x:v>
      </x:c>
      <x:c r="O347" s="12" t="str">
        <x:v>68</x:v>
      </x:c>
      <x:c r="P347" s="16" t="str">
        <x:v>1.0</x:v>
      </x:c>
      <x:c r="Q347" s="12" t="str">
        <x:v>68</x:v>
      </x:c>
      <x:c r="R347" s="16" t="str">
        <x:v>1.0</x:v>
      </x:c>
      <x:c r="S347" s="12" t="str">
        <x:v>0.2</x:v>
      </x:c>
      <x:c r="T347" s="12" t="str">
        <x:v>66</x:v>
      </x:c>
      <x:c r="U347" s="16" t="str">
        <x:v>0.9705882352941176</x:v>
      </x:c>
      <x:c r="V347" s="18" t="str">
        <x:v>0.07291976362466812</x:v>
      </x:c>
      <x:c r="W347" s="18" t="str">
        <x:v>0.3426562696695328</x:v>
      </x:c>
      <x:c r="X347" s="18" t="str">
        <x:v>0.696295976638794</x:v>
      </x:c>
      <x:c r="Y347" s="18" t="str">
        <x:v>0.798035740852356</x:v>
      </x:c>
      <x:c r="Z347" s="18" t="str">
        <x:v>0.8464596927165985</x:v>
      </x:c>
      <x:c r="AA347" s="18" t="str">
        <x:v>0.8867573142051697</x:v>
      </x:c>
      <x:c r="AB347" s="20" t="str">
        <x:v>157.46080000099028</x:v>
      </x:c>
      <x:c r="AC347" s="12" t="str">
        <x:v>overlays\surprise_046.png</x:v>
      </x:c>
      <x:c r="AD347" s="12" t="str"/>
      <x:c r="AE347" s="12" t="str"/>
      <x:c r="AF347" s="12" t="str">
        <x:v>good</x:v>
      </x:c>
      <x:c r="AG347" s="12" t="n">
        <x:v>1</x:v>
      </x:c>
      <x:c r="AH347" s="12" t="str">
        <x:v>good</x:v>
      </x:c>
      <x:c r="AI347" s="12" t="str">
        <x:v>good</x:v>
      </x:c>
      <x:c r="AJ347" s="12" t="str">
        <x:v>good</x:v>
      </x:c>
      <x:c r="AK347" s="12" t="str">
        <x:v>good</x:v>
      </x:c>
      <x:c r="AL347" s="12" t="str">
        <x:v>none</x:v>
      </x:c>
      <x:c r="AM347" s="14" t="str">
        <x:v>Clear and well-aligned facial landmarks with no major pose, crop, or occlusion issue.</x:v>
      </x:c>
    </x:row>
    <x:row r="348" ht="28" customHeight="1">
      <x:c r="A348" s="12" t="str">
        <x:v>surprise_047</x:v>
      </x:c>
      <x:c r="B348" s="12" t="str">
        <x:v>surprise</x:v>
      </x:c>
      <x:c r="C348" s="14" t="str">
        <x:v>surprise/Training_37791518.jpg</x:v>
      </x:c>
      <x:c r="D348" s="12" t="str">
        <x:v>fdc63c51ac0d9fe654a1ff351c42ae63e62da1bb504aa67685527159a977789c</x:v>
      </x:c>
      <x:c r="E348" s="12" t="str">
        <x:v>fdc63c51ac0d9fe654a1ff351c42ae63e62da1bb504aa67685527159a977789c</x:v>
      </x:c>
      <x:c r="F348" s="12" t="str">
        <x:v>True</x:v>
      </x:c>
      <x:c r="G348" s="12" t="str">
        <x:v>48</x:v>
      </x:c>
      <x:c r="H348" s="12" t="str">
        <x:v>48</x:v>
      </x:c>
      <x:c r="I348" s="12" t="str">
        <x:v>0.0</x:v>
      </x:c>
      <x:c r="J348" s="12" t="str">
        <x:v>0.0</x:v>
      </x:c>
      <x:c r="K348" s="12" t="str">
        <x:v>47.0</x:v>
      </x:c>
      <x:c r="L348" s="12" t="str">
        <x:v>47.0</x:v>
      </x:c>
      <x:c r="M348" s="12" t="str">
        <x:v>True</x:v>
      </x:c>
      <x:c r="N348" s="12" t="str">
        <x:v>68</x:v>
      </x:c>
      <x:c r="O348" s="12" t="str">
        <x:v>68</x:v>
      </x:c>
      <x:c r="P348" s="16" t="str">
        <x:v>1.0</x:v>
      </x:c>
      <x:c r="Q348" s="12" t="str">
        <x:v>64</x:v>
      </x:c>
      <x:c r="R348" s="16" t="str">
        <x:v>0.9411764705882353</x:v>
      </x:c>
      <x:c r="S348" s="12" t="str">
        <x:v>0.2</x:v>
      </x:c>
      <x:c r="T348" s="12" t="str">
        <x:v>68</x:v>
      </x:c>
      <x:c r="U348" s="16" t="str">
        <x:v>1.0</x:v>
      </x:c>
      <x:c r="V348" s="18" t="str">
        <x:v>0.6968955397605896</x:v>
      </x:c>
      <x:c r="W348" s="18" t="str">
        <x:v>0.7700524628162384</x:v>
      </x:c>
      <x:c r="X348" s="18" t="str">
        <x:v>0.8319470286369324</x:v>
      </x:c>
      <x:c r="Y348" s="18" t="str">
        <x:v>0.8372477293014526</x:v>
      </x:c>
      <x:c r="Z348" s="18" t="str">
        <x:v>0.8855907797813416</x:v>
      </x:c>
      <x:c r="AA348" s="18" t="str">
        <x:v>0.9311406016349792</x:v>
      </x:c>
      <x:c r="AB348" s="20" t="str">
        <x:v>187.39800000184914</x:v>
      </x:c>
      <x:c r="AC348" s="12" t="str">
        <x:v>overlays\surprise_047.png</x:v>
      </x:c>
      <x:c r="AD348" s="12" t="str"/>
      <x:c r="AE348" s="12" t="str"/>
      <x:c r="AF348" s="12" t="str">
        <x:v>acceptable</x:v>
      </x:c>
      <x:c r="AG348" s="12" t="n">
        <x:v>1</x:v>
      </x:c>
      <x:c r="AH348" s="12" t="str">
        <x:v>acceptable</x:v>
      </x:c>
      <x:c r="AI348" s="12" t="str">
        <x:v>acceptable</x:v>
      </x:c>
      <x:c r="AJ348" s="12" t="str">
        <x:v>acceptable</x:v>
      </x:c>
      <x:c r="AK348" s="12" t="str">
        <x:v>acceptable</x:v>
      </x:c>
      <x:c r="AL348" s="12" t="str">
        <x:v>mild</x:v>
      </x:c>
      <x:c r="AM348" s="14" t="str">
        <x:v>Moderate pose, crop, blur, or facial texture causes minor landmark uncertainty; the result remains usable.</x:v>
      </x:c>
    </x:row>
    <x:row r="349" ht="28" customHeight="1">
      <x:c r="A349" s="12" t="str">
        <x:v>surprise_048</x:v>
      </x:c>
      <x:c r="B349" s="12" t="str">
        <x:v>surprise</x:v>
      </x:c>
      <x:c r="C349" s="14" t="str">
        <x:v>surprise/Training_41150203.jpg</x:v>
      </x:c>
      <x:c r="D349" s="12" t="str">
        <x:v>96990c07300d5249fbc36cb27019a1bfc1f8998740034bb16551a17112e8553b</x:v>
      </x:c>
      <x:c r="E349" s="12" t="str">
        <x:v>96990c07300d5249fbc36cb27019a1bfc1f8998740034bb16551a17112e8553b</x:v>
      </x:c>
      <x:c r="F349" s="12" t="str">
        <x:v>True</x:v>
      </x:c>
      <x:c r="G349" s="12" t="str">
        <x:v>48</x:v>
      </x:c>
      <x:c r="H349" s="12" t="str">
        <x:v>48</x:v>
      </x:c>
      <x:c r="I349" s="12" t="str">
        <x:v>0.0</x:v>
      </x:c>
      <x:c r="J349" s="12" t="str">
        <x:v>0.0</x:v>
      </x:c>
      <x:c r="K349" s="12" t="str">
        <x:v>47.0</x:v>
      </x:c>
      <x:c r="L349" s="12" t="str">
        <x:v>47.0</x:v>
      </x:c>
      <x:c r="M349" s="12" t="str">
        <x:v>True</x:v>
      </x:c>
      <x:c r="N349" s="12" t="str">
        <x:v>68</x:v>
      </x:c>
      <x:c r="O349" s="12" t="str">
        <x:v>68</x:v>
      </x:c>
      <x:c r="P349" s="16" t="str">
        <x:v>1.0</x:v>
      </x:c>
      <x:c r="Q349" s="12" t="str">
        <x:v>68</x:v>
      </x:c>
      <x:c r="R349" s="16" t="str">
        <x:v>1.0</x:v>
      </x:c>
      <x:c r="S349" s="12" t="str">
        <x:v>0.2</x:v>
      </x:c>
      <x:c r="T349" s="12" t="str">
        <x:v>68</x:v>
      </x:c>
      <x:c r="U349" s="16" t="str">
        <x:v>1.0</x:v>
      </x:c>
      <x:c r="V349" s="18" t="str">
        <x:v>0.6831085681915283</x:v>
      </x:c>
      <x:c r="W349" s="18" t="str">
        <x:v>0.7843224287033081</x:v>
      </x:c>
      <x:c r="X349" s="18" t="str">
        <x:v>0.8318744897842407</x:v>
      </x:c>
      <x:c r="Y349" s="18" t="str">
        <x:v>0.8412706851959229</x:v>
      </x:c>
      <x:c r="Z349" s="18" t="str">
        <x:v>0.8721369564533233</x:v>
      </x:c>
      <x:c r="AA349" s="18" t="str">
        <x:v>0.8973205089569092</x:v>
      </x:c>
      <x:c r="AB349" s="20" t="str">
        <x:v>160.4695999994874</x:v>
      </x:c>
      <x:c r="AC349" s="12" t="str">
        <x:v>overlays\surprise_048.png</x:v>
      </x:c>
      <x:c r="AD349" s="12" t="str"/>
      <x:c r="AE349" s="12" t="str"/>
      <x:c r="AF349" s="12" t="str">
        <x:v>acceptable</x:v>
      </x:c>
      <x:c r="AG349" s="12" t="n">
        <x:v>1</x:v>
      </x:c>
      <x:c r="AH349" s="12" t="str">
        <x:v>acceptable</x:v>
      </x:c>
      <x:c r="AI349" s="12" t="str">
        <x:v>acceptable</x:v>
      </x:c>
      <x:c r="AJ349" s="12" t="str">
        <x:v>acceptable</x:v>
      </x:c>
      <x:c r="AK349" s="12" t="str">
        <x:v>not_applicable</x:v>
      </x:c>
      <x:c r="AL349" s="12" t="str">
        <x:v>mild</x:v>
      </x:c>
      <x:c r="AM349" s="14" t="str">
        <x:v>Large pose or profile; visible landmarks remain useful, while hidden-side and contour points are inferred.</x:v>
      </x:c>
    </x:row>
    <x:row r="350" ht="28" customHeight="1">
      <x:c r="A350" s="12" t="str">
        <x:v>surprise_049</x:v>
      </x:c>
      <x:c r="B350" s="12" t="str">
        <x:v>surprise</x:v>
      </x:c>
      <x:c r="C350" s="14" t="str">
        <x:v>surprise/Training_56736326.jpg</x:v>
      </x:c>
      <x:c r="D350" s="12" t="str">
        <x:v>13f538f51bec7eadcc7f02c9917fdbf86b9687f9ce7e70f2097d07a5c83a3c96</x:v>
      </x:c>
      <x:c r="E350" s="12" t="str">
        <x:v>13f538f51bec7eadcc7f02c9917fdbf86b9687f9ce7e70f2097d07a5c83a3c96</x:v>
      </x:c>
      <x:c r="F350" s="12" t="str">
        <x:v>True</x:v>
      </x:c>
      <x:c r="G350" s="12" t="str">
        <x:v>48</x:v>
      </x:c>
      <x:c r="H350" s="12" t="str">
        <x:v>48</x:v>
      </x:c>
      <x:c r="I350" s="12" t="str">
        <x:v>0.0</x:v>
      </x:c>
      <x:c r="J350" s="12" t="str">
        <x:v>0.0</x:v>
      </x:c>
      <x:c r="K350" s="12" t="str">
        <x:v>47.0</x:v>
      </x:c>
      <x:c r="L350" s="12" t="str">
        <x:v>47.0</x:v>
      </x:c>
      <x:c r="M350" s="12" t="str">
        <x:v>True</x:v>
      </x:c>
      <x:c r="N350" s="12" t="str">
        <x:v>68</x:v>
      </x:c>
      <x:c r="O350" s="12" t="str">
        <x:v>68</x:v>
      </x:c>
      <x:c r="P350" s="16" t="str">
        <x:v>1.0</x:v>
      </x:c>
      <x:c r="Q350" s="12" t="str">
        <x:v>68</x:v>
      </x:c>
      <x:c r="R350" s="16" t="str">
        <x:v>1.0</x:v>
      </x:c>
      <x:c r="S350" s="12" t="str">
        <x:v>0.2</x:v>
      </x:c>
      <x:c r="T350" s="12" t="str">
        <x:v>62</x:v>
      </x:c>
      <x:c r="U350" s="16" t="str">
        <x:v>0.9117647058823529</x:v>
      </x:c>
      <x:c r="V350" s="18" t="str">
        <x:v>0.017145531252026558</x:v>
      </x:c>
      <x:c r="W350" s="18" t="str">
        <x:v>0.2203628972172737</x:v>
      </x:c>
      <x:c r="X350" s="18" t="str">
        <x:v>0.632356584072113</x:v>
      </x:c>
      <x:c r="Y350" s="18" t="str">
        <x:v>0.7488243579864502</x:v>
      </x:c>
      <x:c r="Z350" s="18" t="str">
        <x:v>0.8369070172309876</x:v>
      </x:c>
      <x:c r="AA350" s="18" t="str">
        <x:v>0.8889648914337158</x:v>
      </x:c>
      <x:c r="AB350" s="20" t="str">
        <x:v>198.82630000211066</x:v>
      </x:c>
      <x:c r="AC350" s="12" t="str">
        <x:v>overlays\surprise_049.png</x:v>
      </x:c>
      <x:c r="AD350" s="12" t="str"/>
      <x:c r="AE350" s="12" t="str"/>
      <x:c r="AF350" s="12" t="str">
        <x:v>acceptable</x:v>
      </x:c>
      <x:c r="AG350" s="12" t="n">
        <x:v>1</x:v>
      </x:c>
      <x:c r="AH350" s="12" t="str">
        <x:v>acceptable</x:v>
      </x:c>
      <x:c r="AI350" s="12" t="str">
        <x:v>acceptable</x:v>
      </x:c>
      <x:c r="AJ350" s="12" t="str">
        <x:v>acceptable</x:v>
      </x:c>
      <x:c r="AK350" s="12" t="str">
        <x:v>acceptable</x:v>
      </x:c>
      <x:c r="AL350" s="12" t="str">
        <x:v>mild</x:v>
      </x:c>
      <x:c r="AM350" s="14" t="str">
        <x:v>Blur, low contrast, or unusual appearance lowers confidence, but the landmark geometry remains usable.</x:v>
      </x:c>
    </x:row>
    <x:row r="351" ht="28" customHeight="1">
      <x:c r="A351" s="12" t="str">
        <x:v>surprise_050</x:v>
      </x:c>
      <x:c r="B351" s="12" t="str">
        <x:v>surprise</x:v>
      </x:c>
      <x:c r="C351" s="14" t="str">
        <x:v>surprise/Training_25729700.jpg</x:v>
      </x:c>
      <x:c r="D351" s="12" t="str">
        <x:v>9881f1f3e10c9141b8273cb4cfcafa67258ea4ba476d2e5ef6ab001f894f5f6f</x:v>
      </x:c>
      <x:c r="E351" s="12" t="str">
        <x:v>9881f1f3e10c9141b8273cb4cfcafa67258ea4ba476d2e5ef6ab001f894f5f6f</x:v>
      </x:c>
      <x:c r="F351" s="12" t="str">
        <x:v>True</x:v>
      </x:c>
      <x:c r="G351" s="12" t="str">
        <x:v>48</x:v>
      </x:c>
      <x:c r="H351" s="12" t="str">
        <x:v>48</x:v>
      </x:c>
      <x:c r="I351" s="12" t="str">
        <x:v>0.0</x:v>
      </x:c>
      <x:c r="J351" s="12" t="str">
        <x:v>0.0</x:v>
      </x:c>
      <x:c r="K351" s="12" t="str">
        <x:v>47.0</x:v>
      </x:c>
      <x:c r="L351" s="12" t="str">
        <x:v>47.0</x:v>
      </x:c>
      <x:c r="M351" s="12" t="str">
        <x:v>True</x:v>
      </x:c>
      <x:c r="N351" s="12" t="str">
        <x:v>68</x:v>
      </x:c>
      <x:c r="O351" s="12" t="str">
        <x:v>68</x:v>
      </x:c>
      <x:c r="P351" s="16" t="str">
        <x:v>1.0</x:v>
      </x:c>
      <x:c r="Q351" s="12" t="str">
        <x:v>68</x:v>
      </x:c>
      <x:c r="R351" s="16" t="str">
        <x:v>1.0</x:v>
      </x:c>
      <x:c r="S351" s="12" t="str">
        <x:v>0.2</x:v>
      </x:c>
      <x:c r="T351" s="12" t="str">
        <x:v>68</x:v>
      </x:c>
      <x:c r="U351" s="16" t="str">
        <x:v>1.0</x:v>
      </x:c>
      <x:c r="V351" s="18" t="str">
        <x:v>0.7193900346755981</x:v>
      </x:c>
      <x:c r="W351" s="18" t="str">
        <x:v>0.7668463587760925</x:v>
      </x:c>
      <x:c r="X351" s="18" t="str">
        <x:v>0.8301630020141602</x:v>
      </x:c>
      <x:c r="Y351" s="18" t="str">
        <x:v>0.8377847671508789</x:v>
      </x:c>
      <x:c r="Z351" s="18" t="str">
        <x:v>0.8773030400276184</x:v>
      </x:c>
      <x:c r="AA351" s="18" t="str">
        <x:v>0.9102907180786133</x:v>
      </x:c>
      <x:c r="AB351" s="20" t="str">
        <x:v>156.64300000207732</x:v>
      </x:c>
      <x:c r="AC351" s="12" t="str">
        <x:v>overlays\surprise_050.png</x:v>
      </x:c>
      <x:c r="AD351" s="12" t="str"/>
      <x:c r="AE351" s="12" t="str"/>
      <x:c r="AF351" s="12" t="str">
        <x:v>acceptable</x:v>
      </x:c>
      <x:c r="AG351" s="12" t="n">
        <x:v>1</x:v>
      </x:c>
      <x:c r="AH351" s="12" t="str">
        <x:v>acceptable</x:v>
      </x:c>
      <x:c r="AI351" s="12" t="str">
        <x:v>acceptable</x:v>
      </x:c>
      <x:c r="AJ351" s="12" t="str">
        <x:v>acceptable</x:v>
      </x:c>
      <x:c r="AK351" s="12" t="str">
        <x:v>not_applicable</x:v>
      </x:c>
      <x:c r="AL351" s="12" t="str">
        <x:v>mild</x:v>
      </x:c>
      <x:c r="AM351" s="14" t="str">
        <x:v>Moderate pose, crop, blur, or facial texture causes minor landmark uncertainty; the result remains usable.</x:v>
      </x:c>
    </x:row>
  </x:sheetData>
  <x:conditionalFormatting sqref="AF2:AF351">
    <x:cfRule type="expression" dxfId="0" priority="1">
      <x:formula>AF2="good"</x:formula>
    </x:cfRule>
    <x:cfRule type="expression" dxfId="1" priority="2">
      <x:formula>AF2="acceptable"</x:formula>
    </x:cfRule>
    <x:cfRule type="expression" dxfId="2" priority="3">
      <x:formula>AF2="wrong"</x:formula>
    </x:cfRule>
  </x:conditionalFormatting>
  <x:dataValidations count="7">
    <x:dataValidation type="list" sqref="AF2:AF351">
      <x:formula1>"good,acceptable,wrong"</x:formula1>
    </x:dataValidation>
    <x:dataValidation type="list" sqref="AG2:AG351">
      <x:formula1>"1,0"</x:formula1>
    </x:dataValidation>
    <x:dataValidation type="list" sqref="AH2:AH351">
      <x:formula1>"good,acceptable,wrong,occluded"</x:formula1>
    </x:dataValidation>
    <x:dataValidation type="list" sqref="AI2:AI351">
      <x:formula1>"good,acceptable,wrong,occluded"</x:formula1>
    </x:dataValidation>
    <x:dataValidation type="list" sqref="AJ2:AJ351">
      <x:formula1>"good,acceptable,wrong,occluded"</x:formula1>
    </x:dataValidation>
    <x:dataValidation type="list" sqref="AK2:AK351">
      <x:formula1>"good,acceptable,wrong,not_applicable"</x:formula1>
    </x:dataValidation>
    <x:dataValidation type="list" sqref="AL2:AL351">
      <x:formula1>"none,mild,severe"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ab93250acf849a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</x:cols>
  <x:sheetData>
    <x:row r="1" ht="30" customHeight="1">
      <x:c r="A1" s="25" t="str">
        <x:v>FAN — 350 Sample Benchmark</x:v>
      </x:c>
      <x:c r="B1" s="25"/>
      <x:c r="C1" s="25"/>
      <x:c r="D1" s="25"/>
      <x:c r="E1" s="25"/>
      <x:c r="F1" s="25"/>
      <x:c r="G1" s="25"/>
      <x:c r="H1" s="25"/>
    </x:row>
    <x:row r="3">
      <x:c r="A3" s="31" t="str">
        <x:v>Total samples</x:v>
      </x:c>
      <x:c r="B3" t="n">
        <x:f>COUNTA('Manual Review'!$A$2:$A$351)</x:f>
        <x:v>350</x:v>
      </x:c>
      <x:c r="D3" s="31" t="str">
        <x:v>Mean time (ms)</x:v>
      </x:c>
      <x:c r="E3" s="36" t="n">
        <x:f>AVERAGE('Manual Review'!$AB$2:$AB$351)</x:f>
        <x:v>173.67158742868924</x:v>
      </x:c>
    </x:row>
    <x:row r="4">
      <x:c r="A4" s="31" t="str">
        <x:v>Raw inference success</x:v>
      </x:c>
      <x:c r="B4" t="n">
        <x:f>COUNTIF('Manual Review'!$M$2:$M$351,TRUE)</x:f>
        <x:v>350</x:v>
      </x:c>
      <x:c r="D4" s="31" t="str">
        <x:v>Median time (ms)</x:v>
      </x:c>
      <x:c r="E4" s="36" t="n">
        <x:f>MEDIAN('Manual Review'!$AB$2:$AB$351)</x:f>
        <x:v>163.6404000018956</x:v>
      </x:c>
    </x:row>
    <x:row r="5">
      <x:c r="A5" s="31" t="str">
        <x:v>Good</x:v>
      </x:c>
      <x:c r="B5" t="n">
        <x:f>COUNTIF('Manual Review'!$AF$2:$AF$351,"good")</x:f>
        <x:v>174</x:v>
      </x:c>
      <x:c r="D5" s="31" t="str">
        <x:v>P95 time (ms)</x:v>
      </x:c>
      <x:c r="E5" s="36" t="n">
        <x:v>219.02687499750755</x:v>
      </x:c>
    </x:row>
    <x:row r="6">
      <x:c r="A6" s="31" t="str">
        <x:v>Acceptable</x:v>
      </x:c>
      <x:c r="B6" t="n">
        <x:f>COUNTIF('Manual Review'!$AF$2:$AF$351,"acceptable")</x:f>
        <x:v>170</x:v>
      </x:c>
      <x:c r="D6" s="31" t="str">
        <x:v>Maximum time (ms)</x:v>
      </x:c>
      <x:c r="E6" s="36" t="n">
        <x:f>MAX('Manual Review'!$AB$2:$AB$351)</x:f>
        <x:v>249.10130000353092</x:v>
      </x:c>
    </x:row>
    <x:row r="7">
      <x:c r="A7" s="31" t="str">
        <x:v>Wrong</x:v>
      </x:c>
      <x:c r="B7" t="n">
        <x:f>COUNTIF('Manual Review'!$AF$2:$AF$351,"wrong")</x:f>
        <x:v>6</x:v>
      </x:c>
      <x:c r="D7" s="31" t="str">
        <x:v>Mean score</x:v>
      </x:c>
      <x:c r="E7" s="36" t="n">
        <x:f>AVERAGE('Manual Review'!$X$2:$X$351)</x:f>
        <x:v>0.7860242239066533</x:v>
      </x:c>
    </x:row>
    <x:row r="8">
      <x:c r="A8" s="31" t="str">
        <x:v>Manual valid</x:v>
      </x:c>
      <x:c r="B8" t="n">
        <x:f>SUM('Manual Review'!$AG$2:$AG$351)</x:f>
        <x:v>344</x:v>
      </x:c>
      <x:c r="D8" s="31" t="str">
        <x:v>Benchmark device</x:v>
      </x:c>
      <x:c r="E8" t="str">
        <x:v>cpu</x:v>
      </x:c>
    </x:row>
    <x:row r="9">
      <x:c r="A9" s="31" t="str">
        <x:v>Manual valid rate</x:v>
      </x:c>
      <x:c r="B9" s="34" t="n">
        <x:f>B8/B3</x:f>
        <x:v>0.9828571428571429</x:v>
      </x:c>
    </x:row>
    <x:row r="10">
      <x:c r="A10" s="31" t="str">
        <x:v>Strict good rate</x:v>
      </x:c>
      <x:c r="B10" s="34" t="n">
        <x:f>B5/B3</x:f>
        <x:v>0.49714285714285716</x:v>
      </x:c>
    </x:row>
    <x:row r="11">
      <x:c r="A11" s="31" t="str">
        <x:v>Mean in-bounds rate</x:v>
      </x:c>
      <x:c r="B11" s="34" t="n">
        <x:f>AVERAGE('Manual Review'!$R$2:$R$351)</x:f>
        <x:v>0.985882352941178</x:v>
      </x:c>
    </x:row>
    <x:row r="13">
      <x:c r="A13" s="5" t="str">
        <x:v>Class</x:v>
      </x:c>
      <x:c r="B13" s="5" t="str">
        <x:v>Good</x:v>
      </x:c>
      <x:c r="C13" s="5" t="str">
        <x:v>Acceptable</x:v>
      </x:c>
      <x:c r="D13" s="5" t="str">
        <x:v>Wrong</x:v>
      </x:c>
      <x:c r="E13" s="5" t="str">
        <x:v>Manual valid</x:v>
      </x:c>
      <x:c r="F13" s="5" t="str">
        <x:v>Mean score</x:v>
      </x:c>
      <x:c r="G13" s="5" t="str">
        <x:v>In-bounds rate</x:v>
      </x:c>
      <x:c r="H13" s="5" t="str">
        <x:v>Mean time (ms)</x:v>
      </x:c>
    </x:row>
    <x:row r="14">
      <x:c r="A14" t="str">
        <x:v>angry</x:v>
      </x:c>
      <x:c r="B14" t="n">
        <x:f>COUNTIFS('Manual Review'!$B$2:$B$351,$A14,'Manual Review'!$AF$2:$AF$351,B$13)</x:f>
        <x:v>30</x:v>
      </x:c>
      <x:c r="C14" t="n">
        <x:f>COUNTIFS('Manual Review'!$B$2:$B$351,$A14,'Manual Review'!$AF$2:$AF$351,C$13)</x:f>
        <x:v>18</x:v>
      </x:c>
      <x:c r="D14" t="n">
        <x:f>COUNTIFS('Manual Review'!$B$2:$B$351,$A14,'Manual Review'!$AF$2:$AF$351,D$13)</x:f>
        <x:v>2</x:v>
      </x:c>
      <x:c r="E14" t="n">
        <x:f>SUMIFS('Manual Review'!$AG$2:$AG$351,'Manual Review'!$B$2:$B$351,$A14)</x:f>
        <x:v>48</x:v>
      </x:c>
      <x:c r="F14" s="38" t="n">
        <x:f>SUMIFS('Manual Review'!$X$2:$X$351,'Manual Review'!$B$2:$B$351,$A14)/COUNTIF('Manual Review'!$B$2:$B$351,$A14)</x:f>
        <x:v>0.7785102733969689</x:v>
      </x:c>
      <x:c r="G14" s="34" t="n">
        <x:f>SUMIFS('Manual Review'!$R$2:$R$351,'Manual Review'!$B$2:$B$351,$A14)/COUNTIF('Manual Review'!$B$2:$B$351,$A14)</x:f>
        <x:v>0.9861764705882351</x:v>
      </x:c>
      <x:c r="H14" s="36" t="n">
        <x:f>SUMIFS('Manual Review'!$AB$2:$AB$351,'Manual Review'!$B$2:$B$351,$A14)/COUNTIF('Manual Review'!$B$2:$B$351,$A14)</x:f>
        <x:v>173.2912700000452</x:v>
      </x:c>
    </x:row>
    <x:row r="15">
      <x:c r="A15" t="str">
        <x:v>disgust</x:v>
      </x:c>
      <x:c r="B15" t="n">
        <x:f>COUNTIFS('Manual Review'!$B$2:$B$351,$A15,'Manual Review'!$AF$2:$AF$351,B$13)</x:f>
        <x:v>26</x:v>
      </x:c>
      <x:c r="C15" t="n">
        <x:f>COUNTIFS('Manual Review'!$B$2:$B$351,$A15,'Manual Review'!$AF$2:$AF$351,C$13)</x:f>
        <x:v>24</x:v>
      </x:c>
      <x:c r="D15" t="n">
        <x:f>COUNTIFS('Manual Review'!$B$2:$B$351,$A15,'Manual Review'!$AF$2:$AF$351,D$13)</x:f>
        <x:v>0</x:v>
      </x:c>
      <x:c r="E15" t="n">
        <x:f>SUMIFS('Manual Review'!$AG$2:$AG$351,'Manual Review'!$B$2:$B$351,$A15)</x:f>
        <x:v>50</x:v>
      </x:c>
      <x:c r="F15" s="38" t="n">
        <x:f>SUMIFS('Manual Review'!$X$2:$X$351,'Manual Review'!$B$2:$B$351,$A15)/COUNTIF('Manual Review'!$B$2:$B$351,$A15)</x:f>
        <x:v>0.799814463853836</x:v>
      </x:c>
      <x:c r="G15" s="34" t="n">
        <x:f>SUMIFS('Manual Review'!$R$2:$R$351,'Manual Review'!$B$2:$B$351,$A15)/COUNTIF('Manual Review'!$B$2:$B$351,$A15)</x:f>
        <x:v>0.9791176470588234</x:v>
      </x:c>
      <x:c r="H15" s="36" t="n">
        <x:f>SUMIFS('Manual Review'!$AB$2:$AB$351,'Manual Review'!$B$2:$B$351,$A15)/COUNTIF('Manual Review'!$B$2:$B$351,$A15)</x:f>
        <x:v>173.58247400043183</x:v>
      </x:c>
    </x:row>
    <x:row r="16">
      <x:c r="A16" t="str">
        <x:v>fear</x:v>
      </x:c>
      <x:c r="B16" t="n">
        <x:f>COUNTIFS('Manual Review'!$B$2:$B$351,$A16,'Manual Review'!$AF$2:$AF$351,B$13)</x:f>
        <x:v>26</x:v>
      </x:c>
      <x:c r="C16" t="n">
        <x:f>COUNTIFS('Manual Review'!$B$2:$B$351,$A16,'Manual Review'!$AF$2:$AF$351,C$13)</x:f>
        <x:v>21</x:v>
      </x:c>
      <x:c r="D16" t="n">
        <x:f>COUNTIFS('Manual Review'!$B$2:$B$351,$A16,'Manual Review'!$AF$2:$AF$351,D$13)</x:f>
        <x:v>3</x:v>
      </x:c>
      <x:c r="E16" t="n">
        <x:f>SUMIFS('Manual Review'!$AG$2:$AG$351,'Manual Review'!$B$2:$B$351,$A16)</x:f>
        <x:v>47</x:v>
      </x:c>
      <x:c r="F16" s="38" t="n">
        <x:f>SUMIFS('Manual Review'!$X$2:$X$351,'Manual Review'!$B$2:$B$351,$A16)/COUNTIF('Manual Review'!$B$2:$B$351,$A16)</x:f>
        <x:v>0.7626761743426322</x:v>
      </x:c>
      <x:c r="G16" s="34" t="n">
        <x:f>SUMIFS('Manual Review'!$R$2:$R$351,'Manual Review'!$B$2:$B$351,$A16)/COUNTIF('Manual Review'!$B$2:$B$351,$A16)</x:f>
        <x:v>0.9858823529411762</x:v>
      </x:c>
      <x:c r="H16" s="36" t="n">
        <x:f>SUMIFS('Manual Review'!$AB$2:$AB$351,'Manual Review'!$B$2:$B$351,$A16)/COUNTIF('Manual Review'!$B$2:$B$351,$A16)</x:f>
        <x:v>179.89107599962153</x:v>
      </x:c>
    </x:row>
    <x:row r="17">
      <x:c r="A17" t="str">
        <x:v>happy</x:v>
      </x:c>
      <x:c r="B17" t="n">
        <x:f>COUNTIFS('Manual Review'!$B$2:$B$351,$A17,'Manual Review'!$AF$2:$AF$351,B$13)</x:f>
        <x:v>30</x:v>
      </x:c>
      <x:c r="C17" t="n">
        <x:f>COUNTIFS('Manual Review'!$B$2:$B$351,$A17,'Manual Review'!$AF$2:$AF$351,C$13)</x:f>
        <x:v>20</x:v>
      </x:c>
      <x:c r="D17" t="n">
        <x:f>COUNTIFS('Manual Review'!$B$2:$B$351,$A17,'Manual Review'!$AF$2:$AF$351,D$13)</x:f>
        <x:v>0</x:v>
      </x:c>
      <x:c r="E17" t="n">
        <x:f>SUMIFS('Manual Review'!$AG$2:$AG$351,'Manual Review'!$B$2:$B$351,$A17)</x:f>
        <x:v>50</x:v>
      </x:c>
      <x:c r="F17" s="38" t="n">
        <x:f>SUMIFS('Manual Review'!$X$2:$X$351,'Manual Review'!$B$2:$B$351,$A17)/COUNTIF('Manual Review'!$B$2:$B$351,$A17)</x:f>
        <x:v>0.8079258084297181</x:v>
      </x:c>
      <x:c r="G17" s="34" t="n">
        <x:f>SUMIFS('Manual Review'!$R$2:$R$351,'Manual Review'!$B$2:$B$351,$A17)/COUNTIF('Manual Review'!$B$2:$B$351,$A17)</x:f>
        <x:v>0.9920588235294114</x:v>
      </x:c>
      <x:c r="H17" s="36" t="n">
        <x:f>SUMIFS('Manual Review'!$AB$2:$AB$351,'Manual Review'!$B$2:$B$351,$A17)/COUNTIF('Manual Review'!$B$2:$B$351,$A17)</x:f>
        <x:v>171.3957060003304</x:v>
      </x:c>
    </x:row>
    <x:row r="18">
      <x:c r="A18" t="str">
        <x:v>neutral</x:v>
      </x:c>
      <x:c r="B18" t="n">
        <x:f>COUNTIFS('Manual Review'!$B$2:$B$351,$A18,'Manual Review'!$AF$2:$AF$351,B$13)</x:f>
        <x:v>23</x:v>
      </x:c>
      <x:c r="C18" t="n">
        <x:f>COUNTIFS('Manual Review'!$B$2:$B$351,$A18,'Manual Review'!$AF$2:$AF$351,C$13)</x:f>
        <x:v>27</x:v>
      </x:c>
      <x:c r="D18" t="n">
        <x:f>COUNTIFS('Manual Review'!$B$2:$B$351,$A18,'Manual Review'!$AF$2:$AF$351,D$13)</x:f>
        <x:v>0</x:v>
      </x:c>
      <x:c r="E18" t="n">
        <x:f>SUMIFS('Manual Review'!$AG$2:$AG$351,'Manual Review'!$B$2:$B$351,$A18)</x:f>
        <x:v>50</x:v>
      </x:c>
      <x:c r="F18" s="38" t="n">
        <x:f>SUMIFS('Manual Review'!$X$2:$X$351,'Manual Review'!$B$2:$B$351,$A18)/COUNTIF('Manual Review'!$B$2:$B$351,$A18)</x:f>
        <x:v>0.811620237827301</x:v>
      </x:c>
      <x:c r="G18" s="34" t="n">
        <x:f>SUMIFS('Manual Review'!$R$2:$R$351,'Manual Review'!$B$2:$B$351,$A18)/COUNTIF('Manual Review'!$B$2:$B$351,$A18)</x:f>
        <x:v>0.9838235294117645</x:v>
      </x:c>
      <x:c r="H18" s="36" t="n">
        <x:f>SUMIFS('Manual Review'!$AB$2:$AB$351,'Manual Review'!$B$2:$B$351,$A18)/COUNTIF('Manual Review'!$B$2:$B$351,$A18)</x:f>
        <x:v>172.1599020002759</x:v>
      </x:c>
    </x:row>
    <x:row r="19">
      <x:c r="A19" t="str">
        <x:v>sad</x:v>
      </x:c>
      <x:c r="B19" t="n">
        <x:f>COUNTIFS('Manual Review'!$B$2:$B$351,$A19,'Manual Review'!$AF$2:$AF$351,B$13)</x:f>
        <x:v>15</x:v>
      </x:c>
      <x:c r="C19" t="n">
        <x:f>COUNTIFS('Manual Review'!$B$2:$B$351,$A19,'Manual Review'!$AF$2:$AF$351,C$13)</x:f>
        <x:v>34</x:v>
      </x:c>
      <x:c r="D19" t="n">
        <x:f>COUNTIFS('Manual Review'!$B$2:$B$351,$A19,'Manual Review'!$AF$2:$AF$351,D$13)</x:f>
        <x:v>1</x:v>
      </x:c>
      <x:c r="E19" t="n">
        <x:f>SUMIFS('Manual Review'!$AG$2:$AG$351,'Manual Review'!$B$2:$B$351,$A19)</x:f>
        <x:v>49</x:v>
      </x:c>
      <x:c r="F19" s="38" t="n">
        <x:f>SUMIFS('Manual Review'!$X$2:$X$351,'Manual Review'!$B$2:$B$351,$A19)/COUNTIF('Manual Review'!$B$2:$B$351,$A19)</x:f>
        <x:v>0.7764346987009049</x:v>
      </x:c>
      <x:c r="G19" s="34" t="n">
        <x:f>SUMIFS('Manual Review'!$R$2:$R$351,'Manual Review'!$B$2:$B$351,$A19)/COUNTIF('Manual Review'!$B$2:$B$351,$A19)</x:f>
        <x:v>0.9849999999999998</x:v>
      </x:c>
      <x:c r="H19" s="36" t="n">
        <x:f>SUMIFS('Manual Review'!$AB$2:$AB$351,'Manual Review'!$B$2:$B$351,$A19)/COUNTIF('Manual Review'!$B$2:$B$351,$A19)</x:f>
        <x:v>170.4207939998014</x:v>
      </x:c>
    </x:row>
    <x:row r="20">
      <x:c r="A20" t="str">
        <x:v>surprise</x:v>
      </x:c>
      <x:c r="B20" t="n">
        <x:f>COUNTIFS('Manual Review'!$B$2:$B$351,$A20,'Manual Review'!$AF$2:$AF$351,B$13)</x:f>
        <x:v>24</x:v>
      </x:c>
      <x:c r="C20" t="n">
        <x:f>COUNTIFS('Manual Review'!$B$2:$B$351,$A20,'Manual Review'!$AF$2:$AF$351,C$13)</x:f>
        <x:v>26</x:v>
      </x:c>
      <x:c r="D20" t="n">
        <x:f>COUNTIFS('Manual Review'!$B$2:$B$351,$A20,'Manual Review'!$AF$2:$AF$351,D$13)</x:f>
        <x:v>0</x:v>
      </x:c>
      <x:c r="E20" t="n">
        <x:f>SUMIFS('Manual Review'!$AG$2:$AG$351,'Manual Review'!$B$2:$B$351,$A20)</x:f>
        <x:v>50</x:v>
      </x:c>
      <x:c r="F20" s="38" t="n">
        <x:f>SUMIFS('Manual Review'!$X$2:$X$351,'Manual Review'!$B$2:$B$351,$A20)/COUNTIF('Manual Review'!$B$2:$B$351,$A20)</x:f>
        <x:v>0.7651879107952118</x:v>
      </x:c>
      <x:c r="G20" s="34" t="n">
        <x:f>SUMIFS('Manual Review'!$R$2:$R$351,'Manual Review'!$B$2:$B$351,$A20)/COUNTIF('Manual Review'!$B$2:$B$351,$A20)</x:f>
        <x:v>0.9891176470588233</x:v>
      </x:c>
      <x:c r="H20" s="36" t="n">
        <x:f>SUMIFS('Manual Review'!$AB$2:$AB$351,'Manual Review'!$B$2:$B$351,$A20)/COUNTIF('Manual Review'!$B$2:$B$351,$A20)</x:f>
        <x:v>174.9598900003184</x:v>
      </x:c>
    </x:row>
    <x:row r="23">
      <x:c r="A23" s="43" t="str">
        <x:v>Model</x:v>
      </x:c>
      <x:c r="B23" s="43" t="str">
        <x:v>Landmarks</x:v>
      </x:c>
      <x:c r="C23" s="43" t="str">
        <x:v>Raw success</x:v>
      </x:c>
      <x:c r="D23" s="43" t="str">
        <x:v>Good</x:v>
      </x:c>
      <x:c r="E23" s="43" t="str">
        <x:v>Acceptable</x:v>
      </x:c>
      <x:c r="F23" s="43" t="str">
        <x:v>Wrong</x:v>
      </x:c>
      <x:c r="G23" s="43" t="str">
        <x:v>Manual valid rate</x:v>
      </x:c>
      <x:c r="H23" s="43" t="str">
        <x:v>Mean time (ms)</x:v>
      </x:c>
      <x:c r="I23" s="43" t="str">
        <x:v>P95 time (ms)</x:v>
      </x:c>
    </x:row>
    <x:row r="24">
      <x:c r="A24" t="str">
        <x:v>MediaPipe Face Mesh</x:v>
      </x:c>
      <x:c r="B24" t="n">
        <x:v>468</x:v>
      </x:c>
      <x:c r="C24" t="n">
        <x:v>317</x:v>
      </x:c>
      <x:c r="D24" t="n">
        <x:v>150</x:v>
      </x:c>
      <x:c r="E24" t="n">
        <x:v>167</x:v>
      </x:c>
      <x:c r="F24" t="n">
        <x:v>33</x:v>
      </x:c>
      <x:c r="G24" s="34" t="n">
        <x:v>0.9057142857142857</x:v>
      </x:c>
      <x:c r="H24" s="36" t="n">
        <x:v>4.86</x:v>
      </x:c>
      <x:c r="I24" s="36" t="n">
        <x:v>6.06</x:v>
      </x:c>
    </x:row>
    <x:row r="25">
      <x:c r="A25" t="str">
        <x:v>RTMPose-M Face6</x:v>
      </x:c>
      <x:c r="B25" t="n">
        <x:v>106</x:v>
      </x:c>
      <x:c r="C25" t="n">
        <x:v>350</x:v>
      </x:c>
      <x:c r="D25" t="n">
        <x:v>155</x:v>
      </x:c>
      <x:c r="E25" t="n">
        <x:v>195</x:v>
      </x:c>
      <x:c r="F25" t="n">
        <x:v>0</x:v>
      </x:c>
      <x:c r="G25" s="34" t="n">
        <x:v>1</x:v>
      </x:c>
      <x:c r="H25" s="36" t="n">
        <x:v>108.29</x:v>
      </x:c>
      <x:c r="I25" s="36" t="n">
        <x:v>122.91</x:v>
      </x:c>
    </x:row>
    <x:row r="26">
      <x:c r="A26" t="str">
        <x:v>2D FAN-4</x:v>
      </x:c>
      <x:c r="B26" t="n">
        <x:v>68</x:v>
      </x:c>
      <x:c r="C26" t="n">
        <x:v>350</x:v>
      </x:c>
      <x:c r="D26" t="n">
        <x:v>174</x:v>
      </x:c>
      <x:c r="E26" t="n">
        <x:v>170</x:v>
      </x:c>
      <x:c r="F26" t="n">
        <x:v>6</x:v>
      </x:c>
      <x:c r="G26" s="34" t="n">
        <x:v>0.9828571428571429</x:v>
      </x:c>
      <x:c r="H26" s="36" t="n">
        <x:v>173.67158742868924</x:v>
      </x:c>
      <x:c r="I26" s="36" t="n">
        <x:v>219.02687499750755</x:v>
      </x:c>
    </x:row>
    <x:row r="29">
      <x:c r="A29" s="51" t="str">
        <x:v>Interpretation
FAN returned 68 finite landmarks for every image, but the whole FER image was supplied as a face bounding box. High heatmap scores and in-bounds coordinates do not guarantee anatomically correct landmarks. The main failures occur under severe profile, hand or hair occlusion, and heavy blur.</x:v>
      </x:c>
      <x:c r="B29" s="51"/>
      <x:c r="C29" s="51"/>
      <x:c r="D29" s="51"/>
      <x:c r="E29" s="51"/>
      <x:c r="F29" s="51"/>
      <x:c r="G29" s="51"/>
      <x:c r="H29" s="51"/>
      <x:c r="I29" s="51"/>
    </x:row>
    <x:row r="30">
      <x:c r="A30" s="51"/>
      <x:c r="B30" s="51"/>
      <x:c r="C30" s="51"/>
      <x:c r="D30" s="51"/>
      <x:c r="E30" s="51"/>
      <x:c r="F30" s="51"/>
      <x:c r="G30" s="51"/>
      <x:c r="H30" s="51"/>
      <x:c r="I30" s="51"/>
    </x:row>
    <x:row r="31">
      <x:c r="A31" s="51"/>
      <x:c r="B31" s="51"/>
      <x:c r="C31" s="51"/>
      <x:c r="D31" s="51"/>
      <x:c r="E31" s="51"/>
      <x:c r="F31" s="51"/>
      <x:c r="G31" s="51"/>
      <x:c r="H31" s="51"/>
      <x:c r="I31" s="51"/>
    </x:row>
    <x:row r="32">
      <x:c r="A32" s="51"/>
      <x:c r="B32" s="51"/>
      <x:c r="C32" s="51"/>
      <x:c r="D32" s="51"/>
      <x:c r="E32" s="51"/>
      <x:c r="F32" s="51"/>
      <x:c r="G32" s="51"/>
      <x:c r="H32" s="51"/>
      <x:c r="I32" s="51"/>
    </x:row>
  </x:sheetData>
  <x:mergeCells>
    <x:mergeCell ref="A1:H1"/>
    <x:mergeCell ref="A29:I32"/>
  </x:mergeCells>
  <x:pageMargins left="0.7" right="0.7" top="0.75" bottom="0.75" header="0.3" footer="0.3"/>
  <x:drawing xmlns:r="http://schemas.openxmlformats.org/officeDocument/2006/relationships" r:id="R3f735e6800c7459c"/>
</x:worksheet>
</file>