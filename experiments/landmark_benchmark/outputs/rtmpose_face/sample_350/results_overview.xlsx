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4aa551e5b47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 Review" sheetId="1" r:id="R49eaca8c6b554ac2"/>
    <x:sheet xmlns:r="http://schemas.openxmlformats.org/officeDocument/2006/relationships" name="Summary" sheetId="2" r:id="Rffb24d1b89944c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0"/>
    <x:numFmt numFmtId="202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2" xfId="0" applyNumberFormat="1" applyFont="1" applyFill="1" applyBorder="1"/>
    <x:xf numFmtId="0" fontId="0" fillId="4" borderId="4" xfId="0" applyNumberFormat="1" applyFont="1" applyFill="1" applyBorder="1"/>
    <x:xf numFmtId="0" fontId="0" fillId="4" borderId="6" xfId="0" applyNumberFormat="1" applyFont="1" applyFill="1" applyBorder="1"/>
    <x:xf numFmtId="0" fontId="3" fillId="4" borderId="2" xfId="0" applyNumberFormat="1" applyFont="1" applyFill="1" applyBorder="1"/>
    <x:xf numFmtId="0" fontId="3" fillId="4" borderId="4" xfId="0" applyNumberFormat="1" applyFont="1" applyFill="1" applyBorder="1"/>
    <x:xf numFmtId="0" fontId="3" fillId="4" borderId="6" xfId="0" applyNumberFormat="1" applyFont="1" applyFill="1" applyBorder="1"/>
    <x:xf numFmtId="0" fontId="0" fillId="4" borderId="8" xfId="0" applyNumberFormat="1" applyFont="1" applyFill="1" applyBorder="1"/>
    <x:xf numFmtId="0" fontId="0" fillId="4" borderId="10" xfId="0" applyNumberFormat="1" applyFont="1" applyFill="1" applyBorder="1"/>
    <x:xf numFmtId="0" fontId="0" fillId="4" borderId="12" xfId="0" applyNumberFormat="1" applyFont="1" applyFill="1" applyBorder="1"/>
    <x:xf numFmtId="0" fontId="3" fillId="4" borderId="8" xfId="0" applyNumberFormat="1" applyFont="1" applyFill="1" applyBorder="1"/>
    <x:xf numFmtId="0" fontId="3" fillId="4" borderId="10" xfId="0" applyNumberFormat="1" applyFont="1" applyFill="1" applyBorder="1"/>
    <x:xf numFmtId="0" fontId="3" fillId="4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11" xfId="0" applyNumberFormat="1" applyFont="1" applyFill="1" applyBorder="1"/>
    <x:xf numFmtId="200" fontId="0" fillId="0" borderId="13" xfId="0" applyNumberFormat="1" applyFont="1" applyFill="1" applyBorder="1"/>
    <x:xf numFmtId="202" fontId="0" fillId="0" borderId="3" xfId="0" applyNumberFormat="1" applyFont="1" applyFill="1" applyBorder="1"/>
    <x:xf numFmtId="202" fontId="0" fillId="0" borderId="5" xfId="0" applyNumberFormat="1" applyFont="1" applyFill="1" applyBorder="1"/>
    <x:xf numFmtId="202" fontId="0" fillId="0" borderId="9" xfId="0" applyNumberFormat="1" applyFont="1" applyFill="1" applyBorder="1"/>
    <x:xf numFmtId="202" fontId="0" fillId="0" borderId="1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406fc30a1e4989" /><Relationship Type="http://schemas.openxmlformats.org/officeDocument/2006/relationships/theme" Target="/xl/theme/theme1.xml" Id="Rc097118107e34329" /><Relationship Type="http://schemas.openxmlformats.org/officeDocument/2006/relationships/sharedStrings" Target="/xl/sharedStrings.xml" Id="R9016074d09064592" /><Relationship Type="http://schemas.openxmlformats.org/officeDocument/2006/relationships/worksheet" Target="/xl/worksheets/sheet1.xml" Id="R49eaca8c6b554ac2" /><Relationship Type="http://schemas.openxmlformats.org/officeDocument/2006/relationships/worksheet" Target="/xl/worksheets/sheet2.xml" Id="Rffb24d1b89944c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ee2321672d4d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Manual Review by Expression Class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Good</c:v>
          </c:tx>
          <c:cat>
            <c:strRef>
              <c:f>'Summary'!$A$14:$A$20</c:f>
              <c:strCache>
                <c:ptCount val="0"/>
              </c:strCache>
            </c:strRef>
          </c:cat>
          <c:val>
            <c:numRef>
              <c:f>'Summary'!$B$14:$B$20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Acceptable</c:v>
          </c:tx>
          <c:cat>
            <c:strRef>
              <c:f>'Summary'!$A$14:$A$20</c:f>
              <c:strCache>
                <c:ptCount val="0"/>
              </c:strCache>
            </c:strRef>
          </c:cat>
          <c:val>
            <c:numRef>
              <c:f>'Summary'!$C$14:$C$20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Wrong</c:v>
          </c:tx>
          <c:cat>
            <c:strRef>
              <c:f>'Summary'!$A$14:$A$20</c:f>
              <c:strCache>
                <c:ptCount val="0"/>
              </c:strCache>
            </c:strRef>
          </c:cat>
          <c:val>
            <c:numRef>
              <c:f>'Summary'!$D$14:$D$20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ee2321672d4dc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TMPoseManualReviewTable" displayName="RTMPoseManualReviewTable" ref="A1:AM351" headerRowCount="1">
  <x:tableColumns count="39">
    <x:tableColumn id="1" name="sample_id"/>
    <x:tableColumn id="2" name="class_name"/>
    <x:tableColumn id="3" name="relative_path"/>
    <x:tableColumn id="4" name="manifest_sha256"/>
    <x:tableColumn id="5" name="computed_sha256"/>
    <x:tableColumn id="6" name="sha256_match"/>
    <x:tableColumn id="7" name="image_width"/>
    <x:tableColumn id="8" name="image_height"/>
    <x:tableColumn id="9" name="bbox_x1"/>
    <x:tableColumn id="10" name="bbox_y1"/>
    <x:tableColumn id="11" name="bbox_x2"/>
    <x:tableColumn id="12" name="bbox_y2"/>
    <x:tableColumn id="13" name="inference_success"/>
    <x:tableColumn id="14" name="num_keypoints"/>
    <x:tableColumn id="15" name="finite_keypoints"/>
    <x:tableColumn id="16" name="finite_rate"/>
    <x:tableColumn id="17" name="in_bounds_keypoints"/>
    <x:tableColumn id="18" name="in_bounds_rate"/>
    <x:tableColumn id="19" name="score_threshold"/>
    <x:tableColumn id="20" name="visible_keypoints"/>
    <x:tableColumn id="21" name="visible_rate"/>
    <x:tableColumn id="22" name="score_min"/>
    <x:tableColumn id="23" name="score_p10"/>
    <x:tableColumn id="24" name="score_mean"/>
    <x:tableColumn id="25" name="score_median"/>
    <x:tableColumn id="26" name="score_p90"/>
    <x:tableColumn id="27" name="score_max"/>
    <x:tableColumn id="28" name="inference_ms"/>
    <x:tableColumn id="29" name="overlay_path"/>
    <x:tableColumn id="30" name="error_type"/>
    <x:tableColumn id="31" name="error_message"/>
    <x:tableColumn id="32" name="review_label"/>
    <x:tableColumn id="33" name="manual_valid"/>
    <x:tableColumn id="34" name="eyes_fit"/>
    <x:tableColumn id="35" name="eyebrows_fit"/>
    <x:tableColumn id="36" name="mouth_fit"/>
    <x:tableColumn id="37" name="open_mouth_response"/>
    <x:tableColumn id="38" name="template_risk"/>
    <x:tableColumn id="39" name="review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f6ecf485d74a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d95da90354447d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0" hidden="0" customWidth="1"/>
    <x:col min="4" max="4" width="13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4" hidden="0" customWidth="1"/>
    <x:col min="33" max="33" width="11" hidden="0" customWidth="1"/>
    <x:col min="34" max="34" width="13" hidden="0" customWidth="1"/>
    <x:col min="35" max="35" width="15" hidden="0" customWidth="1"/>
    <x:col min="36" max="36" width="13" hidden="0" customWidth="1"/>
    <x:col min="37" max="37" width="19" hidden="0" customWidth="1"/>
    <x:col min="38" max="38" width="13" hidden="0" customWidth="1"/>
    <x:col min="39" max="39" width="52" hidden="0" customWidth="1"/>
  </x:cols>
  <x:sheetData>
    <x:row r="1" ht="32" customHeight="1">
      <x:c r="A1" s="6" t="str">
        <x:v>sample_id</x:v>
      </x:c>
      <x:c r="B1" s="6" t="str">
        <x:v>class_name</x:v>
      </x:c>
      <x:c r="C1" s="6" t="str">
        <x:v>relative_path</x:v>
      </x:c>
      <x:c r="D1" s="6" t="str">
        <x:v>manifest_sha256</x:v>
      </x:c>
      <x:c r="E1" s="6" t="str">
        <x:v>computed_sha256</x:v>
      </x:c>
      <x:c r="F1" s="6" t="str">
        <x:v>sha256_match</x:v>
      </x:c>
      <x:c r="G1" s="6" t="str">
        <x:v>image_width</x:v>
      </x:c>
      <x:c r="H1" s="6" t="str">
        <x:v>image_height</x:v>
      </x:c>
      <x:c r="I1" s="6" t="str">
        <x:v>bbox_x1</x:v>
      </x:c>
      <x:c r="J1" s="6" t="str">
        <x:v>bbox_y1</x:v>
      </x:c>
      <x:c r="K1" s="6" t="str">
        <x:v>bbox_x2</x:v>
      </x:c>
      <x:c r="L1" s="6" t="str">
        <x:v>bbox_y2</x:v>
      </x:c>
      <x:c r="M1" s="6" t="str">
        <x:v>inference_success</x:v>
      </x:c>
      <x:c r="N1" s="6" t="str">
        <x:v>num_keypoints</x:v>
      </x:c>
      <x:c r="O1" s="6" t="str">
        <x:v>finite_keypoints</x:v>
      </x:c>
      <x:c r="P1" s="6" t="str">
        <x:v>finite_rate</x:v>
      </x:c>
      <x:c r="Q1" s="6" t="str">
        <x:v>in_bounds_keypoints</x:v>
      </x:c>
      <x:c r="R1" s="6" t="str">
        <x:v>in_bounds_rate</x:v>
      </x:c>
      <x:c r="S1" s="6" t="str">
        <x:v>score_threshold</x:v>
      </x:c>
      <x:c r="T1" s="6" t="str">
        <x:v>visible_keypoints</x:v>
      </x:c>
      <x:c r="U1" s="6" t="str">
        <x:v>visible_rate</x:v>
      </x:c>
      <x:c r="V1" s="6" t="str">
        <x:v>score_min</x:v>
      </x:c>
      <x:c r="W1" s="6" t="str">
        <x:v>score_p10</x:v>
      </x:c>
      <x:c r="X1" s="6" t="str">
        <x:v>score_mean</x:v>
      </x:c>
      <x:c r="Y1" s="6" t="str">
        <x:v>score_median</x:v>
      </x:c>
      <x:c r="Z1" s="6" t="str">
        <x:v>score_p90</x:v>
      </x:c>
      <x:c r="AA1" s="6" t="str">
        <x:v>score_max</x:v>
      </x:c>
      <x:c r="AB1" s="6" t="str">
        <x:v>inference_ms</x:v>
      </x:c>
      <x:c r="AC1" s="6" t="str">
        <x:v>overlay_path</x:v>
      </x:c>
      <x:c r="AD1" s="6" t="str">
        <x:v>error_type</x:v>
      </x:c>
      <x:c r="AE1" s="6" t="str">
        <x:v>error_message</x:v>
      </x:c>
      <x:c r="AF1" s="6" t="str">
        <x:v>review_label</x:v>
      </x:c>
      <x:c r="AG1" s="6" t="str">
        <x:v>manual_valid</x:v>
      </x:c>
      <x:c r="AH1" s="6" t="str">
        <x:v>eyes_fit</x:v>
      </x:c>
      <x:c r="AI1" s="6" t="str">
        <x:v>eyebrows_fit</x:v>
      </x:c>
      <x:c r="AJ1" s="6" t="str">
        <x:v>mouth_fit</x:v>
      </x:c>
      <x:c r="AK1" s="6" t="str">
        <x:v>open_mouth_response</x:v>
      </x:c>
      <x:c r="AL1" s="6" t="str">
        <x:v>template_risk</x:v>
      </x:c>
      <x:c r="AM1" s="6" t="str">
        <x:v>review_notes</x:v>
      </x:c>
    </x:row>
    <x:row r="2" ht="30" customHeight="1">
      <x:c r="A2" s="12" t="str">
        <x:v>angry_001</x:v>
      </x:c>
      <x:c r="B2" s="12" t="str">
        <x:v>angry</x:v>
      </x:c>
      <x:c r="C2" s="14" t="str">
        <x:v>angry/Training_69562893.jpg</x:v>
      </x:c>
      <x:c r="D2" s="12" t="str">
        <x:v>1a1babb285cad01d5437b95bba7826a13d083654122146623f2ba59b38a1242e</x:v>
      </x:c>
      <x:c r="E2" s="12" t="str">
        <x:v>1a1babb285cad01d5437b95bba7826a13d083654122146623f2ba59b38a1242e</x:v>
      </x:c>
      <x:c r="F2" s="12" t="str">
        <x:v>True</x:v>
      </x:c>
      <x:c r="G2" s="12" t="str">
        <x:v>48</x:v>
      </x:c>
      <x:c r="H2" s="12" t="str">
        <x:v>48</x:v>
      </x:c>
      <x:c r="I2" s="12" t="str">
        <x:v>0.0</x:v>
      </x:c>
      <x:c r="J2" s="12" t="str">
        <x:v>0.0</x:v>
      </x:c>
      <x:c r="K2" s="12" t="str">
        <x:v>47.0</x:v>
      </x:c>
      <x:c r="L2" s="12" t="str">
        <x:v>47.0</x:v>
      </x:c>
      <x:c r="M2" s="12" t="str">
        <x:v>True</x:v>
      </x:c>
      <x:c r="N2" s="12" t="str">
        <x:v>106</x:v>
      </x:c>
      <x:c r="O2" s="12" t="str">
        <x:v>106</x:v>
      </x:c>
      <x:c r="P2" s="16" t="str">
        <x:v>1.0</x:v>
      </x:c>
      <x:c r="Q2" s="12" t="str">
        <x:v>106</x:v>
      </x:c>
      <x:c r="R2" s="16" t="str">
        <x:v>1.0</x:v>
      </x:c>
      <x:c r="S2" s="12" t="str">
        <x:v>0.2</x:v>
      </x:c>
      <x:c r="T2" s="12" t="str">
        <x:v>106</x:v>
      </x:c>
      <x:c r="U2" s="16" t="str">
        <x:v>1.0</x:v>
      </x:c>
      <x:c r="V2" s="18" t="str">
        <x:v>0.25214552879333496</x:v>
      </x:c>
      <x:c r="W2" s="18" t="str">
        <x:v>0.39871397614479065</x:v>
      </x:c>
      <x:c r="X2" s="18" t="str">
        <x:v>0.5665580630302429</x:v>
      </x:c>
      <x:c r="Y2" s="18" t="str">
        <x:v>0.5667951703071594</x:v>
      </x:c>
      <x:c r="Z2" s="18" t="str">
        <x:v>0.7144875228404999</x:v>
      </x:c>
      <x:c r="AA2" s="18" t="str">
        <x:v>0.8463760614395142</x:v>
      </x:c>
      <x:c r="AB2" s="20" t="str">
        <x:v>104.39359999872977</x:v>
      </x:c>
      <x:c r="AC2" s="12" t="str">
        <x:v>overlays\angry_001.png</x:v>
      </x:c>
      <x:c r="AD2" s="12" t="str"/>
      <x:c r="AE2" s="12" t="str"/>
      <x:c r="AF2" s="12" t="str">
        <x:v>acceptable</x:v>
      </x:c>
      <x:c r="AG2" s="12" t="n">
        <x:v>1</x:v>
      </x:c>
      <x:c r="AH2" s="12" t="str">
        <x:v>acceptable</x:v>
      </x:c>
      <x:c r="AI2" s="12" t="str">
        <x:v>acceptable</x:v>
      </x:c>
      <x:c r="AJ2" s="12" t="str">
        <x:v>acceptable</x:v>
      </x:c>
      <x:c r="AK2" s="12" t="str">
        <x:v>not_applicable</x:v>
      </x:c>
      <x:c r="AL2" s="12" t="str">
        <x:v>mild</x:v>
      </x:c>
      <x:c r="AM2" s="14" t="str">
        <x:v>Large pose or profile; visible landmarks are useful, while hidden-side contour points are inferred.</x:v>
      </x:c>
    </x:row>
    <x:row r="3" ht="30" customHeight="1">
      <x:c r="A3" s="12" t="str">
        <x:v>angry_002</x:v>
      </x:c>
      <x:c r="B3" s="12" t="str">
        <x:v>angry</x:v>
      </x:c>
      <x:c r="C3" s="14" t="str">
        <x:v>angry/Training_20445632.jpg</x:v>
      </x:c>
      <x:c r="D3" s="12" t="str">
        <x:v>5839d23673bbd32b859f31fbeead6c2d4c258faa6e8b086f5640602e7a453e67</x:v>
      </x:c>
      <x:c r="E3" s="12" t="str">
        <x:v>5839d23673bbd32b859f31fbeead6c2d4c258faa6e8b086f5640602e7a453e67</x:v>
      </x:c>
      <x:c r="F3" s="12" t="str">
        <x:v>True</x:v>
      </x:c>
      <x:c r="G3" s="12" t="str">
        <x:v>48</x:v>
      </x:c>
      <x:c r="H3" s="12" t="str">
        <x:v>48</x:v>
      </x:c>
      <x:c r="I3" s="12" t="str">
        <x:v>0.0</x:v>
      </x:c>
      <x:c r="J3" s="12" t="str">
        <x:v>0.0</x:v>
      </x:c>
      <x:c r="K3" s="12" t="str">
        <x:v>47.0</x:v>
      </x:c>
      <x:c r="L3" s="12" t="str">
        <x:v>47.0</x:v>
      </x:c>
      <x:c r="M3" s="12" t="str">
        <x:v>True</x:v>
      </x:c>
      <x:c r="N3" s="12" t="str">
        <x:v>106</x:v>
      </x:c>
      <x:c r="O3" s="12" t="str">
        <x:v>106</x:v>
      </x:c>
      <x:c r="P3" s="16" t="str">
        <x:v>1.0</x:v>
      </x:c>
      <x:c r="Q3" s="12" t="str">
        <x:v>106</x:v>
      </x:c>
      <x:c r="R3" s="16" t="str">
        <x:v>1.0</x:v>
      </x:c>
      <x:c r="S3" s="12" t="str">
        <x:v>0.2</x:v>
      </x:c>
      <x:c r="T3" s="12" t="str">
        <x:v>106</x:v>
      </x:c>
      <x:c r="U3" s="16" t="str">
        <x:v>1.0</x:v>
      </x:c>
      <x:c r="V3" s="18" t="str">
        <x:v>0.3648947477340698</x:v>
      </x:c>
      <x:c r="W3" s="18" t="str">
        <x:v>0.42996490001678467</x:v>
      </x:c>
      <x:c r="X3" s="18" t="str">
        <x:v>0.672161340713501</x:v>
      </x:c>
      <x:c r="Y3" s="18" t="str">
        <x:v>0.6425771713256836</x:v>
      </x:c>
      <x:c r="Z3" s="18" t="str">
        <x:v>0.9456006586551666</x:v>
      </x:c>
      <x:c r="AA3" s="18" t="str">
        <x:v>0.9885931015014648</x:v>
      </x:c>
      <x:c r="AB3" s="20" t="str">
        <x:v>109.19730000023264</x:v>
      </x:c>
      <x:c r="AC3" s="12" t="str">
        <x:v>overlays\angry_002.png</x:v>
      </x:c>
      <x:c r="AD3" s="12" t="str"/>
      <x:c r="AE3" s="12" t="str"/>
      <x:c r="AF3" s="12" t="str">
        <x:v>good</x:v>
      </x:c>
      <x:c r="AG3" s="12" t="n">
        <x:v>1</x:v>
      </x:c>
      <x:c r="AH3" s="12" t="str">
        <x:v>good</x:v>
      </x:c>
      <x:c r="AI3" s="12" t="str">
        <x:v>good</x:v>
      </x:c>
      <x:c r="AJ3" s="12" t="str">
        <x:v>good</x:v>
      </x:c>
      <x:c r="AK3" s="12" t="str">
        <x:v>not_applicable</x:v>
      </x:c>
      <x:c r="AL3" s="12" t="str">
        <x:v>none</x:v>
      </x:c>
      <x:c r="AM3" s="14" t="str">
        <x:v>Clear and well-aligned facial landmarks with no major pose, crop, or occlusion issue.</x:v>
      </x:c>
    </x:row>
    <x:row r="4" ht="30" customHeight="1">
      <x:c r="A4" s="12" t="str">
        <x:v>angry_003</x:v>
      </x:c>
      <x:c r="B4" s="12" t="str">
        <x:v>angry</x:v>
      </x:c>
      <x:c r="C4" s="14" t="str">
        <x:v>angry/Training_12604769.jpg</x:v>
      </x:c>
      <x:c r="D4" s="12" t="str">
        <x:v>05ae396016b0dd5627e6eaecc8d8b7b3571db86ece16b4c58396ea741897503a</x:v>
      </x:c>
      <x:c r="E4" s="12" t="str">
        <x:v>05ae396016b0dd5627e6eaecc8d8b7b3571db86ece16b4c58396ea741897503a</x:v>
      </x:c>
      <x:c r="F4" s="12" t="str">
        <x:v>True</x:v>
      </x:c>
      <x:c r="G4" s="12" t="str">
        <x:v>48</x:v>
      </x:c>
      <x:c r="H4" s="12" t="str">
        <x:v>48</x:v>
      </x:c>
      <x:c r="I4" s="12" t="str">
        <x:v>0.0</x:v>
      </x:c>
      <x:c r="J4" s="12" t="str">
        <x:v>0.0</x:v>
      </x:c>
      <x:c r="K4" s="12" t="str">
        <x:v>47.0</x:v>
      </x:c>
      <x:c r="L4" s="12" t="str">
        <x:v>47.0</x:v>
      </x:c>
      <x:c r="M4" s="12" t="str">
        <x:v>True</x:v>
      </x:c>
      <x:c r="N4" s="12" t="str">
        <x:v>106</x:v>
      </x:c>
      <x:c r="O4" s="12" t="str">
        <x:v>106</x:v>
      </x:c>
      <x:c r="P4" s="16" t="str">
        <x:v>1.0</x:v>
      </x:c>
      <x:c r="Q4" s="12" t="str">
        <x:v>106</x:v>
      </x:c>
      <x:c r="R4" s="16" t="str">
        <x:v>1.0</x:v>
      </x:c>
      <x:c r="S4" s="12" t="str">
        <x:v>0.2</x:v>
      </x:c>
      <x:c r="T4" s="12" t="str">
        <x:v>106</x:v>
      </x:c>
      <x:c r="U4" s="16" t="str">
        <x:v>1.0</x:v>
      </x:c>
      <x:c r="V4" s="18" t="str">
        <x:v>0.4297407865524292</x:v>
      </x:c>
      <x:c r="W4" s="18" t="str">
        <x:v>0.521740049123764</x:v>
      </x:c>
      <x:c r="X4" s="18" t="str">
        <x:v>0.7220403552055359</x:v>
      </x:c>
      <x:c r="Y4" s="18" t="str">
        <x:v>0.6928762793540955</x:v>
      </x:c>
      <x:c r="Z4" s="18" t="str">
        <x:v>0.9667945206165314</x:v>
      </x:c>
      <x:c r="AA4" s="18" t="str">
        <x:v>1.1122488975524902</x:v>
      </x:c>
      <x:c r="AB4" s="20" t="str">
        <x:v>108.90170000129729</x:v>
      </x:c>
      <x:c r="AC4" s="12" t="str">
        <x:v>overlays\angry_003.png</x:v>
      </x:c>
      <x:c r="AD4" s="12" t="str"/>
      <x:c r="AE4" s="12" t="str"/>
      <x:c r="AF4" s="12" t="str">
        <x:v>good</x:v>
      </x:c>
      <x:c r="AG4" s="12" t="n">
        <x:v>1</x:v>
      </x:c>
      <x:c r="AH4" s="12" t="str">
        <x:v>good</x:v>
      </x:c>
      <x:c r="AI4" s="12" t="str">
        <x:v>good</x:v>
      </x:c>
      <x:c r="AJ4" s="12" t="str">
        <x:v>good</x:v>
      </x:c>
      <x:c r="AK4" s="12" t="str">
        <x:v>not_applicable</x:v>
      </x:c>
      <x:c r="AL4" s="12" t="str">
        <x:v>none</x:v>
      </x:c>
      <x:c r="AM4" s="14" t="str">
        <x:v>Clear and well-aligned facial landmarks with no major pose, crop, or occlusion issue.</x:v>
      </x:c>
    </x:row>
    <x:row r="5" ht="30" customHeight="1">
      <x:c r="A5" s="12" t="str">
        <x:v>angry_004</x:v>
      </x:c>
      <x:c r="B5" s="12" t="str">
        <x:v>angry</x:v>
      </x:c>
      <x:c r="C5" s="14" t="str">
        <x:v>angry/Training_79059604.jpg</x:v>
      </x:c>
      <x:c r="D5" s="12" t="str">
        <x:v>a3a0c81ed84d402aec9d37df1cb4baac93d61d738f964ef140c0bdb0402798fc</x:v>
      </x:c>
      <x:c r="E5" s="12" t="str">
        <x:v>a3a0c81ed84d402aec9d37df1cb4baac93d61d738f964ef140c0bdb0402798fc</x:v>
      </x:c>
      <x:c r="F5" s="12" t="str">
        <x:v>True</x:v>
      </x:c>
      <x:c r="G5" s="12" t="str">
        <x:v>48</x:v>
      </x:c>
      <x:c r="H5" s="12" t="str">
        <x:v>48</x:v>
      </x:c>
      <x:c r="I5" s="12" t="str">
        <x:v>0.0</x:v>
      </x:c>
      <x:c r="J5" s="12" t="str">
        <x:v>0.0</x:v>
      </x:c>
      <x:c r="K5" s="12" t="str">
        <x:v>47.0</x:v>
      </x:c>
      <x:c r="L5" s="12" t="str">
        <x:v>47.0</x:v>
      </x:c>
      <x:c r="M5" s="12" t="str">
        <x:v>True</x:v>
      </x:c>
      <x:c r="N5" s="12" t="str">
        <x:v>106</x:v>
      </x:c>
      <x:c r="O5" s="12" t="str">
        <x:v>106</x:v>
      </x:c>
      <x:c r="P5" s="16" t="str">
        <x:v>1.0</x:v>
      </x:c>
      <x:c r="Q5" s="12" t="str">
        <x:v>106</x:v>
      </x:c>
      <x:c r="R5" s="16" t="str">
        <x:v>1.0</x:v>
      </x:c>
      <x:c r="S5" s="12" t="str">
        <x:v>0.2</x:v>
      </x:c>
      <x:c r="T5" s="12" t="str">
        <x:v>106</x:v>
      </x:c>
      <x:c r="U5" s="16" t="str">
        <x:v>1.0</x:v>
      </x:c>
      <x:c r="V5" s="18" t="str">
        <x:v>0.5740809440612793</x:v>
      </x:c>
      <x:c r="W5" s="18" t="str">
        <x:v>0.6571044921875</x:v>
      </x:c>
      <x:c r="X5" s="18" t="str">
        <x:v>0.7945166826248169</x:v>
      </x:c>
      <x:c r="Y5" s="18" t="str">
        <x:v>0.7866539359092712</x:v>
      </x:c>
      <x:c r="Z5" s="18" t="str">
        <x:v>0.9346422255039215</x:v>
      </x:c>
      <x:c r="AA5" s="18" t="str">
        <x:v>1.021979808807373</x:v>
      </x:c>
      <x:c r="AB5" s="20" t="str">
        <x:v>104.09010000148555</x:v>
      </x:c>
      <x:c r="AC5" s="12" t="str">
        <x:v>overlays\angry_004.png</x:v>
      </x:c>
      <x:c r="AD5" s="12" t="str"/>
      <x:c r="AE5" s="12" t="str"/>
      <x:c r="AF5" s="12" t="str">
        <x:v>good</x:v>
      </x:c>
      <x:c r="AG5" s="12" t="n">
        <x:v>1</x:v>
      </x:c>
      <x:c r="AH5" s="12" t="str">
        <x:v>good</x:v>
      </x:c>
      <x:c r="AI5" s="12" t="str">
        <x:v>good</x:v>
      </x:c>
      <x:c r="AJ5" s="12" t="str">
        <x:v>good</x:v>
      </x:c>
      <x:c r="AK5" s="12" t="str">
        <x:v>not_applicable</x:v>
      </x:c>
      <x:c r="AL5" s="12" t="str">
        <x:v>none</x:v>
      </x:c>
      <x:c r="AM5" s="14" t="str">
        <x:v>Clear and well-aligned facial landmarks with no major pose, crop, or occlusion issue.</x:v>
      </x:c>
    </x:row>
    <x:row r="6" ht="30" customHeight="1">
      <x:c r="A6" s="12" t="str">
        <x:v>angry_005</x:v>
      </x:c>
      <x:c r="B6" s="12" t="str">
        <x:v>angry</x:v>
      </x:c>
      <x:c r="C6" s="14" t="str">
        <x:v>angry/Training_35447240.jpg</x:v>
      </x:c>
      <x:c r="D6" s="12" t="str">
        <x:v>6cbd7c0ec7e1920a8f83c2947c646f204e8e28c1e04f20d50e92353a2c9985d4</x:v>
      </x:c>
      <x:c r="E6" s="12" t="str">
        <x:v>6cbd7c0ec7e1920a8f83c2947c646f204e8e28c1e04f20d50e92353a2c9985d4</x:v>
      </x:c>
      <x:c r="F6" s="12" t="str">
        <x:v>True</x:v>
      </x:c>
      <x:c r="G6" s="12" t="str">
        <x:v>48</x:v>
      </x:c>
      <x:c r="H6" s="12" t="str">
        <x:v>48</x:v>
      </x:c>
      <x:c r="I6" s="12" t="str">
        <x:v>0.0</x:v>
      </x:c>
      <x:c r="J6" s="12" t="str">
        <x:v>0.0</x:v>
      </x:c>
      <x:c r="K6" s="12" t="str">
        <x:v>47.0</x:v>
      </x:c>
      <x:c r="L6" s="12" t="str">
        <x:v>47.0</x:v>
      </x:c>
      <x:c r="M6" s="12" t="str">
        <x:v>True</x:v>
      </x:c>
      <x:c r="N6" s="12" t="str">
        <x:v>106</x:v>
      </x:c>
      <x:c r="O6" s="12" t="str">
        <x:v>106</x:v>
      </x:c>
      <x:c r="P6" s="16" t="str">
        <x:v>1.0</x:v>
      </x:c>
      <x:c r="Q6" s="12" t="str">
        <x:v>106</x:v>
      </x:c>
      <x:c r="R6" s="16" t="str">
        <x:v>1.0</x:v>
      </x:c>
      <x:c r="S6" s="12" t="str">
        <x:v>0.2</x:v>
      </x:c>
      <x:c r="T6" s="12" t="str">
        <x:v>106</x:v>
      </x:c>
      <x:c r="U6" s="16" t="str">
        <x:v>1.0</x:v>
      </x:c>
      <x:c r="V6" s="18" t="str">
        <x:v>0.4444076418876648</x:v>
      </x:c>
      <x:c r="W6" s="18" t="str">
        <x:v>0.5311765968799591</x:v>
      </x:c>
      <x:c r="X6" s="18" t="str">
        <x:v>0.7067007422447205</x:v>
      </x:c>
      <x:c r="Y6" s="18" t="str">
        <x:v>0.6957296133041382</x:v>
      </x:c>
      <x:c r="Z6" s="18" t="str">
        <x:v>0.923265665769577</x:v>
      </x:c>
      <x:c r="AA6" s="18" t="str">
        <x:v>0.9843658208847046</x:v>
      </x:c>
      <x:c r="AB6" s="20" t="str">
        <x:v>105.09610000008252</x:v>
      </x:c>
      <x:c r="AC6" s="12" t="str">
        <x:v>overlays\angry_005.png</x:v>
      </x:c>
      <x:c r="AD6" s="12" t="str"/>
      <x:c r="AE6" s="12" t="str"/>
      <x:c r="AF6" s="12" t="str">
        <x:v>good</x:v>
      </x:c>
      <x:c r="AG6" s="12" t="n">
        <x:v>1</x:v>
      </x:c>
      <x:c r="AH6" s="12" t="str">
        <x:v>good</x:v>
      </x:c>
      <x:c r="AI6" s="12" t="str">
        <x:v>good</x:v>
      </x:c>
      <x:c r="AJ6" s="12" t="str">
        <x:v>good</x:v>
      </x:c>
      <x:c r="AK6" s="12" t="str">
        <x:v>not_applicable</x:v>
      </x:c>
      <x:c r="AL6" s="12" t="str">
        <x:v>none</x:v>
      </x:c>
      <x:c r="AM6" s="14" t="str">
        <x:v>Clear and well-aligned facial landmarks with no major pose, crop, or occlusion issue.</x:v>
      </x:c>
    </x:row>
    <x:row r="7" ht="30" customHeight="1">
      <x:c r="A7" s="12" t="str">
        <x:v>angry_006</x:v>
      </x:c>
      <x:c r="B7" s="12" t="str">
        <x:v>angry</x:v>
      </x:c>
      <x:c r="C7" s="14" t="str">
        <x:v>angry/Training_32583157.jpg</x:v>
      </x:c>
      <x:c r="D7" s="12" t="str">
        <x:v>b98d793c2740367e8de81e5d5596f344215cb61219306605cde326fa7a0ca4bc</x:v>
      </x:c>
      <x:c r="E7" s="12" t="str">
        <x:v>b98d793c2740367e8de81e5d5596f344215cb61219306605cde326fa7a0ca4bc</x:v>
      </x:c>
      <x:c r="F7" s="12" t="str">
        <x:v>True</x:v>
      </x:c>
      <x:c r="G7" s="12" t="str">
        <x:v>48</x:v>
      </x:c>
      <x:c r="H7" s="12" t="str">
        <x:v>48</x:v>
      </x:c>
      <x:c r="I7" s="12" t="str">
        <x:v>0.0</x:v>
      </x:c>
      <x:c r="J7" s="12" t="str">
        <x:v>0.0</x:v>
      </x:c>
      <x:c r="K7" s="12" t="str">
        <x:v>47.0</x:v>
      </x:c>
      <x:c r="L7" s="12" t="str">
        <x:v>47.0</x:v>
      </x:c>
      <x:c r="M7" s="12" t="str">
        <x:v>True</x:v>
      </x:c>
      <x:c r="N7" s="12" t="str">
        <x:v>106</x:v>
      </x:c>
      <x:c r="O7" s="12" t="str">
        <x:v>106</x:v>
      </x:c>
      <x:c r="P7" s="16" t="str">
        <x:v>1.0</x:v>
      </x:c>
      <x:c r="Q7" s="12" t="str">
        <x:v>106</x:v>
      </x:c>
      <x:c r="R7" s="16" t="str">
        <x:v>1.0</x:v>
      </x:c>
      <x:c r="S7" s="12" t="str">
        <x:v>0.2</x:v>
      </x:c>
      <x:c r="T7" s="12" t="str">
        <x:v>106</x:v>
      </x:c>
      <x:c r="U7" s="16" t="str">
        <x:v>1.0</x:v>
      </x:c>
      <x:c r="V7" s="18" t="str">
        <x:v>0.5033753514289856</x:v>
      </x:c>
      <x:c r="W7" s="18" t="str">
        <x:v>0.5903863310813904</x:v>
      </x:c>
      <x:c r="X7" s="18" t="str">
        <x:v>0.7538015842437744</x:v>
      </x:c>
      <x:c r="Y7" s="18" t="str">
        <x:v>0.7577856183052063</x:v>
      </x:c>
      <x:c r="Z7" s="18" t="str">
        <x:v>0.9043307602405548</x:v>
      </x:c>
      <x:c r="AA7" s="18" t="str">
        <x:v>0.9876668453216553</x:v>
      </x:c>
      <x:c r="AB7" s="20" t="str">
        <x:v>106.22759999750997</x:v>
      </x:c>
      <x:c r="AC7" s="12" t="str">
        <x:v>overlays\angry_006.png</x:v>
      </x:c>
      <x:c r="AD7" s="12" t="str"/>
      <x:c r="AE7" s="12" t="str"/>
      <x:c r="AF7" s="12" t="str">
        <x:v>acceptable</x:v>
      </x:c>
      <x:c r="AG7" s="12" t="n">
        <x:v>1</x:v>
      </x:c>
      <x:c r="AH7" s="12" t="str">
        <x:v>acceptable</x:v>
      </x:c>
      <x:c r="AI7" s="12" t="str">
        <x:v>acceptable</x:v>
      </x:c>
      <x:c r="AJ7" s="12" t="str">
        <x:v>acceptable</x:v>
      </x:c>
      <x:c r="AK7" s="12" t="str">
        <x:v>acceptable</x:v>
      </x:c>
      <x:c r="AL7" s="12" t="str">
        <x:v>mild</x:v>
      </x:c>
      <x:c r="AM7" s="14" t="str">
        <x:v>Large pose or profile; visible landmarks are useful, while hidden-side contour points are inferred.</x:v>
      </x:c>
    </x:row>
    <x:row r="8" ht="30" customHeight="1">
      <x:c r="A8" s="12" t="str">
        <x:v>angry_007</x:v>
      </x:c>
      <x:c r="B8" s="12" t="str">
        <x:v>angry</x:v>
      </x:c>
      <x:c r="C8" s="14" t="str">
        <x:v>angry/Training_30549878.jpg</x:v>
      </x:c>
      <x:c r="D8" s="12" t="str">
        <x:v>5e089a6db4bb060b94c2b746c393ab61e0a0b22f04290781705154ac854d8ddc</x:v>
      </x:c>
      <x:c r="E8" s="12" t="str">
        <x:v>5e089a6db4bb060b94c2b746c393ab61e0a0b22f04290781705154ac854d8ddc</x:v>
      </x:c>
      <x:c r="F8" s="12" t="str">
        <x:v>True</x:v>
      </x:c>
      <x:c r="G8" s="12" t="str">
        <x:v>48</x:v>
      </x:c>
      <x:c r="H8" s="12" t="str">
        <x:v>48</x:v>
      </x:c>
      <x:c r="I8" s="12" t="str">
        <x:v>0.0</x:v>
      </x:c>
      <x:c r="J8" s="12" t="str">
        <x:v>0.0</x:v>
      </x:c>
      <x:c r="K8" s="12" t="str">
        <x:v>47.0</x:v>
      </x:c>
      <x:c r="L8" s="12" t="str">
        <x:v>47.0</x:v>
      </x:c>
      <x:c r="M8" s="12" t="str">
        <x:v>True</x:v>
      </x:c>
      <x:c r="N8" s="12" t="str">
        <x:v>106</x:v>
      </x:c>
      <x:c r="O8" s="12" t="str">
        <x:v>106</x:v>
      </x:c>
      <x:c r="P8" s="16" t="str">
        <x:v>1.0</x:v>
      </x:c>
      <x:c r="Q8" s="12" t="str">
        <x:v>106</x:v>
      </x:c>
      <x:c r="R8" s="16" t="str">
        <x:v>1.0</x:v>
      </x:c>
      <x:c r="S8" s="12" t="str">
        <x:v>0.2</x:v>
      </x:c>
      <x:c r="T8" s="12" t="str">
        <x:v>106</x:v>
      </x:c>
      <x:c r="U8" s="16" t="str">
        <x:v>1.0</x:v>
      </x:c>
      <x:c r="V8" s="18" t="str">
        <x:v>0.5237026214599609</x:v>
      </x:c>
      <x:c r="W8" s="18" t="str">
        <x:v>0.6084194779396057</x:v>
      </x:c>
      <x:c r="X8" s="18" t="str">
        <x:v>0.7404455542564392</x:v>
      </x:c>
      <x:c r="Y8" s="18" t="str">
        <x:v>0.7456812858581543</x:v>
      </x:c>
      <x:c r="Z8" s="18" t="str">
        <x:v>0.8620866537094116</x:v>
      </x:c>
      <x:c r="AA8" s="18" t="str">
        <x:v>0.9393478631973267</x:v>
      </x:c>
      <x:c r="AB8" s="20" t="str">
        <x:v>99.12100000292412</x:v>
      </x:c>
      <x:c r="AC8" s="12" t="str">
        <x:v>overlays\angry_007.png</x:v>
      </x:c>
      <x:c r="AD8" s="12" t="str"/>
      <x:c r="AE8" s="12" t="str"/>
      <x:c r="AF8" s="12" t="str">
        <x:v>good</x:v>
      </x:c>
      <x:c r="AG8" s="12" t="n">
        <x:v>1</x:v>
      </x:c>
      <x:c r="AH8" s="12" t="str">
        <x:v>good</x:v>
      </x:c>
      <x:c r="AI8" s="12" t="str">
        <x:v>good</x:v>
      </x:c>
      <x:c r="AJ8" s="12" t="str">
        <x:v>good</x:v>
      </x:c>
      <x:c r="AK8" s="12" t="str">
        <x:v>good</x:v>
      </x:c>
      <x:c r="AL8" s="12" t="str">
        <x:v>none</x:v>
      </x:c>
      <x:c r="AM8" s="14" t="str">
        <x:v>Clear and well-aligned facial landmarks with no major pose, crop, or occlusion issue.</x:v>
      </x:c>
    </x:row>
    <x:row r="9" ht="30" customHeight="1">
      <x:c r="A9" s="12" t="str">
        <x:v>angry_008</x:v>
      </x:c>
      <x:c r="B9" s="12" t="str">
        <x:v>angry</x:v>
      </x:c>
      <x:c r="C9" s="14" t="str">
        <x:v>angry/Training_23065708.jpg</x:v>
      </x:c>
      <x:c r="D9" s="12" t="str">
        <x:v>b3c5d885833a4ffc9c15024577b7147276ea056d40617a527f1c82b36942f429</x:v>
      </x:c>
      <x:c r="E9" s="12" t="str">
        <x:v>b3c5d885833a4ffc9c15024577b7147276ea056d40617a527f1c82b36942f429</x:v>
      </x:c>
      <x:c r="F9" s="12" t="str">
        <x:v>True</x:v>
      </x:c>
      <x:c r="G9" s="12" t="str">
        <x:v>48</x:v>
      </x:c>
      <x:c r="H9" s="12" t="str">
        <x:v>48</x:v>
      </x:c>
      <x:c r="I9" s="12" t="str">
        <x:v>0.0</x:v>
      </x:c>
      <x:c r="J9" s="12" t="str">
        <x:v>0.0</x:v>
      </x:c>
      <x:c r="K9" s="12" t="str">
        <x:v>47.0</x:v>
      </x:c>
      <x:c r="L9" s="12" t="str">
        <x:v>47.0</x:v>
      </x:c>
      <x:c r="M9" s="12" t="str">
        <x:v>True</x:v>
      </x:c>
      <x:c r="N9" s="12" t="str">
        <x:v>106</x:v>
      </x:c>
      <x:c r="O9" s="12" t="str">
        <x:v>106</x:v>
      </x:c>
      <x:c r="P9" s="16" t="str">
        <x:v>1.0</x:v>
      </x:c>
      <x:c r="Q9" s="12" t="str">
        <x:v>106</x:v>
      </x:c>
      <x:c r="R9" s="16" t="str">
        <x:v>1.0</x:v>
      </x:c>
      <x:c r="S9" s="12" t="str">
        <x:v>0.2</x:v>
      </x:c>
      <x:c r="T9" s="12" t="str">
        <x:v>106</x:v>
      </x:c>
      <x:c r="U9" s="16" t="str">
        <x:v>1.0</x:v>
      </x:c>
      <x:c r="V9" s="18" t="str">
        <x:v>0.6025233268737793</x:v>
      </x:c>
      <x:c r="W9" s="18" t="str">
        <x:v>0.6543242633342743</x:v>
      </x:c>
      <x:c r="X9" s="18" t="str">
        <x:v>0.799122154712677</x:v>
      </x:c>
      <x:c r="Y9" s="18" t="str">
        <x:v>0.7885921001434326</x:v>
      </x:c>
      <x:c r="Z9" s="18" t="str">
        <x:v>0.9720008671283722</x:v>
      </x:c>
      <x:c r="AA9" s="18" t="str">
        <x:v>1.037721872329712</x:v>
      </x:c>
      <x:c r="AB9" s="20" t="str">
        <x:v>102.07199999786098</x:v>
      </x:c>
      <x:c r="AC9" s="12" t="str">
        <x:v>overlays\angry_008.png</x:v>
      </x:c>
      <x:c r="AD9" s="12" t="str"/>
      <x:c r="AE9" s="12" t="str"/>
      <x:c r="AF9" s="12" t="str">
        <x:v>good</x:v>
      </x:c>
      <x:c r="AG9" s="12" t="n">
        <x:v>1</x:v>
      </x:c>
      <x:c r="AH9" s="12" t="str">
        <x:v>good</x:v>
      </x:c>
      <x:c r="AI9" s="12" t="str">
        <x:v>good</x:v>
      </x:c>
      <x:c r="AJ9" s="12" t="str">
        <x:v>good</x:v>
      </x:c>
      <x:c r="AK9" s="12" t="str">
        <x:v>not_applicable</x:v>
      </x:c>
      <x:c r="AL9" s="12" t="str">
        <x:v>none</x:v>
      </x:c>
      <x:c r="AM9" s="14" t="str">
        <x:v>Clear and well-aligned facial landmarks with no major pose, crop, or occlusion issue.</x:v>
      </x:c>
    </x:row>
    <x:row r="10" ht="30" customHeight="1">
      <x:c r="A10" s="12" t="str">
        <x:v>angry_009</x:v>
      </x:c>
      <x:c r="B10" s="12" t="str">
        <x:v>angry</x:v>
      </x:c>
      <x:c r="C10" s="14" t="str">
        <x:v>angry/Training_7865887.jpg</x:v>
      </x:c>
      <x:c r="D10" s="12" t="str">
        <x:v>bf380f91472cbd2b06b621523c541d8cc4a8ec5fe930ed24b58c1be3b18f1fe9</x:v>
      </x:c>
      <x:c r="E10" s="12" t="str">
        <x:v>bf380f91472cbd2b06b621523c541d8cc4a8ec5fe930ed24b58c1be3b18f1fe9</x:v>
      </x:c>
      <x:c r="F10" s="12" t="str">
        <x:v>True</x:v>
      </x:c>
      <x:c r="G10" s="12" t="str">
        <x:v>48</x:v>
      </x:c>
      <x:c r="H10" s="12" t="str">
        <x:v>48</x:v>
      </x:c>
      <x:c r="I10" s="12" t="str">
        <x:v>0.0</x:v>
      </x:c>
      <x:c r="J10" s="12" t="str">
        <x:v>0.0</x:v>
      </x:c>
      <x:c r="K10" s="12" t="str">
        <x:v>47.0</x:v>
      </x:c>
      <x:c r="L10" s="12" t="str">
        <x:v>47.0</x:v>
      </x:c>
      <x:c r="M10" s="12" t="str">
        <x:v>True</x:v>
      </x:c>
      <x:c r="N10" s="12" t="str">
        <x:v>106</x:v>
      </x:c>
      <x:c r="O10" s="12" t="str">
        <x:v>106</x:v>
      </x:c>
      <x:c r="P10" s="16" t="str">
        <x:v>1.0</x:v>
      </x:c>
      <x:c r="Q10" s="12" t="str">
        <x:v>102</x:v>
      </x:c>
      <x:c r="R10" s="16" t="str">
        <x:v>0.9622641509433962</x:v>
      </x:c>
      <x:c r="S10" s="12" t="str">
        <x:v>0.2</x:v>
      </x:c>
      <x:c r="T10" s="12" t="str">
        <x:v>106</x:v>
      </x:c>
      <x:c r="U10" s="16" t="str">
        <x:v>1.0</x:v>
      </x:c>
      <x:c r="V10" s="18" t="str">
        <x:v>0.5391200184822083</x:v>
      </x:c>
      <x:c r="W10" s="18" t="str">
        <x:v>0.6000937223434448</x:v>
      </x:c>
      <x:c r="X10" s="18" t="str">
        <x:v>0.6873761415481567</x:v>
      </x:c>
      <x:c r="Y10" s="18" t="str">
        <x:v>0.6735665202140808</x:v>
      </x:c>
      <x:c r="Z10" s="18" t="str">
        <x:v>0.8038946986198425</x:v>
      </x:c>
      <x:c r="AA10" s="18" t="str">
        <x:v>0.8549900054931641</x:v>
      </x:c>
      <x:c r="AB10" s="20" t="str">
        <x:v>126.54210000255262</x:v>
      </x:c>
      <x:c r="AC10" s="12" t="str">
        <x:v>overlays\angry_009.png</x:v>
      </x:c>
      <x:c r="AD10" s="12" t="str"/>
      <x:c r="AE10" s="12" t="str"/>
      <x:c r="AF10" s="12" t="str">
        <x:v>good</x:v>
      </x:c>
      <x:c r="AG10" s="12" t="n">
        <x:v>1</x:v>
      </x:c>
      <x:c r="AH10" s="12" t="str">
        <x:v>good</x:v>
      </x:c>
      <x:c r="AI10" s="12" t="str">
        <x:v>good</x:v>
      </x:c>
      <x:c r="AJ10" s="12" t="str">
        <x:v>good</x:v>
      </x:c>
      <x:c r="AK10" s="12" t="str">
        <x:v>not_applicable</x:v>
      </x:c>
      <x:c r="AL10" s="12" t="str">
        <x:v>none</x:v>
      </x:c>
      <x:c r="AM10" s="14" t="str">
        <x:v>Clear and well-aligned facial landmarks with no major pose, crop, or occlusion issue.</x:v>
      </x:c>
    </x:row>
    <x:row r="11" ht="30" customHeight="1">
      <x:c r="A11" s="12" t="str">
        <x:v>angry_010</x:v>
      </x:c>
      <x:c r="B11" s="12" t="str">
        <x:v>angry</x:v>
      </x:c>
      <x:c r="C11" s="14" t="str">
        <x:v>angry/Training_19595003.jpg</x:v>
      </x:c>
      <x:c r="D11" s="12" t="str">
        <x:v>cfb50fc30e59307b2e9a406179f325067117be993e37b07f34cae0adebf08d9c</x:v>
      </x:c>
      <x:c r="E11" s="12" t="str">
        <x:v>cfb50fc30e59307b2e9a406179f325067117be993e37b07f34cae0adebf08d9c</x:v>
      </x:c>
      <x:c r="F11" s="12" t="str">
        <x:v>True</x:v>
      </x:c>
      <x:c r="G11" s="12" t="str">
        <x:v>48</x:v>
      </x:c>
      <x:c r="H11" s="12" t="str">
        <x:v>48</x:v>
      </x:c>
      <x:c r="I11" s="12" t="str">
        <x:v>0.0</x:v>
      </x:c>
      <x:c r="J11" s="12" t="str">
        <x:v>0.0</x:v>
      </x:c>
      <x:c r="K11" s="12" t="str">
        <x:v>47.0</x:v>
      </x:c>
      <x:c r="L11" s="12" t="str">
        <x:v>47.0</x:v>
      </x:c>
      <x:c r="M11" s="12" t="str">
        <x:v>True</x:v>
      </x:c>
      <x:c r="N11" s="12" t="str">
        <x:v>106</x:v>
      </x:c>
      <x:c r="O11" s="12" t="str">
        <x:v>106</x:v>
      </x:c>
      <x:c r="P11" s="16" t="str">
        <x:v>1.0</x:v>
      </x:c>
      <x:c r="Q11" s="12" t="str">
        <x:v>101</x:v>
      </x:c>
      <x:c r="R11" s="16" t="str">
        <x:v>0.9528301886792453</x:v>
      </x:c>
      <x:c r="S11" s="12" t="str">
        <x:v>0.2</x:v>
      </x:c>
      <x:c r="T11" s="12" t="str">
        <x:v>106</x:v>
      </x:c>
      <x:c r="U11" s="16" t="str">
        <x:v>1.0</x:v>
      </x:c>
      <x:c r="V11" s="18" t="str">
        <x:v>0.3574717342853546</x:v>
      </x:c>
      <x:c r="W11" s="18" t="str">
        <x:v>0.4832466244697571</x:v>
      </x:c>
      <x:c r="X11" s="18" t="str">
        <x:v>0.6834440231323242</x:v>
      </x:c>
      <x:c r="Y11" s="18" t="str">
        <x:v>0.6487781405448914</x:v>
      </x:c>
      <x:c r="Z11" s="18" t="str">
        <x:v>0.916785478591919</x:v>
      </x:c>
      <x:c r="AA11" s="18" t="str">
        <x:v>0.9727616310119629</x:v>
      </x:c>
      <x:c r="AB11" s="20" t="str">
        <x:v>108.31269999835058</x:v>
      </x:c>
      <x:c r="AC11" s="12" t="str">
        <x:v>overlays\angry_010.png</x:v>
      </x:c>
      <x:c r="AD11" s="12" t="str"/>
      <x:c r="AE11" s="12" t="str"/>
      <x:c r="AF11" s="12" t="str">
        <x:v>acceptable</x:v>
      </x:c>
      <x:c r="AG11" s="12" t="n">
        <x:v>1</x:v>
      </x:c>
      <x:c r="AH11" s="12" t="str">
        <x:v>acceptable</x:v>
      </x:c>
      <x:c r="AI11" s="12" t="str">
        <x:v>acceptable</x:v>
      </x:c>
      <x:c r="AJ11" s="12" t="str">
        <x:v>acceptable</x:v>
      </x:c>
      <x:c r="AK11" s="12" t="str">
        <x:v>not_applicable</x:v>
      </x:c>
      <x:c r="AL11" s="12" t="str">
        <x:v>mild</x:v>
      </x:c>
      <x:c r="AM11" s="14" t="str">
        <x:v>Moderate pose, crop, or image degradation causes minor landmark uncertainty; the result remains usable.</x:v>
      </x:c>
    </x:row>
    <x:row r="12" ht="30" customHeight="1">
      <x:c r="A12" s="12" t="str">
        <x:v>angry_011</x:v>
      </x:c>
      <x:c r="B12" s="12" t="str">
        <x:v>angry</x:v>
      </x:c>
      <x:c r="C12" s="14" t="str">
        <x:v>angry/Training_72939025.jpg</x:v>
      </x:c>
      <x:c r="D12" s="12" t="str">
        <x:v>33541ee71d63d5395cd67defab891e53328f9679a5807d733bdf298886535d60</x:v>
      </x:c>
      <x:c r="E12" s="12" t="str">
        <x:v>33541ee71d63d5395cd67defab891e53328f9679a5807d733bdf298886535d60</x:v>
      </x:c>
      <x:c r="F12" s="12" t="str">
        <x:v>True</x:v>
      </x:c>
      <x:c r="G12" s="12" t="str">
        <x:v>48</x:v>
      </x:c>
      <x:c r="H12" s="12" t="str">
        <x:v>48</x:v>
      </x:c>
      <x:c r="I12" s="12" t="str">
        <x:v>0.0</x:v>
      </x:c>
      <x:c r="J12" s="12" t="str">
        <x:v>0.0</x:v>
      </x:c>
      <x:c r="K12" s="12" t="str">
        <x:v>47.0</x:v>
      </x:c>
      <x:c r="L12" s="12" t="str">
        <x:v>47.0</x:v>
      </x:c>
      <x:c r="M12" s="12" t="str">
        <x:v>True</x:v>
      </x:c>
      <x:c r="N12" s="12" t="str">
        <x:v>106</x:v>
      </x:c>
      <x:c r="O12" s="12" t="str">
        <x:v>106</x:v>
      </x:c>
      <x:c r="P12" s="16" t="str">
        <x:v>1.0</x:v>
      </x:c>
      <x:c r="Q12" s="12" t="str">
        <x:v>98</x:v>
      </x:c>
      <x:c r="R12" s="16" t="str">
        <x:v>0.9245283018867925</x:v>
      </x:c>
      <x:c r="S12" s="12" t="str">
        <x:v>0.2</x:v>
      </x:c>
      <x:c r="T12" s="12" t="str">
        <x:v>106</x:v>
      </x:c>
      <x:c r="U12" s="16" t="str">
        <x:v>1.0</x:v>
      </x:c>
      <x:c r="V12" s="18" t="str">
        <x:v>0.36348092555999756</x:v>
      </x:c>
      <x:c r="W12" s="18" t="str">
        <x:v>0.4377831369638443</x:v>
      </x:c>
      <x:c r="X12" s="18" t="str">
        <x:v>0.6195551156997681</x:v>
      </x:c>
      <x:c r="Y12" s="18" t="str">
        <x:v>0.6138432621955872</x:v>
      </x:c>
      <x:c r="Z12" s="18" t="str">
        <x:v>0.808020830154419</x:v>
      </x:c>
      <x:c r="AA12" s="18" t="str">
        <x:v>0.8905632495880127</x:v>
      </x:c>
      <x:c r="AB12" s="20" t="str">
        <x:v>102.22960000101011</x:v>
      </x:c>
      <x:c r="AC12" s="12" t="str">
        <x:v>overlays\angry_011.png</x:v>
      </x:c>
      <x:c r="AD12" s="12" t="str"/>
      <x:c r="AE12" s="12" t="str"/>
      <x:c r="AF12" s="12" t="str">
        <x:v>acceptable</x:v>
      </x:c>
      <x:c r="AG12" s="12" t="n">
        <x:v>1</x:v>
      </x:c>
      <x:c r="AH12" s="12" t="str">
        <x:v>acceptable</x:v>
      </x:c>
      <x:c r="AI12" s="12" t="str">
        <x:v>acceptable</x:v>
      </x:c>
      <x:c r="AJ12" s="12" t="str">
        <x:v>acceptable</x:v>
      </x:c>
      <x:c r="AK12" s="12" t="str">
        <x:v>not_applicable</x:v>
      </x:c>
      <x:c r="AL12" s="12" t="str">
        <x:v>mild</x:v>
      </x:c>
      <x:c r="AM12" s="14" t="str">
        <x:v>Large pose or profile; visible landmarks are useful, while hidden-side contour points are inferred.</x:v>
      </x:c>
    </x:row>
    <x:row r="13" ht="30" customHeight="1">
      <x:c r="A13" s="12" t="str">
        <x:v>angry_012</x:v>
      </x:c>
      <x:c r="B13" s="12" t="str">
        <x:v>angry</x:v>
      </x:c>
      <x:c r="C13" s="14" t="str">
        <x:v>angry/Training_78937516.jpg</x:v>
      </x:c>
      <x:c r="D13" s="12" t="str">
        <x:v>c064471201858c6fc4d15513906fbb67026d59a9d6461b5e48945c4472dbf1f6</x:v>
      </x:c>
      <x:c r="E13" s="12" t="str">
        <x:v>c064471201858c6fc4d15513906fbb67026d59a9d6461b5e48945c4472dbf1f6</x:v>
      </x:c>
      <x:c r="F13" s="12" t="str">
        <x:v>True</x:v>
      </x:c>
      <x:c r="G13" s="12" t="str">
        <x:v>48</x:v>
      </x:c>
      <x:c r="H13" s="12" t="str">
        <x:v>48</x:v>
      </x:c>
      <x:c r="I13" s="12" t="str">
        <x:v>0.0</x:v>
      </x:c>
      <x:c r="J13" s="12" t="str">
        <x:v>0.0</x:v>
      </x:c>
      <x:c r="K13" s="12" t="str">
        <x:v>47.0</x:v>
      </x:c>
      <x:c r="L13" s="12" t="str">
        <x:v>47.0</x:v>
      </x:c>
      <x:c r="M13" s="12" t="str">
        <x:v>True</x:v>
      </x:c>
      <x:c r="N13" s="12" t="str">
        <x:v>106</x:v>
      </x:c>
      <x:c r="O13" s="12" t="str">
        <x:v>106</x:v>
      </x:c>
      <x:c r="P13" s="16" t="str">
        <x:v>1.0</x:v>
      </x:c>
      <x:c r="Q13" s="12" t="str">
        <x:v>106</x:v>
      </x:c>
      <x:c r="R13" s="16" t="str">
        <x:v>1.0</x:v>
      </x:c>
      <x:c r="S13" s="12" t="str">
        <x:v>0.2</x:v>
      </x:c>
      <x:c r="T13" s="12" t="str">
        <x:v>106</x:v>
      </x:c>
      <x:c r="U13" s="16" t="str">
        <x:v>1.0</x:v>
      </x:c>
      <x:c r="V13" s="18" t="str">
        <x:v>0.5299451351165771</x:v>
      </x:c>
      <x:c r="W13" s="18" t="str">
        <x:v>0.5862243175506592</x:v>
      </x:c>
      <x:c r="X13" s="18" t="str">
        <x:v>0.7514318823814392</x:v>
      </x:c>
      <x:c r="Y13" s="18" t="str">
        <x:v>0.7337133884429932</x:v>
      </x:c>
      <x:c r="Z13" s="18" t="str">
        <x:v>0.9216326177120209</x:v>
      </x:c>
      <x:c r="AA13" s="18" t="str">
        <x:v>0.9877057075500488</x:v>
      </x:c>
      <x:c r="AB13" s="20" t="str">
        <x:v>97.75420000005397</x:v>
      </x:c>
      <x:c r="AC13" s="12" t="str">
        <x:v>overlays\angry_012.png</x:v>
      </x:c>
      <x:c r="AD13" s="12" t="str"/>
      <x:c r="AE13" s="12" t="str"/>
      <x:c r="AF13" s="12" t="str">
        <x:v>good</x:v>
      </x:c>
      <x:c r="AG13" s="12" t="n">
        <x:v>1</x:v>
      </x:c>
      <x:c r="AH13" s="12" t="str">
        <x:v>good</x:v>
      </x:c>
      <x:c r="AI13" s="12" t="str">
        <x:v>good</x:v>
      </x:c>
      <x:c r="AJ13" s="12" t="str">
        <x:v>good</x:v>
      </x:c>
      <x:c r="AK13" s="12" t="str">
        <x:v>not_applicable</x:v>
      </x:c>
      <x:c r="AL13" s="12" t="str">
        <x:v>none</x:v>
      </x:c>
      <x:c r="AM13" s="14" t="str">
        <x:v>Clear and well-aligned facial landmarks with no major pose, crop, or occlusion issue.</x:v>
      </x:c>
    </x:row>
    <x:row r="14" ht="30" customHeight="1">
      <x:c r="A14" s="12" t="str">
        <x:v>angry_013</x:v>
      </x:c>
      <x:c r="B14" s="12" t="str">
        <x:v>angry</x:v>
      </x:c>
      <x:c r="C14" s="14" t="str">
        <x:v>angry/Training_93157085.jpg</x:v>
      </x:c>
      <x:c r="D14" s="12" t="str">
        <x:v>f86c56e98e02ce568b37ef830aa0e1e72dbeaea6e3a70ff87066da1ca54c262c</x:v>
      </x:c>
      <x:c r="E14" s="12" t="str">
        <x:v>f86c56e98e02ce568b37ef830aa0e1e72dbeaea6e3a70ff87066da1ca54c262c</x:v>
      </x:c>
      <x:c r="F14" s="12" t="str">
        <x:v>True</x:v>
      </x:c>
      <x:c r="G14" s="12" t="str">
        <x:v>48</x:v>
      </x:c>
      <x:c r="H14" s="12" t="str">
        <x:v>48</x:v>
      </x:c>
      <x:c r="I14" s="12" t="str">
        <x:v>0.0</x:v>
      </x:c>
      <x:c r="J14" s="12" t="str">
        <x:v>0.0</x:v>
      </x:c>
      <x:c r="K14" s="12" t="str">
        <x:v>47.0</x:v>
      </x:c>
      <x:c r="L14" s="12" t="str">
        <x:v>47.0</x:v>
      </x:c>
      <x:c r="M14" s="12" t="str">
        <x:v>True</x:v>
      </x:c>
      <x:c r="N14" s="12" t="str">
        <x:v>106</x:v>
      </x:c>
      <x:c r="O14" s="12" t="str">
        <x:v>106</x:v>
      </x:c>
      <x:c r="P14" s="16" t="str">
        <x:v>1.0</x:v>
      </x:c>
      <x:c r="Q14" s="12" t="str">
        <x:v>97</x:v>
      </x:c>
      <x:c r="R14" s="16" t="str">
        <x:v>0.9150943396226415</x:v>
      </x:c>
      <x:c r="S14" s="12" t="str">
        <x:v>0.2</x:v>
      </x:c>
      <x:c r="T14" s="12" t="str">
        <x:v>106</x:v>
      </x:c>
      <x:c r="U14" s="16" t="str">
        <x:v>1.0</x:v>
      </x:c>
      <x:c r="V14" s="18" t="str">
        <x:v>0.3337783217430115</x:v>
      </x:c>
      <x:c r="W14" s="18" t="str">
        <x:v>0.39342427253723145</x:v>
      </x:c>
      <x:c r="X14" s="18" t="str">
        <x:v>0.6005943417549133</x:v>
      </x:c>
      <x:c r="Y14" s="18" t="str">
        <x:v>0.6002854108810425</x:v>
      </x:c>
      <x:c r="Z14" s="18" t="str">
        <x:v>0.8459689021110535</x:v>
      </x:c>
      <x:c r="AA14" s="18" t="str">
        <x:v>0.9205124974250793</x:v>
      </x:c>
      <x:c r="AB14" s="20" t="str">
        <x:v>99.47430000102031</x:v>
      </x:c>
      <x:c r="AC14" s="12" t="str">
        <x:v>overlays\angry_013.png</x:v>
      </x:c>
      <x:c r="AD14" s="12" t="str"/>
      <x:c r="AE14" s="12" t="str"/>
      <x:c r="AF14" s="12" t="str">
        <x:v>good</x:v>
      </x:c>
      <x:c r="AG14" s="12" t="n">
        <x:v>1</x:v>
      </x:c>
      <x:c r="AH14" s="12" t="str">
        <x:v>good</x:v>
      </x:c>
      <x:c r="AI14" s="12" t="str">
        <x:v>good</x:v>
      </x:c>
      <x:c r="AJ14" s="12" t="str">
        <x:v>good</x:v>
      </x:c>
      <x:c r="AK14" s="12" t="str">
        <x:v>not_applicable</x:v>
      </x:c>
      <x:c r="AL14" s="12" t="str">
        <x:v>none</x:v>
      </x:c>
      <x:c r="AM14" s="14" t="str">
        <x:v>Clear and well-aligned facial landmarks with no major pose, crop, or occlusion issue.</x:v>
      </x:c>
    </x:row>
    <x:row r="15" ht="30" customHeight="1">
      <x:c r="A15" s="12" t="str">
        <x:v>angry_014</x:v>
      </x:c>
      <x:c r="B15" s="12" t="str">
        <x:v>angry</x:v>
      </x:c>
      <x:c r="C15" s="14" t="str">
        <x:v>angry/Training_60412371.jpg</x:v>
      </x:c>
      <x:c r="D15" s="12" t="str">
        <x:v>fbd264842f18a08455c0d9daafbc5d93ba43afdd3f6ecee53e6a7d68fa5f7fa9</x:v>
      </x:c>
      <x:c r="E15" s="12" t="str">
        <x:v>fbd264842f18a08455c0d9daafbc5d93ba43afdd3f6ecee53e6a7d68fa5f7fa9</x:v>
      </x:c>
      <x:c r="F15" s="12" t="str">
        <x:v>True</x:v>
      </x:c>
      <x:c r="G15" s="12" t="str">
        <x:v>48</x:v>
      </x:c>
      <x:c r="H15" s="12" t="str">
        <x:v>48</x:v>
      </x:c>
      <x:c r="I15" s="12" t="str">
        <x:v>0.0</x:v>
      </x:c>
      <x:c r="J15" s="12" t="str">
        <x:v>0.0</x:v>
      </x:c>
      <x:c r="K15" s="12" t="str">
        <x:v>47.0</x:v>
      </x:c>
      <x:c r="L15" s="12" t="str">
        <x:v>47.0</x:v>
      </x:c>
      <x:c r="M15" s="12" t="str">
        <x:v>True</x:v>
      </x:c>
      <x:c r="N15" s="12" t="str">
        <x:v>106</x:v>
      </x:c>
      <x:c r="O15" s="12" t="str">
        <x:v>106</x:v>
      </x:c>
      <x:c r="P15" s="16" t="str">
        <x:v>1.0</x:v>
      </x:c>
      <x:c r="Q15" s="12" t="str">
        <x:v>69</x:v>
      </x:c>
      <x:c r="R15" s="16" t="str">
        <x:v>0.6509433962264151</x:v>
      </x:c>
      <x:c r="S15" s="12" t="str">
        <x:v>0.2</x:v>
      </x:c>
      <x:c r="T15" s="12" t="str">
        <x:v>104</x:v>
      </x:c>
      <x:c r="U15" s="16" t="str">
        <x:v>0.9811320754716981</x:v>
      </x:c>
      <x:c r="V15" s="18" t="str">
        <x:v>0.19466423988342285</x:v>
      </x:c>
      <x:c r="W15" s="18" t="str">
        <x:v>0.3737708479166031</x:v>
      </x:c>
      <x:c r="X15" s="18" t="str">
        <x:v>0.5111750364303589</x:v>
      </x:c>
      <x:c r="Y15" s="18" t="str">
        <x:v>0.4802037477493286</x:v>
      </x:c>
      <x:c r="Z15" s="18" t="str">
        <x:v>0.7417570352554321</x:v>
      </x:c>
      <x:c r="AA15" s="18" t="str">
        <x:v>0.8438423871994019</x:v>
      </x:c>
      <x:c r="AB15" s="20" t="str">
        <x:v>100.05680000176653</x:v>
      </x:c>
      <x:c r="AC15" s="12" t="str">
        <x:v>overlays\angry_014.png</x:v>
      </x:c>
      <x:c r="AD15" s="12" t="str"/>
      <x:c r="AE15" s="12" t="str"/>
      <x:c r="AF15" s="12" t="str">
        <x:v>acceptable</x:v>
      </x:c>
      <x:c r="AG15" s="12" t="n">
        <x:v>1</x:v>
      </x:c>
      <x:c r="AH15" s="12" t="str">
        <x:v>acceptable</x:v>
      </x:c>
      <x:c r="AI15" s="12" t="str">
        <x:v>acceptable</x:v>
      </x:c>
      <x:c r="AJ15" s="12" t="str">
        <x:v>acceptable</x:v>
      </x:c>
      <x:c r="AK15" s="12" t="str">
        <x:v>not_applicable</x:v>
      </x:c>
      <x:c r="AL15" s="12" t="str">
        <x:v>mild</x:v>
      </x:c>
      <x:c r="AM15" s="14" t="str">
        <x:v>Large pose or profile; visible landmarks are useful, while hidden-side contour points are inferred.</x:v>
      </x:c>
    </x:row>
    <x:row r="16" ht="30" customHeight="1">
      <x:c r="A16" s="12" t="str">
        <x:v>angry_015</x:v>
      </x:c>
      <x:c r="B16" s="12" t="str">
        <x:v>angry</x:v>
      </x:c>
      <x:c r="C16" s="14" t="str">
        <x:v>angry/Training_18460889.jpg</x:v>
      </x:c>
      <x:c r="D16" s="12" t="str">
        <x:v>52fc36197bf26ce05c038d02261de6fc28b9f604a85f64f5eee631165122bd83</x:v>
      </x:c>
      <x:c r="E16" s="12" t="str">
        <x:v>52fc36197bf26ce05c038d02261de6fc28b9f604a85f64f5eee631165122bd83</x:v>
      </x:c>
      <x:c r="F16" s="12" t="str">
        <x:v>True</x:v>
      </x:c>
      <x:c r="G16" s="12" t="str">
        <x:v>48</x:v>
      </x:c>
      <x:c r="H16" s="12" t="str">
        <x:v>48</x:v>
      </x:c>
      <x:c r="I16" s="12" t="str">
        <x:v>0.0</x:v>
      </x:c>
      <x:c r="J16" s="12" t="str">
        <x:v>0.0</x:v>
      </x:c>
      <x:c r="K16" s="12" t="str">
        <x:v>47.0</x:v>
      </x:c>
      <x:c r="L16" s="12" t="str">
        <x:v>47.0</x:v>
      </x:c>
      <x:c r="M16" s="12" t="str">
        <x:v>True</x:v>
      </x:c>
      <x:c r="N16" s="12" t="str">
        <x:v>106</x:v>
      </x:c>
      <x:c r="O16" s="12" t="str">
        <x:v>106</x:v>
      </x:c>
      <x:c r="P16" s="16" t="str">
        <x:v>1.0</x:v>
      </x:c>
      <x:c r="Q16" s="12" t="str">
        <x:v>92</x:v>
      </x:c>
      <x:c r="R16" s="16" t="str">
        <x:v>0.8679245283018868</x:v>
      </x:c>
      <x:c r="S16" s="12" t="str">
        <x:v>0.2</x:v>
      </x:c>
      <x:c r="T16" s="12" t="str">
        <x:v>106</x:v>
      </x:c>
      <x:c r="U16" s="16" t="str">
        <x:v>1.0</x:v>
      </x:c>
      <x:c r="V16" s="18" t="str">
        <x:v>0.25653088092803955</x:v>
      </x:c>
      <x:c r="W16" s="18" t="str">
        <x:v>0.3895503580570221</x:v>
      </x:c>
      <x:c r="X16" s="18" t="str">
        <x:v>0.6314000487327576</x:v>
      </x:c>
      <x:c r="Y16" s="18" t="str">
        <x:v>0.6127936840057373</x:v>
      </x:c>
      <x:c r="Z16" s="18" t="str">
        <x:v>0.8975030481815338</x:v>
      </x:c>
      <x:c r="AA16" s="18" t="str">
        <x:v>1.0275657176971436</x:v>
      </x:c>
      <x:c r="AB16" s="20" t="str">
        <x:v>101.0586999982479</x:v>
      </x:c>
      <x:c r="AC16" s="12" t="str">
        <x:v>overlays\angry_015.png</x:v>
      </x:c>
      <x:c r="AD16" s="12" t="str"/>
      <x:c r="AE16" s="12" t="str"/>
      <x:c r="AF16" s="12" t="str">
        <x:v>acceptable</x:v>
      </x:c>
      <x:c r="AG16" s="12" t="n">
        <x:v>1</x:v>
      </x:c>
      <x:c r="AH16" s="12" t="str">
        <x:v>acceptable</x:v>
      </x:c>
      <x:c r="AI16" s="12" t="str">
        <x:v>acceptable</x:v>
      </x:c>
      <x:c r="AJ16" s="12" t="str">
        <x:v>acceptable</x:v>
      </x:c>
      <x:c r="AK16" s="12" t="str">
        <x:v>not_applicable</x:v>
      </x:c>
      <x:c r="AL16" s="12" t="str">
        <x:v>mild</x:v>
      </x:c>
      <x:c r="AM16" s="14" t="str">
        <x:v>Moderate pose, crop, or image degradation causes minor landmark uncertainty; the result remains usable.</x:v>
      </x:c>
    </x:row>
    <x:row r="17" ht="30" customHeight="1">
      <x:c r="A17" s="12" t="str">
        <x:v>angry_016</x:v>
      </x:c>
      <x:c r="B17" s="12" t="str">
        <x:v>angry</x:v>
      </x:c>
      <x:c r="C17" s="14" t="str">
        <x:v>angry/Training_65004742.jpg</x:v>
      </x:c>
      <x:c r="D17" s="12" t="str">
        <x:v>220af1794a253f11d0183fde5db5341a9519e1b08abd05e1387262217a4052b6</x:v>
      </x:c>
      <x:c r="E17" s="12" t="str">
        <x:v>220af1794a253f11d0183fde5db5341a9519e1b08abd05e1387262217a4052b6</x:v>
      </x:c>
      <x:c r="F17" s="12" t="str">
        <x:v>True</x:v>
      </x:c>
      <x:c r="G17" s="12" t="str">
        <x:v>48</x:v>
      </x:c>
      <x:c r="H17" s="12" t="str">
        <x:v>48</x:v>
      </x:c>
      <x:c r="I17" s="12" t="str">
        <x:v>0.0</x:v>
      </x:c>
      <x:c r="J17" s="12" t="str">
        <x:v>0.0</x:v>
      </x:c>
      <x:c r="K17" s="12" t="str">
        <x:v>47.0</x:v>
      </x:c>
      <x:c r="L17" s="12" t="str">
        <x:v>47.0</x:v>
      </x:c>
      <x:c r="M17" s="12" t="str">
        <x:v>True</x:v>
      </x:c>
      <x:c r="N17" s="12" t="str">
        <x:v>106</x:v>
      </x:c>
      <x:c r="O17" s="12" t="str">
        <x:v>106</x:v>
      </x:c>
      <x:c r="P17" s="16" t="str">
        <x:v>1.0</x:v>
      </x:c>
      <x:c r="Q17" s="12" t="str">
        <x:v>89</x:v>
      </x:c>
      <x:c r="R17" s="16" t="str">
        <x:v>0.839622641509434</x:v>
      </x:c>
      <x:c r="S17" s="12" t="str">
        <x:v>0.2</x:v>
      </x:c>
      <x:c r="T17" s="12" t="str">
        <x:v>106</x:v>
      </x:c>
      <x:c r="U17" s="16" t="str">
        <x:v>1.0</x:v>
      </x:c>
      <x:c r="V17" s="18" t="str">
        <x:v>0.5221956372261047</x:v>
      </x:c>
      <x:c r="W17" s="18" t="str">
        <x:v>0.6258748471736908</x:v>
      </x:c>
      <x:c r="X17" s="18" t="str">
        <x:v>0.789376974105835</x:v>
      </x:c>
      <x:c r="Y17" s="18" t="str">
        <x:v>0.8097805976867676</x:v>
      </x:c>
      <x:c r="Z17" s="18" t="str">
        <x:v>0.9147323071956635</x:v>
      </x:c>
      <x:c r="AA17" s="18" t="str">
        <x:v>0.9933006763458252</x:v>
      </x:c>
      <x:c r="AB17" s="20" t="str">
        <x:v>100.57070000038948</x:v>
      </x:c>
      <x:c r="AC17" s="12" t="str">
        <x:v>overlays\angry_016.png</x:v>
      </x:c>
      <x:c r="AD17" s="12" t="str"/>
      <x:c r="AE17" s="12" t="str"/>
      <x:c r="AF17" s="12" t="str">
        <x:v>acceptable</x:v>
      </x:c>
      <x:c r="AG17" s="12" t="n">
        <x:v>1</x:v>
      </x:c>
      <x:c r="AH17" s="12" t="str">
        <x:v>acceptable</x:v>
      </x:c>
      <x:c r="AI17" s="12" t="str">
        <x:v>acceptable</x:v>
      </x:c>
      <x:c r="AJ17" s="12" t="str">
        <x:v>acceptable</x:v>
      </x:c>
      <x:c r="AK17" s="12" t="str">
        <x:v>acceptable</x:v>
      </x:c>
      <x:c r="AL17" s="12" t="str">
        <x:v>mild</x:v>
      </x:c>
      <x:c r="AM17" s="14" t="str">
        <x:v>Tight crop places several contour points outside the frame; central facial landmarks remain usable.</x:v>
      </x:c>
    </x:row>
    <x:row r="18" ht="30" customHeight="1">
      <x:c r="A18" s="12" t="str">
        <x:v>angry_017</x:v>
      </x:c>
      <x:c r="B18" s="12" t="str">
        <x:v>angry</x:v>
      </x:c>
      <x:c r="C18" s="14" t="str">
        <x:v>angry/Training_48839677.jpg</x:v>
      </x:c>
      <x:c r="D18" s="12" t="str">
        <x:v>c073703ccad2077a6b918629d2e901fe9f649b366890af75412e1979661b2748</x:v>
      </x:c>
      <x:c r="E18" s="12" t="str">
        <x:v>c073703ccad2077a6b918629d2e901fe9f649b366890af75412e1979661b2748</x:v>
      </x:c>
      <x:c r="F18" s="12" t="str">
        <x:v>True</x:v>
      </x:c>
      <x:c r="G18" s="12" t="str">
        <x:v>48</x:v>
      </x:c>
      <x:c r="H18" s="12" t="str">
        <x:v>48</x:v>
      </x:c>
      <x:c r="I18" s="12" t="str">
        <x:v>0.0</x:v>
      </x:c>
      <x:c r="J18" s="12" t="str">
        <x:v>0.0</x:v>
      </x:c>
      <x:c r="K18" s="12" t="str">
        <x:v>47.0</x:v>
      </x:c>
      <x:c r="L18" s="12" t="str">
        <x:v>47.0</x:v>
      </x:c>
      <x:c r="M18" s="12" t="str">
        <x:v>True</x:v>
      </x:c>
      <x:c r="N18" s="12" t="str">
        <x:v>106</x:v>
      </x:c>
      <x:c r="O18" s="12" t="str">
        <x:v>106</x:v>
      </x:c>
      <x:c r="P18" s="16" t="str">
        <x:v>1.0</x:v>
      </x:c>
      <x:c r="Q18" s="12" t="str">
        <x:v>81</x:v>
      </x:c>
      <x:c r="R18" s="16" t="str">
        <x:v>0.7641509433962265</x:v>
      </x:c>
      <x:c r="S18" s="12" t="str">
        <x:v>0.2</x:v>
      </x:c>
      <x:c r="T18" s="12" t="str">
        <x:v>106</x:v>
      </x:c>
      <x:c r="U18" s="16" t="str">
        <x:v>1.0</x:v>
      </x:c>
      <x:c r="V18" s="18" t="str">
        <x:v>0.4211309850215912</x:v>
      </x:c>
      <x:c r="W18" s="18" t="str">
        <x:v>0.5003493577241898</x:v>
      </x:c>
      <x:c r="X18" s="18" t="str">
        <x:v>0.705094039440155</x:v>
      </x:c>
      <x:c r="Y18" s="18" t="str">
        <x:v>0.7394049167633057</x:v>
      </x:c>
      <x:c r="Z18" s="18" t="str">
        <x:v>0.8477892577648163</x:v>
      </x:c>
      <x:c r="AA18" s="18" t="str">
        <x:v>0.9241987466812134</x:v>
      </x:c>
      <x:c r="AB18" s="20" t="str">
        <x:v>102.85020000083023</x:v>
      </x:c>
      <x:c r="AC18" s="12" t="str">
        <x:v>overlays\angry_017.png</x:v>
      </x:c>
      <x:c r="AD18" s="12" t="str"/>
      <x:c r="AE18" s="12" t="str"/>
      <x:c r="AF18" s="12" t="str">
        <x:v>acceptable</x:v>
      </x:c>
      <x:c r="AG18" s="12" t="n">
        <x:v>1</x:v>
      </x:c>
      <x:c r="AH18" s="12" t="str">
        <x:v>acceptable</x:v>
      </x:c>
      <x:c r="AI18" s="12" t="str">
        <x:v>acceptable</x:v>
      </x:c>
      <x:c r="AJ18" s="12" t="str">
        <x:v>acceptable</x:v>
      </x:c>
      <x:c r="AK18" s="12" t="str">
        <x:v>not_applicable</x:v>
      </x:c>
      <x:c r="AL18" s="12" t="str">
        <x:v>mild</x:v>
      </x:c>
      <x:c r="AM18" s="14" t="str">
        <x:v>Tight crop places several contour points outside the frame; central facial landmarks remain usable.</x:v>
      </x:c>
    </x:row>
    <x:row r="19" ht="30" customHeight="1">
      <x:c r="A19" s="12" t="str">
        <x:v>angry_018</x:v>
      </x:c>
      <x:c r="B19" s="12" t="str">
        <x:v>angry</x:v>
      </x:c>
      <x:c r="C19" s="14" t="str">
        <x:v>angry/Training_13521344.jpg</x:v>
      </x:c>
      <x:c r="D19" s="12" t="str">
        <x:v>03c9792a9e1189159ae753decaa00b88e225c78691e013dae4963fbc2e128c2f</x:v>
      </x:c>
      <x:c r="E19" s="12" t="str">
        <x:v>03c9792a9e1189159ae753decaa00b88e225c78691e013dae4963fbc2e128c2f</x:v>
      </x:c>
      <x:c r="F19" s="12" t="str">
        <x:v>True</x:v>
      </x:c>
      <x:c r="G19" s="12" t="str">
        <x:v>48</x:v>
      </x:c>
      <x:c r="H19" s="12" t="str">
        <x:v>48</x:v>
      </x:c>
      <x:c r="I19" s="12" t="str">
        <x:v>0.0</x:v>
      </x:c>
      <x:c r="J19" s="12" t="str">
        <x:v>0.0</x:v>
      </x:c>
      <x:c r="K19" s="12" t="str">
        <x:v>47.0</x:v>
      </x:c>
      <x:c r="L19" s="12" t="str">
        <x:v>47.0</x:v>
      </x:c>
      <x:c r="M19" s="12" t="str">
        <x:v>True</x:v>
      </x:c>
      <x:c r="N19" s="12" t="str">
        <x:v>106</x:v>
      </x:c>
      <x:c r="O19" s="12" t="str">
        <x:v>106</x:v>
      </x:c>
      <x:c r="P19" s="16" t="str">
        <x:v>1.0</x:v>
      </x:c>
      <x:c r="Q19" s="12" t="str">
        <x:v>106</x:v>
      </x:c>
      <x:c r="R19" s="16" t="str">
        <x:v>1.0</x:v>
      </x:c>
      <x:c r="S19" s="12" t="str">
        <x:v>0.2</x:v>
      </x:c>
      <x:c r="T19" s="12" t="str">
        <x:v>106</x:v>
      </x:c>
      <x:c r="U19" s="16" t="str">
        <x:v>1.0</x:v>
      </x:c>
      <x:c r="V19" s="18" t="str">
        <x:v>0.5378701686859131</x:v>
      </x:c>
      <x:c r="W19" s="18" t="str">
        <x:v>0.6545992493629456</x:v>
      </x:c>
      <x:c r="X19" s="18" t="str">
        <x:v>0.7550125122070312</x:v>
      </x:c>
      <x:c r="Y19" s="18" t="str">
        <x:v>0.7270828485488892</x:v>
      </x:c>
      <x:c r="Z19" s="18" t="str">
        <x:v>0.8670423924922943</x:v>
      </x:c>
      <x:c r="AA19" s="18" t="str">
        <x:v>0.9312472343444824</x:v>
      </x:c>
      <x:c r="AB19" s="20" t="str">
        <x:v>101.02849999748287</x:v>
      </x:c>
      <x:c r="AC19" s="12" t="str">
        <x:v>overlays\angry_018.png</x:v>
      </x:c>
      <x:c r="AD19" s="12" t="str"/>
      <x:c r="AE19" s="12" t="str"/>
      <x:c r="AF19" s="12" t="str">
        <x:v>good</x:v>
      </x:c>
      <x:c r="AG19" s="12" t="n">
        <x:v>1</x:v>
      </x:c>
      <x:c r="AH19" s="12" t="str">
        <x:v>good</x:v>
      </x:c>
      <x:c r="AI19" s="12" t="str">
        <x:v>good</x:v>
      </x:c>
      <x:c r="AJ19" s="12" t="str">
        <x:v>good</x:v>
      </x:c>
      <x:c r="AK19" s="12" t="str">
        <x:v>good</x:v>
      </x:c>
      <x:c r="AL19" s="12" t="str">
        <x:v>none</x:v>
      </x:c>
      <x:c r="AM19" s="14" t="str">
        <x:v>Clear and well-aligned facial landmarks with no major pose, crop, or occlusion issue.</x:v>
      </x:c>
    </x:row>
    <x:row r="20" ht="30" customHeight="1">
      <x:c r="A20" s="12" t="str">
        <x:v>angry_019</x:v>
      </x:c>
      <x:c r="B20" s="12" t="str">
        <x:v>angry</x:v>
      </x:c>
      <x:c r="C20" s="14" t="str">
        <x:v>angry/Training_13196511.jpg</x:v>
      </x:c>
      <x:c r="D20" s="12" t="str">
        <x:v>cfad1fc131ea9ec53efb02ef36b43fce24a60e1ee328abe98fa77f9e06afdca3</x:v>
      </x:c>
      <x:c r="E20" s="12" t="str">
        <x:v>cfad1fc131ea9ec53efb02ef36b43fce24a60e1ee328abe98fa77f9e06afdca3</x:v>
      </x:c>
      <x:c r="F20" s="12" t="str">
        <x:v>True</x:v>
      </x:c>
      <x:c r="G20" s="12" t="str">
        <x:v>48</x:v>
      </x:c>
      <x:c r="H20" s="12" t="str">
        <x:v>48</x:v>
      </x:c>
      <x:c r="I20" s="12" t="str">
        <x:v>0.0</x:v>
      </x:c>
      <x:c r="J20" s="12" t="str">
        <x:v>0.0</x:v>
      </x:c>
      <x:c r="K20" s="12" t="str">
        <x:v>47.0</x:v>
      </x:c>
      <x:c r="L20" s="12" t="str">
        <x:v>47.0</x:v>
      </x:c>
      <x:c r="M20" s="12" t="str">
        <x:v>True</x:v>
      </x:c>
      <x:c r="N20" s="12" t="str">
        <x:v>106</x:v>
      </x:c>
      <x:c r="O20" s="12" t="str">
        <x:v>106</x:v>
      </x:c>
      <x:c r="P20" s="16" t="str">
        <x:v>1.0</x:v>
      </x:c>
      <x:c r="Q20" s="12" t="str">
        <x:v>95</x:v>
      </x:c>
      <x:c r="R20" s="16" t="str">
        <x:v>0.8962264150943396</x:v>
      </x:c>
      <x:c r="S20" s="12" t="str">
        <x:v>0.2</x:v>
      </x:c>
      <x:c r="T20" s="12" t="str">
        <x:v>105</x:v>
      </x:c>
      <x:c r="U20" s="16" t="str">
        <x:v>0.9905660377358491</x:v>
      </x:c>
      <x:c r="V20" s="18" t="str">
        <x:v>0.19370216131210327</x:v>
      </x:c>
      <x:c r="W20" s="18" t="str">
        <x:v>0.3478540629148483</x:v>
      </x:c>
      <x:c r="X20" s="18" t="str">
        <x:v>0.5412130355834961</x:v>
      </x:c>
      <x:c r="Y20" s="18" t="str">
        <x:v>0.5418941974639893</x:v>
      </x:c>
      <x:c r="Z20" s="18" t="str">
        <x:v>0.7326629757881165</x:v>
      </x:c>
      <x:c r="AA20" s="18" t="str">
        <x:v>0.8136309385299683</x:v>
      </x:c>
      <x:c r="AB20" s="20" t="str">
        <x:v>104.71850000249106</x:v>
      </x:c>
      <x:c r="AC20" s="12" t="str">
        <x:v>overlays\angry_019.png</x:v>
      </x:c>
      <x:c r="AD20" s="12" t="str"/>
      <x:c r="AE20" s="12" t="str"/>
      <x:c r="AF20" s="12" t="str">
        <x:v>acceptable</x:v>
      </x:c>
      <x:c r="AG20" s="12" t="n">
        <x:v>1</x:v>
      </x:c>
      <x:c r="AH20" s="12" t="str">
        <x:v>acceptable</x:v>
      </x:c>
      <x:c r="AI20" s="12" t="str">
        <x:v>acceptable</x:v>
      </x:c>
      <x:c r="AJ20" s="12" t="str">
        <x:v>acceptable</x:v>
      </x:c>
      <x:c r="AK20" s="12" t="str">
        <x:v>not_applicable</x:v>
      </x:c>
      <x:c r="AL20" s="12" t="str">
        <x:v>mild</x:v>
      </x:c>
      <x:c r="AM20" s="14" t="str">
        <x:v>Blur, low contrast, or unusual appearance lowers confidence, but the landmark geometry remains usable.</x:v>
      </x:c>
    </x:row>
    <x:row r="21" ht="30" customHeight="1">
      <x:c r="A21" s="12" t="str">
        <x:v>angry_020</x:v>
      </x:c>
      <x:c r="B21" s="12" t="str">
        <x:v>angry</x:v>
      </x:c>
      <x:c r="C21" s="14" t="str">
        <x:v>angry/Training_18894040.jpg</x:v>
      </x:c>
      <x:c r="D21" s="12" t="str">
        <x:v>e13cdc92e42ae5675903eccaeed7f9fcd8f3e397ba6a3ddd37b832730ab4ce21</x:v>
      </x:c>
      <x:c r="E21" s="12" t="str">
        <x:v>e13cdc92e42ae5675903eccaeed7f9fcd8f3e397ba6a3ddd37b832730ab4ce21</x:v>
      </x:c>
      <x:c r="F21" s="12" t="str">
        <x:v>True</x:v>
      </x:c>
      <x:c r="G21" s="12" t="str">
        <x:v>48</x:v>
      </x:c>
      <x:c r="H21" s="12" t="str">
        <x:v>48</x:v>
      </x:c>
      <x:c r="I21" s="12" t="str">
        <x:v>0.0</x:v>
      </x:c>
      <x:c r="J21" s="12" t="str">
        <x:v>0.0</x:v>
      </x:c>
      <x:c r="K21" s="12" t="str">
        <x:v>47.0</x:v>
      </x:c>
      <x:c r="L21" s="12" t="str">
        <x:v>47.0</x:v>
      </x:c>
      <x:c r="M21" s="12" t="str">
        <x:v>True</x:v>
      </x:c>
      <x:c r="N21" s="12" t="str">
        <x:v>106</x:v>
      </x:c>
      <x:c r="O21" s="12" t="str">
        <x:v>106</x:v>
      </x:c>
      <x:c r="P21" s="16" t="str">
        <x:v>1.0</x:v>
      </x:c>
      <x:c r="Q21" s="12" t="str">
        <x:v>97</x:v>
      </x:c>
      <x:c r="R21" s="16" t="str">
        <x:v>0.9150943396226415</x:v>
      </x:c>
      <x:c r="S21" s="12" t="str">
        <x:v>0.2</x:v>
      </x:c>
      <x:c r="T21" s="12" t="str">
        <x:v>106</x:v>
      </x:c>
      <x:c r="U21" s="16" t="str">
        <x:v>1.0</x:v>
      </x:c>
      <x:c r="V21" s="18" t="str">
        <x:v>0.45077699422836304</x:v>
      </x:c>
      <x:c r="W21" s="18" t="str">
        <x:v>0.5200912356376648</x:v>
      </x:c>
      <x:c r="X21" s="18" t="str">
        <x:v>0.6536307334899902</x:v>
      </x:c>
      <x:c r="Y21" s="18" t="str">
        <x:v>0.6330095529556274</x:v>
      </x:c>
      <x:c r="Z21" s="18" t="str">
        <x:v>0.807414323091507</x:v>
      </x:c>
      <x:c r="AA21" s="18" t="str">
        <x:v>0.922762393951416</x:v>
      </x:c>
      <x:c r="AB21" s="20" t="str">
        <x:v>103.90289999850211</x:v>
      </x:c>
      <x:c r="AC21" s="12" t="str">
        <x:v>overlays\angry_020.png</x:v>
      </x:c>
      <x:c r="AD21" s="12" t="str"/>
      <x:c r="AE21" s="12" t="str"/>
      <x:c r="AF21" s="12" t="str">
        <x:v>good</x:v>
      </x:c>
      <x:c r="AG21" s="12" t="n">
        <x:v>1</x:v>
      </x:c>
      <x:c r="AH21" s="12" t="str">
        <x:v>good</x:v>
      </x:c>
      <x:c r="AI21" s="12" t="str">
        <x:v>good</x:v>
      </x:c>
      <x:c r="AJ21" s="12" t="str">
        <x:v>good</x:v>
      </x:c>
      <x:c r="AK21" s="12" t="str">
        <x:v>good</x:v>
      </x:c>
      <x:c r="AL21" s="12" t="str">
        <x:v>none</x:v>
      </x:c>
      <x:c r="AM21" s="14" t="str">
        <x:v>Clear and well-aligned facial landmarks with no major pose, crop, or occlusion issue.</x:v>
      </x:c>
    </x:row>
    <x:row r="22" ht="30" customHeight="1">
      <x:c r="A22" s="12" t="str">
        <x:v>angry_021</x:v>
      </x:c>
      <x:c r="B22" s="12" t="str">
        <x:v>angry</x:v>
      </x:c>
      <x:c r="C22" s="14" t="str">
        <x:v>angry/Training_30148518.jpg</x:v>
      </x:c>
      <x:c r="D22" s="12" t="str">
        <x:v>9458edfc61c6292fef0fc7931f80ef7e477e91ba3c05c93b187adc24ace970de</x:v>
      </x:c>
      <x:c r="E22" s="12" t="str">
        <x:v>9458edfc61c6292fef0fc7931f80ef7e477e91ba3c05c93b187adc24ace970de</x:v>
      </x:c>
      <x:c r="F22" s="12" t="str">
        <x:v>True</x:v>
      </x:c>
      <x:c r="G22" s="12" t="str">
        <x:v>48</x:v>
      </x:c>
      <x:c r="H22" s="12" t="str">
        <x:v>48</x:v>
      </x:c>
      <x:c r="I22" s="12" t="str">
        <x:v>0.0</x:v>
      </x:c>
      <x:c r="J22" s="12" t="str">
        <x:v>0.0</x:v>
      </x:c>
      <x:c r="K22" s="12" t="str">
        <x:v>47.0</x:v>
      </x:c>
      <x:c r="L22" s="12" t="str">
        <x:v>47.0</x:v>
      </x:c>
      <x:c r="M22" s="12" t="str">
        <x:v>True</x:v>
      </x:c>
      <x:c r="N22" s="12" t="str">
        <x:v>106</x:v>
      </x:c>
      <x:c r="O22" s="12" t="str">
        <x:v>106</x:v>
      </x:c>
      <x:c r="P22" s="16" t="str">
        <x:v>1.0</x:v>
      </x:c>
      <x:c r="Q22" s="12" t="str">
        <x:v>72</x:v>
      </x:c>
      <x:c r="R22" s="16" t="str">
        <x:v>0.6792452830188679</x:v>
      </x:c>
      <x:c r="S22" s="12" t="str">
        <x:v>0.2</x:v>
      </x:c>
      <x:c r="T22" s="12" t="str">
        <x:v>106</x:v>
      </x:c>
      <x:c r="U22" s="16" t="str">
        <x:v>1.0</x:v>
      </x:c>
      <x:c r="V22" s="18" t="str">
        <x:v>0.35345757007598877</x:v>
      </x:c>
      <x:c r="W22" s="18" t="str">
        <x:v>0.48256243765354156</x:v>
      </x:c>
      <x:c r="X22" s="18" t="str">
        <x:v>0.6177486181259155</x:v>
      </x:c>
      <x:c r="Y22" s="18" t="str">
        <x:v>0.6342833042144775</x:v>
      </x:c>
      <x:c r="Z22" s="18" t="str">
        <x:v>0.7546035647392273</x:v>
      </x:c>
      <x:c r="AA22" s="18" t="str">
        <x:v>0.8121799826622009</x:v>
      </x:c>
      <x:c r="AB22" s="20" t="str">
        <x:v>104.92879999947036</x:v>
      </x:c>
      <x:c r="AC22" s="12" t="str">
        <x:v>overlays\angry_021.png</x:v>
      </x:c>
      <x:c r="AD22" s="12" t="str"/>
      <x:c r="AE22" s="12" t="str"/>
      <x:c r="AF22" s="12" t="str">
        <x:v>acceptable</x:v>
      </x:c>
      <x:c r="AG22" s="12" t="n">
        <x:v>1</x:v>
      </x:c>
      <x:c r="AH22" s="12" t="str">
        <x:v>acceptable</x:v>
      </x:c>
      <x:c r="AI22" s="12" t="str">
        <x:v>acceptable</x:v>
      </x:c>
      <x:c r="AJ22" s="12" t="str">
        <x:v>acceptable</x:v>
      </x:c>
      <x:c r="AK22" s="12" t="str">
        <x:v>acceptable</x:v>
      </x:c>
      <x:c r="AL22" s="12" t="str">
        <x:v>mild</x:v>
      </x:c>
      <x:c r="AM22" s="14" t="str">
        <x:v>Large pose or profile; visible landmarks are useful, while hidden-side contour points are inferred.</x:v>
      </x:c>
    </x:row>
    <x:row r="23" ht="30" customHeight="1">
      <x:c r="A23" s="12" t="str">
        <x:v>angry_022</x:v>
      </x:c>
      <x:c r="B23" s="12" t="str">
        <x:v>angry</x:v>
      </x:c>
      <x:c r="C23" s="14" t="str">
        <x:v>angry/Training_3161929.jpg</x:v>
      </x:c>
      <x:c r="D23" s="12" t="str">
        <x:v>c7380331f2e10bb441131f930e8a2526392ae0a6845461bd19578c43c1e19c38</x:v>
      </x:c>
      <x:c r="E23" s="12" t="str">
        <x:v>c7380331f2e10bb441131f930e8a2526392ae0a6845461bd19578c43c1e19c38</x:v>
      </x:c>
      <x:c r="F23" s="12" t="str">
        <x:v>True</x:v>
      </x:c>
      <x:c r="G23" s="12" t="str">
        <x:v>48</x:v>
      </x:c>
      <x:c r="H23" s="12" t="str">
        <x:v>48</x:v>
      </x:c>
      <x:c r="I23" s="12" t="str">
        <x:v>0.0</x:v>
      </x:c>
      <x:c r="J23" s="12" t="str">
        <x:v>0.0</x:v>
      </x:c>
      <x:c r="K23" s="12" t="str">
        <x:v>47.0</x:v>
      </x:c>
      <x:c r="L23" s="12" t="str">
        <x:v>47.0</x:v>
      </x:c>
      <x:c r="M23" s="12" t="str">
        <x:v>True</x:v>
      </x:c>
      <x:c r="N23" s="12" t="str">
        <x:v>106</x:v>
      </x:c>
      <x:c r="O23" s="12" t="str">
        <x:v>106</x:v>
      </x:c>
      <x:c r="P23" s="16" t="str">
        <x:v>1.0</x:v>
      </x:c>
      <x:c r="Q23" s="12" t="str">
        <x:v>95</x:v>
      </x:c>
      <x:c r="R23" s="16" t="str">
        <x:v>0.8962264150943396</x:v>
      </x:c>
      <x:c r="S23" s="12" t="str">
        <x:v>0.2</x:v>
      </x:c>
      <x:c r="T23" s="12" t="str">
        <x:v>106</x:v>
      </x:c>
      <x:c r="U23" s="16" t="str">
        <x:v>1.0</x:v>
      </x:c>
      <x:c r="V23" s="18" t="str">
        <x:v>0.41835352778434753</x:v>
      </x:c>
      <x:c r="W23" s="18" t="str">
        <x:v>0.4978298842906952</x:v>
      </x:c>
      <x:c r="X23" s="18" t="str">
        <x:v>0.6402179598808289</x:v>
      </x:c>
      <x:c r="Y23" s="18" t="str">
        <x:v>0.641432523727417</x:v>
      </x:c>
      <x:c r="Z23" s="18" t="str">
        <x:v>0.8308261036872864</x:v>
      </x:c>
      <x:c r="AA23" s="18" t="str">
        <x:v>0.8802293539047241</x:v>
      </x:c>
      <x:c r="AB23" s="20" t="str">
        <x:v>102.3538000008557</x:v>
      </x:c>
      <x:c r="AC23" s="12" t="str">
        <x:v>overlays\angry_022.png</x:v>
      </x:c>
      <x:c r="AD23" s="12" t="str"/>
      <x:c r="AE23" s="12" t="str"/>
      <x:c r="AF23" s="12" t="str">
        <x:v>good</x:v>
      </x:c>
      <x:c r="AG23" s="12" t="n">
        <x:v>1</x:v>
      </x:c>
      <x:c r="AH23" s="12" t="str">
        <x:v>good</x:v>
      </x:c>
      <x:c r="AI23" s="12" t="str">
        <x:v>good</x:v>
      </x:c>
      <x:c r="AJ23" s="12" t="str">
        <x:v>good</x:v>
      </x:c>
      <x:c r="AK23" s="12" t="str">
        <x:v>good</x:v>
      </x:c>
      <x:c r="AL23" s="12" t="str">
        <x:v>none</x:v>
      </x:c>
      <x:c r="AM23" s="14" t="str">
        <x:v>Clear and well-aligned facial landmarks with no major pose, crop, or occlusion issue.</x:v>
      </x:c>
    </x:row>
    <x:row r="24" ht="30" customHeight="1">
      <x:c r="A24" s="12" t="str">
        <x:v>angry_023</x:v>
      </x:c>
      <x:c r="B24" s="12" t="str">
        <x:v>angry</x:v>
      </x:c>
      <x:c r="C24" s="14" t="str">
        <x:v>angry/Training_56643016.jpg</x:v>
      </x:c>
      <x:c r="D24" s="12" t="str">
        <x:v>2ff1df5aa29366d5250132f718697266d637c6f3566678037101887613d78154</x:v>
      </x:c>
      <x:c r="E24" s="12" t="str">
        <x:v>2ff1df5aa29366d5250132f718697266d637c6f3566678037101887613d78154</x:v>
      </x:c>
      <x:c r="F24" s="12" t="str">
        <x:v>True</x:v>
      </x:c>
      <x:c r="G24" s="12" t="str">
        <x:v>48</x:v>
      </x:c>
      <x:c r="H24" s="12" t="str">
        <x:v>48</x:v>
      </x:c>
      <x:c r="I24" s="12" t="str">
        <x:v>0.0</x:v>
      </x:c>
      <x:c r="J24" s="12" t="str">
        <x:v>0.0</x:v>
      </x:c>
      <x:c r="K24" s="12" t="str">
        <x:v>47.0</x:v>
      </x:c>
      <x:c r="L24" s="12" t="str">
        <x:v>47.0</x:v>
      </x:c>
      <x:c r="M24" s="12" t="str">
        <x:v>True</x:v>
      </x:c>
      <x:c r="N24" s="12" t="str">
        <x:v>106</x:v>
      </x:c>
      <x:c r="O24" s="12" t="str">
        <x:v>106</x:v>
      </x:c>
      <x:c r="P24" s="16" t="str">
        <x:v>1.0</x:v>
      </x:c>
      <x:c r="Q24" s="12" t="str">
        <x:v>97</x:v>
      </x:c>
      <x:c r="R24" s="16" t="str">
        <x:v>0.9150943396226415</x:v>
      </x:c>
      <x:c r="S24" s="12" t="str">
        <x:v>0.2</x:v>
      </x:c>
      <x:c r="T24" s="12" t="str">
        <x:v>106</x:v>
      </x:c>
      <x:c r="U24" s="16" t="str">
        <x:v>1.0</x:v>
      </x:c>
      <x:c r="V24" s="18" t="str">
        <x:v>0.24572549760341644</x:v>
      </x:c>
      <x:c r="W24" s="18" t="str">
        <x:v>0.38497085869312286</x:v>
      </x:c>
      <x:c r="X24" s="18" t="str">
        <x:v>0.6050071120262146</x:v>
      </x:c>
      <x:c r="Y24" s="18" t="str">
        <x:v>0.6096347570419312</x:v>
      </x:c>
      <x:c r="Z24" s="18" t="str">
        <x:v>0.8234133124351501</x:v>
      </x:c>
      <x:c r="AA24" s="18" t="str">
        <x:v>0.9068885445594788</x:v>
      </x:c>
      <x:c r="AB24" s="20" t="str">
        <x:v>101.32570000132546</x:v>
      </x:c>
      <x:c r="AC24" s="12" t="str">
        <x:v>overlays\angry_023.png</x:v>
      </x:c>
      <x:c r="AD24" s="12" t="str"/>
      <x:c r="AE24" s="12" t="str"/>
      <x:c r="AF24" s="12" t="str">
        <x:v>good</x:v>
      </x:c>
      <x:c r="AG24" s="12" t="n">
        <x:v>1</x:v>
      </x:c>
      <x:c r="AH24" s="12" t="str">
        <x:v>good</x:v>
      </x:c>
      <x:c r="AI24" s="12" t="str">
        <x:v>good</x:v>
      </x:c>
      <x:c r="AJ24" s="12" t="str">
        <x:v>good</x:v>
      </x:c>
      <x:c r="AK24" s="12" t="str">
        <x:v>good</x:v>
      </x:c>
      <x:c r="AL24" s="12" t="str">
        <x:v>none</x:v>
      </x:c>
      <x:c r="AM24" s="14" t="str">
        <x:v>Clear and well-aligned facial landmarks with no major pose, crop, or occlusion issue.</x:v>
      </x:c>
    </x:row>
    <x:row r="25" ht="30" customHeight="1">
      <x:c r="A25" s="12" t="str">
        <x:v>angry_024</x:v>
      </x:c>
      <x:c r="B25" s="12" t="str">
        <x:v>angry</x:v>
      </x:c>
      <x:c r="C25" s="14" t="str">
        <x:v>angry/Training_65912489.jpg</x:v>
      </x:c>
      <x:c r="D25" s="12" t="str">
        <x:v>37d0a0ce06f1c3e6d59bd74a7b22f4015c5952033f00e2e3185b5062b5478e88</x:v>
      </x:c>
      <x:c r="E25" s="12" t="str">
        <x:v>37d0a0ce06f1c3e6d59bd74a7b22f4015c5952033f00e2e3185b5062b5478e88</x:v>
      </x:c>
      <x:c r="F25" s="12" t="str">
        <x:v>True</x:v>
      </x:c>
      <x:c r="G25" s="12" t="str">
        <x:v>48</x:v>
      </x:c>
      <x:c r="H25" s="12" t="str">
        <x:v>48</x:v>
      </x:c>
      <x:c r="I25" s="12" t="str">
        <x:v>0.0</x:v>
      </x:c>
      <x:c r="J25" s="12" t="str">
        <x:v>0.0</x:v>
      </x:c>
      <x:c r="K25" s="12" t="str">
        <x:v>47.0</x:v>
      </x:c>
      <x:c r="L25" s="12" t="str">
        <x:v>47.0</x:v>
      </x:c>
      <x:c r="M25" s="12" t="str">
        <x:v>True</x:v>
      </x:c>
      <x:c r="N25" s="12" t="str">
        <x:v>106</x:v>
      </x:c>
      <x:c r="O25" s="12" t="str">
        <x:v>106</x:v>
      </x:c>
      <x:c r="P25" s="16" t="str">
        <x:v>1.0</x:v>
      </x:c>
      <x:c r="Q25" s="12" t="str">
        <x:v>98</x:v>
      </x:c>
      <x:c r="R25" s="16" t="str">
        <x:v>0.9245283018867925</x:v>
      </x:c>
      <x:c r="S25" s="12" t="str">
        <x:v>0.2</x:v>
      </x:c>
      <x:c r="T25" s="12" t="str">
        <x:v>106</x:v>
      </x:c>
      <x:c r="U25" s="16" t="str">
        <x:v>1.0</x:v>
      </x:c>
      <x:c r="V25" s="18" t="str">
        <x:v>0.3682713210582733</x:v>
      </x:c>
      <x:c r="W25" s="18" t="str">
        <x:v>0.4318019151687622</x:v>
      </x:c>
      <x:c r="X25" s="18" t="str">
        <x:v>0.6247968077659607</x:v>
      </x:c>
      <x:c r="Y25" s="18" t="str">
        <x:v>0.6153525114059448</x:v>
      </x:c>
      <x:c r="Z25" s="18" t="str">
        <x:v>0.8230211734771729</x:v>
      </x:c>
      <x:c r="AA25" s="18" t="str">
        <x:v>0.9030215740203857</x:v>
      </x:c>
      <x:c r="AB25" s="20" t="str">
        <x:v>98.93560000273283</x:v>
      </x:c>
      <x:c r="AC25" s="12" t="str">
        <x:v>overlays\angry_024.png</x:v>
      </x:c>
      <x:c r="AD25" s="12" t="str"/>
      <x:c r="AE25" s="12" t="str"/>
      <x:c r="AF25" s="12" t="str">
        <x:v>good</x:v>
      </x:c>
      <x:c r="AG25" s="12" t="n">
        <x:v>1</x:v>
      </x:c>
      <x:c r="AH25" s="12" t="str">
        <x:v>good</x:v>
      </x:c>
      <x:c r="AI25" s="12" t="str">
        <x:v>good</x:v>
      </x:c>
      <x:c r="AJ25" s="12" t="str">
        <x:v>good</x:v>
      </x:c>
      <x:c r="AK25" s="12" t="str">
        <x:v>good</x:v>
      </x:c>
      <x:c r="AL25" s="12" t="str">
        <x:v>none</x:v>
      </x:c>
      <x:c r="AM25" s="14" t="str">
        <x:v>Clear and well-aligned facial landmarks with no major pose, crop, or occlusion issue.</x:v>
      </x:c>
    </x:row>
    <x:row r="26" ht="30" customHeight="1">
      <x:c r="A26" s="12" t="str">
        <x:v>angry_025</x:v>
      </x:c>
      <x:c r="B26" s="12" t="str">
        <x:v>angry</x:v>
      </x:c>
      <x:c r="C26" s="14" t="str">
        <x:v>angry/Training_12776681.jpg</x:v>
      </x:c>
      <x:c r="D26" s="12" t="str">
        <x:v>db32a7cc85c28bccb6b76d907bb537ccd1c6bae9a622a79427faf433440b1b32</x:v>
      </x:c>
      <x:c r="E26" s="12" t="str">
        <x:v>db32a7cc85c28bccb6b76d907bb537ccd1c6bae9a622a79427faf433440b1b32</x:v>
      </x:c>
      <x:c r="F26" s="12" t="str">
        <x:v>True</x:v>
      </x:c>
      <x:c r="G26" s="12" t="str">
        <x:v>48</x:v>
      </x:c>
      <x:c r="H26" s="12" t="str">
        <x:v>48</x:v>
      </x:c>
      <x:c r="I26" s="12" t="str">
        <x:v>0.0</x:v>
      </x:c>
      <x:c r="J26" s="12" t="str">
        <x:v>0.0</x:v>
      </x:c>
      <x:c r="K26" s="12" t="str">
        <x:v>47.0</x:v>
      </x:c>
      <x:c r="L26" s="12" t="str">
        <x:v>47.0</x:v>
      </x:c>
      <x:c r="M26" s="12" t="str">
        <x:v>True</x:v>
      </x:c>
      <x:c r="N26" s="12" t="str">
        <x:v>106</x:v>
      </x:c>
      <x:c r="O26" s="12" t="str">
        <x:v>106</x:v>
      </x:c>
      <x:c r="P26" s="16" t="str">
        <x:v>1.0</x:v>
      </x:c>
      <x:c r="Q26" s="12" t="str">
        <x:v>98</x:v>
      </x:c>
      <x:c r="R26" s="16" t="str">
        <x:v>0.9245283018867925</x:v>
      </x:c>
      <x:c r="S26" s="12" t="str">
        <x:v>0.2</x:v>
      </x:c>
      <x:c r="T26" s="12" t="str">
        <x:v>106</x:v>
      </x:c>
      <x:c r="U26" s="16" t="str">
        <x:v>1.0</x:v>
      </x:c>
      <x:c r="V26" s="18" t="str">
        <x:v>0.32438844442367554</x:v>
      </x:c>
      <x:c r="W26" s="18" t="str">
        <x:v>0.4034554064273834</x:v>
      </x:c>
      <x:c r="X26" s="18" t="str">
        <x:v>0.6392806172370911</x:v>
      </x:c>
      <x:c r="Y26" s="18" t="str">
        <x:v>0.6287158727645874</x:v>
      </x:c>
      <x:c r="Z26" s="18" t="str">
        <x:v>0.879963219165802</x:v>
      </x:c>
      <x:c r="AA26" s="18" t="str">
        <x:v>1.006812572479248</x:v>
      </x:c>
      <x:c r="AB26" s="20" t="str">
        <x:v>98.28819999893312</x:v>
      </x:c>
      <x:c r="AC26" s="12" t="str">
        <x:v>overlays\angry_025.png</x:v>
      </x:c>
      <x:c r="AD26" s="12" t="str"/>
      <x:c r="AE26" s="12" t="str"/>
      <x:c r="AF26" s="12" t="str">
        <x:v>good</x:v>
      </x:c>
      <x:c r="AG26" s="12" t="n">
        <x:v>1</x:v>
      </x:c>
      <x:c r="AH26" s="12" t="str">
        <x:v>good</x:v>
      </x:c>
      <x:c r="AI26" s="12" t="str">
        <x:v>good</x:v>
      </x:c>
      <x:c r="AJ26" s="12" t="str">
        <x:v>good</x:v>
      </x:c>
      <x:c r="AK26" s="12" t="str">
        <x:v>good</x:v>
      </x:c>
      <x:c r="AL26" s="12" t="str">
        <x:v>none</x:v>
      </x:c>
      <x:c r="AM26" s="14" t="str">
        <x:v>Clear and well-aligned facial landmarks with no major pose, crop, or occlusion issue.</x:v>
      </x:c>
    </x:row>
    <x:row r="27" ht="30" customHeight="1">
      <x:c r="A27" s="12" t="str">
        <x:v>angry_026</x:v>
      </x:c>
      <x:c r="B27" s="12" t="str">
        <x:v>angry</x:v>
      </x:c>
      <x:c r="C27" s="14" t="str">
        <x:v>angry/Training_62427202.jpg</x:v>
      </x:c>
      <x:c r="D27" s="12" t="str">
        <x:v>9503b21d6ec06437fb0d8f7e2ae97ed8bf07d27f5194da9e6335d72d9581e85f</x:v>
      </x:c>
      <x:c r="E27" s="12" t="str">
        <x:v>9503b21d6ec06437fb0d8f7e2ae97ed8bf07d27f5194da9e6335d72d9581e85f</x:v>
      </x:c>
      <x:c r="F27" s="12" t="str">
        <x:v>True</x:v>
      </x:c>
      <x:c r="G27" s="12" t="str">
        <x:v>48</x:v>
      </x:c>
      <x:c r="H27" s="12" t="str">
        <x:v>48</x:v>
      </x:c>
      <x:c r="I27" s="12" t="str">
        <x:v>0.0</x:v>
      </x:c>
      <x:c r="J27" s="12" t="str">
        <x:v>0.0</x:v>
      </x:c>
      <x:c r="K27" s="12" t="str">
        <x:v>47.0</x:v>
      </x:c>
      <x:c r="L27" s="12" t="str">
        <x:v>47.0</x:v>
      </x:c>
      <x:c r="M27" s="12" t="str">
        <x:v>True</x:v>
      </x:c>
      <x:c r="N27" s="12" t="str">
        <x:v>106</x:v>
      </x:c>
      <x:c r="O27" s="12" t="str">
        <x:v>106</x:v>
      </x:c>
      <x:c r="P27" s="16" t="str">
        <x:v>1.0</x:v>
      </x:c>
      <x:c r="Q27" s="12" t="str">
        <x:v>102</x:v>
      </x:c>
      <x:c r="R27" s="16" t="str">
        <x:v>0.9622641509433962</x:v>
      </x:c>
      <x:c r="S27" s="12" t="str">
        <x:v>0.2</x:v>
      </x:c>
      <x:c r="T27" s="12" t="str">
        <x:v>106</x:v>
      </x:c>
      <x:c r="U27" s="16" t="str">
        <x:v>1.0</x:v>
      </x:c>
      <x:c r="V27" s="18" t="str">
        <x:v>0.5060969591140747</x:v>
      </x:c>
      <x:c r="W27" s="18" t="str">
        <x:v>0.5491370558738708</x:v>
      </x:c>
      <x:c r="X27" s="18" t="str">
        <x:v>0.7169069051742554</x:v>
      </x:c>
      <x:c r="Y27" s="18" t="str">
        <x:v>0.7229300141334534</x:v>
      </x:c>
      <x:c r="Z27" s="18" t="str">
        <x:v>0.8976997137069702</x:v>
      </x:c>
      <x:c r="AA27" s="18" t="str">
        <x:v>0.9627712965011597</x:v>
      </x:c>
      <x:c r="AB27" s="20" t="str">
        <x:v>103.4362999998848</x:v>
      </x:c>
      <x:c r="AC27" s="12" t="str">
        <x:v>overlays\angry_026.png</x:v>
      </x:c>
      <x:c r="AD27" s="12" t="str"/>
      <x:c r="AE27" s="12" t="str"/>
      <x:c r="AF27" s="12" t="str">
        <x:v>good</x:v>
      </x:c>
      <x:c r="AG27" s="12" t="n">
        <x:v>1</x:v>
      </x:c>
      <x:c r="AH27" s="12" t="str">
        <x:v>good</x:v>
      </x:c>
      <x:c r="AI27" s="12" t="str">
        <x:v>good</x:v>
      </x:c>
      <x:c r="AJ27" s="12" t="str">
        <x:v>good</x:v>
      </x:c>
      <x:c r="AK27" s="12" t="str">
        <x:v>not_applicable</x:v>
      </x:c>
      <x:c r="AL27" s="12" t="str">
        <x:v>none</x:v>
      </x:c>
      <x:c r="AM27" s="14" t="str">
        <x:v>Clear and well-aligned facial landmarks with no major pose, crop, or occlusion issue.</x:v>
      </x:c>
    </x:row>
    <x:row r="28" ht="30" customHeight="1">
      <x:c r="A28" s="12" t="str">
        <x:v>angry_027</x:v>
      </x:c>
      <x:c r="B28" s="12" t="str">
        <x:v>angry</x:v>
      </x:c>
      <x:c r="C28" s="14" t="str">
        <x:v>angry/Training_28275568.jpg</x:v>
      </x:c>
      <x:c r="D28" s="12" t="str">
        <x:v>068c11ea7d96a1e3407e914e0702aa3efdc472691dd0135ca7f99958ef733410</x:v>
      </x:c>
      <x:c r="E28" s="12" t="str">
        <x:v>068c11ea7d96a1e3407e914e0702aa3efdc472691dd0135ca7f99958ef733410</x:v>
      </x:c>
      <x:c r="F28" s="12" t="str">
        <x:v>True</x:v>
      </x:c>
      <x:c r="G28" s="12" t="str">
        <x:v>48</x:v>
      </x:c>
      <x:c r="H28" s="12" t="str">
        <x:v>48</x:v>
      </x:c>
      <x:c r="I28" s="12" t="str">
        <x:v>0.0</x:v>
      </x:c>
      <x:c r="J28" s="12" t="str">
        <x:v>0.0</x:v>
      </x:c>
      <x:c r="K28" s="12" t="str">
        <x:v>47.0</x:v>
      </x:c>
      <x:c r="L28" s="12" t="str">
        <x:v>47.0</x:v>
      </x:c>
      <x:c r="M28" s="12" t="str">
        <x:v>True</x:v>
      </x:c>
      <x:c r="N28" s="12" t="str">
        <x:v>106</x:v>
      </x:c>
      <x:c r="O28" s="12" t="str">
        <x:v>106</x:v>
      </x:c>
      <x:c r="P28" s="16" t="str">
        <x:v>1.0</x:v>
      </x:c>
      <x:c r="Q28" s="12" t="str">
        <x:v>100</x:v>
      </x:c>
      <x:c r="R28" s="16" t="str">
        <x:v>0.9433962264150944</x:v>
      </x:c>
      <x:c r="S28" s="12" t="str">
        <x:v>0.2</x:v>
      </x:c>
      <x:c r="T28" s="12" t="str">
        <x:v>106</x:v>
      </x:c>
      <x:c r="U28" s="16" t="str">
        <x:v>1.0</x:v>
      </x:c>
      <x:c r="V28" s="18" t="str">
        <x:v>0.21328860521316528</x:v>
      </x:c>
      <x:c r="W28" s="18" t="str">
        <x:v>0.388449564576149</x:v>
      </x:c>
      <x:c r="X28" s="18" t="str">
        <x:v>0.5588490962982178</x:v>
      </x:c>
      <x:c r="Y28" s="18" t="str">
        <x:v>0.5764822363853455</x:v>
      </x:c>
      <x:c r="Z28" s="18" t="str">
        <x:v>0.6948537826538086</x:v>
      </x:c>
      <x:c r="AA28" s="18" t="str">
        <x:v>0.7552006244659424</x:v>
      </x:c>
      <x:c r="AB28" s="20" t="str">
        <x:v>122.8166999972018</x:v>
      </x:c>
      <x:c r="AC28" s="12" t="str">
        <x:v>overlays\angry_027.png</x:v>
      </x:c>
      <x:c r="AD28" s="12" t="str"/>
      <x:c r="AE28" s="12" t="str"/>
      <x:c r="AF28" s="12" t="str">
        <x:v>acceptable</x:v>
      </x:c>
      <x:c r="AG28" s="12" t="n">
        <x:v>1</x:v>
      </x:c>
      <x:c r="AH28" s="12" t="str">
        <x:v>acceptable</x:v>
      </x:c>
      <x:c r="AI28" s="12" t="str">
        <x:v>acceptable</x:v>
      </x:c>
      <x:c r="AJ28" s="12" t="str">
        <x:v>acceptable</x:v>
      </x:c>
      <x:c r="AK28" s="12" t="str">
        <x:v>not_applicable</x:v>
      </x:c>
      <x:c r="AL28" s="12" t="str">
        <x:v>mild</x:v>
      </x:c>
      <x:c r="AM28" s="14" t="str">
        <x:v>Large pose or profile; visible landmarks are useful, while hidden-side contour points are inferred.</x:v>
      </x:c>
    </x:row>
    <x:row r="29" ht="30" customHeight="1">
      <x:c r="A29" s="12" t="str">
        <x:v>angry_028</x:v>
      </x:c>
      <x:c r="B29" s="12" t="str">
        <x:v>angry</x:v>
      </x:c>
      <x:c r="C29" s="14" t="str">
        <x:v>angry/Training_76878533.jpg</x:v>
      </x:c>
      <x:c r="D29" s="12" t="str">
        <x:v>8c4907a43c971e372391f3e54cfb3851fcb9cd934a0e8b89e05b647e4f8e72b7</x:v>
      </x:c>
      <x:c r="E29" s="12" t="str">
        <x:v>8c4907a43c971e372391f3e54cfb3851fcb9cd934a0e8b89e05b647e4f8e72b7</x:v>
      </x:c>
      <x:c r="F29" s="12" t="str">
        <x:v>True</x:v>
      </x:c>
      <x:c r="G29" s="12" t="str">
        <x:v>48</x:v>
      </x:c>
      <x:c r="H29" s="12" t="str">
        <x:v>48</x:v>
      </x:c>
      <x:c r="I29" s="12" t="str">
        <x:v>0.0</x:v>
      </x:c>
      <x:c r="J29" s="12" t="str">
        <x:v>0.0</x:v>
      </x:c>
      <x:c r="K29" s="12" t="str">
        <x:v>47.0</x:v>
      </x:c>
      <x:c r="L29" s="12" t="str">
        <x:v>47.0</x:v>
      </x:c>
      <x:c r="M29" s="12" t="str">
        <x:v>True</x:v>
      </x:c>
      <x:c r="N29" s="12" t="str">
        <x:v>106</x:v>
      </x:c>
      <x:c r="O29" s="12" t="str">
        <x:v>106</x:v>
      </x:c>
      <x:c r="P29" s="16" t="str">
        <x:v>1.0</x:v>
      </x:c>
      <x:c r="Q29" s="12" t="str">
        <x:v>93</x:v>
      </x:c>
      <x:c r="R29" s="16" t="str">
        <x:v>0.8773584905660378</x:v>
      </x:c>
      <x:c r="S29" s="12" t="str">
        <x:v>0.2</x:v>
      </x:c>
      <x:c r="T29" s="12" t="str">
        <x:v>106</x:v>
      </x:c>
      <x:c r="U29" s="16" t="str">
        <x:v>1.0</x:v>
      </x:c>
      <x:c r="V29" s="18" t="str">
        <x:v>0.5688790082931519</x:v>
      </x:c>
      <x:c r="W29" s="18" t="str">
        <x:v>0.6136542558670044</x:v>
      </x:c>
      <x:c r="X29" s="18" t="str">
        <x:v>0.7318601012229919</x:v>
      </x:c>
      <x:c r="Y29" s="18" t="str">
        <x:v>0.7169807553291321</x:v>
      </x:c>
      <x:c r="Z29" s="18" t="str">
        <x:v>0.8894237875938416</x:v>
      </x:c>
      <x:c r="AA29" s="18" t="str">
        <x:v>0.9640306830406189</x:v>
      </x:c>
      <x:c r="AB29" s="20" t="str">
        <x:v>101.95150000072317</x:v>
      </x:c>
      <x:c r="AC29" s="12" t="str">
        <x:v>overlays\angry_028.png</x:v>
      </x:c>
      <x:c r="AD29" s="12" t="str"/>
      <x:c r="AE29" s="12" t="str"/>
      <x:c r="AF29" s="12" t="str">
        <x:v>acceptable</x:v>
      </x:c>
      <x:c r="AG29" s="12" t="n">
        <x:v>1</x:v>
      </x:c>
      <x:c r="AH29" s="12" t="str">
        <x:v>acceptable</x:v>
      </x:c>
      <x:c r="AI29" s="12" t="str">
        <x:v>acceptable</x:v>
      </x:c>
      <x:c r="AJ29" s="12" t="str">
        <x:v>acceptable</x:v>
      </x:c>
      <x:c r="AK29" s="12" t="str">
        <x:v>not_applicable</x:v>
      </x:c>
      <x:c r="AL29" s="12" t="str">
        <x:v>mild</x:v>
      </x:c>
      <x:c r="AM29" s="14" t="str">
        <x:v>Moderate pose, crop, or image degradation causes minor landmark uncertainty; the result remains usable.</x:v>
      </x:c>
    </x:row>
    <x:row r="30" ht="30" customHeight="1">
      <x:c r="A30" s="12" t="str">
        <x:v>angry_029</x:v>
      </x:c>
      <x:c r="B30" s="12" t="str">
        <x:v>angry</x:v>
      </x:c>
      <x:c r="C30" s="14" t="str">
        <x:v>angry/Training_70583545.jpg</x:v>
      </x:c>
      <x:c r="D30" s="12" t="str">
        <x:v>237d6d4f1eb263de9e2bc3f87528520b6b1dc6fa4c77037d51845f1a0e678e4c</x:v>
      </x:c>
      <x:c r="E30" s="12" t="str">
        <x:v>237d6d4f1eb263de9e2bc3f87528520b6b1dc6fa4c77037d51845f1a0e678e4c</x:v>
      </x:c>
      <x:c r="F30" s="12" t="str">
        <x:v>True</x:v>
      </x:c>
      <x:c r="G30" s="12" t="str">
        <x:v>48</x:v>
      </x:c>
      <x:c r="H30" s="12" t="str">
        <x:v>48</x:v>
      </x:c>
      <x:c r="I30" s="12" t="str">
        <x:v>0.0</x:v>
      </x:c>
      <x:c r="J30" s="12" t="str">
        <x:v>0.0</x:v>
      </x:c>
      <x:c r="K30" s="12" t="str">
        <x:v>47.0</x:v>
      </x:c>
      <x:c r="L30" s="12" t="str">
        <x:v>47.0</x:v>
      </x:c>
      <x:c r="M30" s="12" t="str">
        <x:v>True</x:v>
      </x:c>
      <x:c r="N30" s="12" t="str">
        <x:v>106</x:v>
      </x:c>
      <x:c r="O30" s="12" t="str">
        <x:v>106</x:v>
      </x:c>
      <x:c r="P30" s="16" t="str">
        <x:v>1.0</x:v>
      </x:c>
      <x:c r="Q30" s="12" t="str">
        <x:v>106</x:v>
      </x:c>
      <x:c r="R30" s="16" t="str">
        <x:v>1.0</x:v>
      </x:c>
      <x:c r="S30" s="12" t="str">
        <x:v>0.2</x:v>
      </x:c>
      <x:c r="T30" s="12" t="str">
        <x:v>106</x:v>
      </x:c>
      <x:c r="U30" s="16" t="str">
        <x:v>1.0</x:v>
      </x:c>
      <x:c r="V30" s="18" t="str">
        <x:v>0.5424110889434814</x:v>
      </x:c>
      <x:c r="W30" s="18" t="str">
        <x:v>0.575640082359314</x:v>
      </x:c>
      <x:c r="X30" s="18" t="str">
        <x:v>0.6839155554771423</x:v>
      </x:c>
      <x:c r="Y30" s="18" t="str">
        <x:v>0.6716270446777344</x:v>
      </x:c>
      <x:c r="Z30" s="18" t="str">
        <x:v>0.7772148549556732</x:v>
      </x:c>
      <x:c r="AA30" s="18" t="str">
        <x:v>0.9056448340415955</x:v>
      </x:c>
      <x:c r="AB30" s="20" t="str">
        <x:v>100.66960000040126</x:v>
      </x:c>
      <x:c r="AC30" s="12" t="str">
        <x:v>overlays\angry_029.png</x:v>
      </x:c>
      <x:c r="AD30" s="12" t="str"/>
      <x:c r="AE30" s="12" t="str"/>
      <x:c r="AF30" s="12" t="str">
        <x:v>good</x:v>
      </x:c>
      <x:c r="AG30" s="12" t="n">
        <x:v>1</x:v>
      </x:c>
      <x:c r="AH30" s="12" t="str">
        <x:v>good</x:v>
      </x:c>
      <x:c r="AI30" s="12" t="str">
        <x:v>good</x:v>
      </x:c>
      <x:c r="AJ30" s="12" t="str">
        <x:v>good</x:v>
      </x:c>
      <x:c r="AK30" s="12" t="str">
        <x:v>not_applicable</x:v>
      </x:c>
      <x:c r="AL30" s="12" t="str">
        <x:v>none</x:v>
      </x:c>
      <x:c r="AM30" s="14" t="str">
        <x:v>Clear and well-aligned facial landmarks with no major pose, crop, or occlusion issue.</x:v>
      </x:c>
    </x:row>
    <x:row r="31" ht="30" customHeight="1">
      <x:c r="A31" s="12" t="str">
        <x:v>angry_030</x:v>
      </x:c>
      <x:c r="B31" s="12" t="str">
        <x:v>angry</x:v>
      </x:c>
      <x:c r="C31" s="14" t="str">
        <x:v>angry/Training_75201127.jpg</x:v>
      </x:c>
      <x:c r="D31" s="12" t="str">
        <x:v>d5d53285050042a7060eb92b7850608c237099e0abfed849629dfac554e9983a</x:v>
      </x:c>
      <x:c r="E31" s="12" t="str">
        <x:v>d5d53285050042a7060eb92b7850608c237099e0abfed849629dfac554e9983a</x:v>
      </x:c>
      <x:c r="F31" s="12" t="str">
        <x:v>True</x:v>
      </x:c>
      <x:c r="G31" s="12" t="str">
        <x:v>48</x:v>
      </x:c>
      <x:c r="H31" s="12" t="str">
        <x:v>48</x:v>
      </x:c>
      <x:c r="I31" s="12" t="str">
        <x:v>0.0</x:v>
      </x:c>
      <x:c r="J31" s="12" t="str">
        <x:v>0.0</x:v>
      </x:c>
      <x:c r="K31" s="12" t="str">
        <x:v>47.0</x:v>
      </x:c>
      <x:c r="L31" s="12" t="str">
        <x:v>47.0</x:v>
      </x:c>
      <x:c r="M31" s="12" t="str">
        <x:v>True</x:v>
      </x:c>
      <x:c r="N31" s="12" t="str">
        <x:v>106</x:v>
      </x:c>
      <x:c r="O31" s="12" t="str">
        <x:v>106</x:v>
      </x:c>
      <x:c r="P31" s="16" t="str">
        <x:v>1.0</x:v>
      </x:c>
      <x:c r="Q31" s="12" t="str">
        <x:v>102</x:v>
      </x:c>
      <x:c r="R31" s="16" t="str">
        <x:v>0.9622641509433962</x:v>
      </x:c>
      <x:c r="S31" s="12" t="str">
        <x:v>0.2</x:v>
      </x:c>
      <x:c r="T31" s="12" t="str">
        <x:v>106</x:v>
      </x:c>
      <x:c r="U31" s="16" t="str">
        <x:v>1.0</x:v>
      </x:c>
      <x:c r="V31" s="18" t="str">
        <x:v>0.37388914823532104</x:v>
      </x:c>
      <x:c r="W31" s="18" t="str">
        <x:v>0.46830886602401733</x:v>
      </x:c>
      <x:c r="X31" s="18" t="str">
        <x:v>0.6918883323669434</x:v>
      </x:c>
      <x:c r="Y31" s="18" t="str">
        <x:v>0.6703958511352539</x:v>
      </x:c>
      <x:c r="Z31" s="18" t="str">
        <x:v>0.9350553452968597</x:v>
      </x:c>
      <x:c r="AA31" s="18" t="str">
        <x:v>0.9852771759033203</x:v>
      </x:c>
      <x:c r="AB31" s="20" t="str">
        <x:v>106.45029999795952</x:v>
      </x:c>
      <x:c r="AC31" s="12" t="str">
        <x:v>overlays\angry_030.png</x:v>
      </x:c>
      <x:c r="AD31" s="12" t="str"/>
      <x:c r="AE31" s="12" t="str"/>
      <x:c r="AF31" s="12" t="str">
        <x:v>good</x:v>
      </x:c>
      <x:c r="AG31" s="12" t="n">
        <x:v>1</x:v>
      </x:c>
      <x:c r="AH31" s="12" t="str">
        <x:v>good</x:v>
      </x:c>
      <x:c r="AI31" s="12" t="str">
        <x:v>good</x:v>
      </x:c>
      <x:c r="AJ31" s="12" t="str">
        <x:v>good</x:v>
      </x:c>
      <x:c r="AK31" s="12" t="str">
        <x:v>not_applicable</x:v>
      </x:c>
      <x:c r="AL31" s="12" t="str">
        <x:v>none</x:v>
      </x:c>
      <x:c r="AM31" s="14" t="str">
        <x:v>Clear and well-aligned facial landmarks with no major pose, crop, or occlusion issue.</x:v>
      </x:c>
    </x:row>
    <x:row r="32" ht="30" customHeight="1">
      <x:c r="A32" s="12" t="str">
        <x:v>angry_031</x:v>
      </x:c>
      <x:c r="B32" s="12" t="str">
        <x:v>angry</x:v>
      </x:c>
      <x:c r="C32" s="14" t="str">
        <x:v>angry/Training_60381974.jpg</x:v>
      </x:c>
      <x:c r="D32" s="12" t="str">
        <x:v>a0b692d437badcbd05fb977d3d2a63f0bf56a55d27b432e36bf05ab4b9b3aec6</x:v>
      </x:c>
      <x:c r="E32" s="12" t="str">
        <x:v>a0b692d437badcbd05fb977d3d2a63f0bf56a55d27b432e36bf05ab4b9b3aec6</x:v>
      </x:c>
      <x:c r="F32" s="12" t="str">
        <x:v>True</x:v>
      </x:c>
      <x:c r="G32" s="12" t="str">
        <x:v>48</x:v>
      </x:c>
      <x:c r="H32" s="12" t="str">
        <x:v>48</x:v>
      </x:c>
      <x:c r="I32" s="12" t="str">
        <x:v>0.0</x:v>
      </x:c>
      <x:c r="J32" s="12" t="str">
        <x:v>0.0</x:v>
      </x:c>
      <x:c r="K32" s="12" t="str">
        <x:v>47.0</x:v>
      </x:c>
      <x:c r="L32" s="12" t="str">
        <x:v>47.0</x:v>
      </x:c>
      <x:c r="M32" s="12" t="str">
        <x:v>True</x:v>
      </x:c>
      <x:c r="N32" s="12" t="str">
        <x:v>106</x:v>
      </x:c>
      <x:c r="O32" s="12" t="str">
        <x:v>106</x:v>
      </x:c>
      <x:c r="P32" s="16" t="str">
        <x:v>1.0</x:v>
      </x:c>
      <x:c r="Q32" s="12" t="str">
        <x:v>101</x:v>
      </x:c>
      <x:c r="R32" s="16" t="str">
        <x:v>0.9528301886792453</x:v>
      </x:c>
      <x:c r="S32" s="12" t="str">
        <x:v>0.2</x:v>
      </x:c>
      <x:c r="T32" s="12" t="str">
        <x:v>106</x:v>
      </x:c>
      <x:c r="U32" s="16" t="str">
        <x:v>1.0</x:v>
      </x:c>
      <x:c r="V32" s="18" t="str">
        <x:v>0.42060449719429016</x:v>
      </x:c>
      <x:c r="W32" s="18" t="str">
        <x:v>0.4695335030555725</x:v>
      </x:c>
      <x:c r="X32" s="18" t="str">
        <x:v>0.5606422424316406</x:v>
      </x:c>
      <x:c r="Y32" s="18" t="str">
        <x:v>0.5611135363578796</x:v>
      </x:c>
      <x:c r="Z32" s="18" t="str">
        <x:v>0.6562268733978271</x:v>
      </x:c>
      <x:c r="AA32" s="18" t="str">
        <x:v>0.7485833764076233</x:v>
      </x:c>
      <x:c r="AB32" s="20" t="str">
        <x:v>107.90000000270084</x:v>
      </x:c>
      <x:c r="AC32" s="12" t="str">
        <x:v>overlays\angry_031.png</x:v>
      </x:c>
      <x:c r="AD32" s="12" t="str"/>
      <x:c r="AE32" s="12" t="str"/>
      <x:c r="AF32" s="12" t="str">
        <x:v>good</x:v>
      </x:c>
      <x:c r="AG32" s="12" t="n">
        <x:v>1</x:v>
      </x:c>
      <x:c r="AH32" s="12" t="str">
        <x:v>good</x:v>
      </x:c>
      <x:c r="AI32" s="12" t="str">
        <x:v>good</x:v>
      </x:c>
      <x:c r="AJ32" s="12" t="str">
        <x:v>good</x:v>
      </x:c>
      <x:c r="AK32" s="12" t="str">
        <x:v>not_applicable</x:v>
      </x:c>
      <x:c r="AL32" s="12" t="str">
        <x:v>none</x:v>
      </x:c>
      <x:c r="AM32" s="14" t="str">
        <x:v>Clear and well-aligned facial landmarks with no major pose, crop, or occlusion issue.</x:v>
      </x:c>
    </x:row>
    <x:row r="33" ht="30" customHeight="1">
      <x:c r="A33" s="12" t="str">
        <x:v>angry_032</x:v>
      </x:c>
      <x:c r="B33" s="12" t="str">
        <x:v>angry</x:v>
      </x:c>
      <x:c r="C33" s="14" t="str">
        <x:v>angry/Training_48608241.jpg</x:v>
      </x:c>
      <x:c r="D33" s="12" t="str">
        <x:v>5e58857dac2a4d90d279489e5209b98fa18cccbf59de1c56f8a51fbf09459299</x:v>
      </x:c>
      <x:c r="E33" s="12" t="str">
        <x:v>5e58857dac2a4d90d279489e5209b98fa18cccbf59de1c56f8a51fbf09459299</x:v>
      </x:c>
      <x:c r="F33" s="12" t="str">
        <x:v>True</x:v>
      </x:c>
      <x:c r="G33" s="12" t="str">
        <x:v>48</x:v>
      </x:c>
      <x:c r="H33" s="12" t="str">
        <x:v>48</x:v>
      </x:c>
      <x:c r="I33" s="12" t="str">
        <x:v>0.0</x:v>
      </x:c>
      <x:c r="J33" s="12" t="str">
        <x:v>0.0</x:v>
      </x:c>
      <x:c r="K33" s="12" t="str">
        <x:v>47.0</x:v>
      </x:c>
      <x:c r="L33" s="12" t="str">
        <x:v>47.0</x:v>
      </x:c>
      <x:c r="M33" s="12" t="str">
        <x:v>True</x:v>
      </x:c>
      <x:c r="N33" s="12" t="str">
        <x:v>106</x:v>
      </x:c>
      <x:c r="O33" s="12" t="str">
        <x:v>106</x:v>
      </x:c>
      <x:c r="P33" s="16" t="str">
        <x:v>1.0</x:v>
      </x:c>
      <x:c r="Q33" s="12" t="str">
        <x:v>102</x:v>
      </x:c>
      <x:c r="R33" s="16" t="str">
        <x:v>0.9622641509433962</x:v>
      </x:c>
      <x:c r="S33" s="12" t="str">
        <x:v>0.2</x:v>
      </x:c>
      <x:c r="T33" s="12" t="str">
        <x:v>98</x:v>
      </x:c>
      <x:c r="U33" s="16" t="str">
        <x:v>0.9245283018867925</x:v>
      </x:c>
      <x:c r="V33" s="18" t="str">
        <x:v>0.1027693897485733</x:v>
      </x:c>
      <x:c r="W33" s="18" t="str">
        <x:v>0.2877485454082489</x:v>
      </x:c>
      <x:c r="X33" s="18" t="str">
        <x:v>0.510081946849823</x:v>
      </x:c>
      <x:c r="Y33" s="18" t="str">
        <x:v>0.5843455195426941</x:v>
      </x:c>
      <x:c r="Z33" s="18" t="str">
        <x:v>0.719568520784378</x:v>
      </x:c>
      <x:c r="AA33" s="18" t="str">
        <x:v>0.7842228412628174</x:v>
      </x:c>
      <x:c r="AB33" s="20" t="str">
        <x:v>98.89259999908973</x:v>
      </x:c>
      <x:c r="AC33" s="12" t="str">
        <x:v>overlays\angry_032.png</x:v>
      </x:c>
      <x:c r="AD33" s="12" t="str"/>
      <x:c r="AE33" s="12" t="str"/>
      <x:c r="AF33" s="12" t="str">
        <x:v>acceptable</x:v>
      </x:c>
      <x:c r="AG33" s="12" t="n">
        <x:v>1</x:v>
      </x:c>
      <x:c r="AH33" s="12" t="str">
        <x:v>acceptable</x:v>
      </x:c>
      <x:c r="AI33" s="12" t="str">
        <x:v>acceptable</x:v>
      </x:c>
      <x:c r="AJ33" s="12" t="str">
        <x:v>acceptable</x:v>
      </x:c>
      <x:c r="AK33" s="12" t="str">
        <x:v>not_applicable</x:v>
      </x:c>
      <x:c r="AL33" s="12" t="str">
        <x:v>mild</x:v>
      </x:c>
      <x:c r="AM33" s="14" t="str">
        <x:v>Blur, low contrast, or unusual appearance lowers confidence, but the landmark geometry remains usable.</x:v>
      </x:c>
    </x:row>
    <x:row r="34" ht="30" customHeight="1">
      <x:c r="A34" s="12" t="str">
        <x:v>angry_033</x:v>
      </x:c>
      <x:c r="B34" s="12" t="str">
        <x:v>angry</x:v>
      </x:c>
      <x:c r="C34" s="14" t="str">
        <x:v>angry/Training_30292119.jpg</x:v>
      </x:c>
      <x:c r="D34" s="12" t="str">
        <x:v>16112807e1e8915be9ce1c31190afc8ef8f1b82dc3bce62de7da5f8efb348a8c</x:v>
      </x:c>
      <x:c r="E34" s="12" t="str">
        <x:v>16112807e1e8915be9ce1c31190afc8ef8f1b82dc3bce62de7da5f8efb348a8c</x:v>
      </x:c>
      <x:c r="F34" s="12" t="str">
        <x:v>True</x:v>
      </x:c>
      <x:c r="G34" s="12" t="str">
        <x:v>48</x:v>
      </x:c>
      <x:c r="H34" s="12" t="str">
        <x:v>48</x:v>
      </x:c>
      <x:c r="I34" s="12" t="str">
        <x:v>0.0</x:v>
      </x:c>
      <x:c r="J34" s="12" t="str">
        <x:v>0.0</x:v>
      </x:c>
      <x:c r="K34" s="12" t="str">
        <x:v>47.0</x:v>
      </x:c>
      <x:c r="L34" s="12" t="str">
        <x:v>47.0</x:v>
      </x:c>
      <x:c r="M34" s="12" t="str">
        <x:v>True</x:v>
      </x:c>
      <x:c r="N34" s="12" t="str">
        <x:v>106</x:v>
      </x:c>
      <x:c r="O34" s="12" t="str">
        <x:v>106</x:v>
      </x:c>
      <x:c r="P34" s="16" t="str">
        <x:v>1.0</x:v>
      </x:c>
      <x:c r="Q34" s="12" t="str">
        <x:v>103</x:v>
      </x:c>
      <x:c r="R34" s="16" t="str">
        <x:v>0.9716981132075472</x:v>
      </x:c>
      <x:c r="S34" s="12" t="str">
        <x:v>0.2</x:v>
      </x:c>
      <x:c r="T34" s="12" t="str">
        <x:v>106</x:v>
      </x:c>
      <x:c r="U34" s="16" t="str">
        <x:v>1.0</x:v>
      </x:c>
      <x:c r="V34" s="18" t="str">
        <x:v>0.4467035233974457</x:v>
      </x:c>
      <x:c r="W34" s="18" t="str">
        <x:v>0.5693582892417908</x:v>
      </x:c>
      <x:c r="X34" s="18" t="str">
        <x:v>0.7499850392341614</x:v>
      </x:c>
      <x:c r="Y34" s="18" t="str">
        <x:v>0.7151069045066833</x:v>
      </x:c>
      <x:c r="Z34" s="18" t="str">
        <x:v>0.9656732380390167</x:v>
      </x:c>
      <x:c r="AA34" s="18" t="str">
        <x:v>0.99715256690979</x:v>
      </x:c>
      <x:c r="AB34" s="20" t="str">
        <x:v>106.10250000172528</x:v>
      </x:c>
      <x:c r="AC34" s="12" t="str">
        <x:v>overlays\angry_033.png</x:v>
      </x:c>
      <x:c r="AD34" s="12" t="str"/>
      <x:c r="AE34" s="12" t="str"/>
      <x:c r="AF34" s="12" t="str">
        <x:v>good</x:v>
      </x:c>
      <x:c r="AG34" s="12" t="n">
        <x:v>1</x:v>
      </x:c>
      <x:c r="AH34" s="12" t="str">
        <x:v>good</x:v>
      </x:c>
      <x:c r="AI34" s="12" t="str">
        <x:v>good</x:v>
      </x:c>
      <x:c r="AJ34" s="12" t="str">
        <x:v>good</x:v>
      </x:c>
      <x:c r="AK34" s="12" t="str">
        <x:v>good</x:v>
      </x:c>
      <x:c r="AL34" s="12" t="str">
        <x:v>none</x:v>
      </x:c>
      <x:c r="AM34" s="14" t="str">
        <x:v>Clear and well-aligned facial landmarks with no major pose, crop, or occlusion issue.</x:v>
      </x:c>
    </x:row>
    <x:row r="35" ht="30" customHeight="1">
      <x:c r="A35" s="12" t="str">
        <x:v>angry_034</x:v>
      </x:c>
      <x:c r="B35" s="12" t="str">
        <x:v>angry</x:v>
      </x:c>
      <x:c r="C35" s="14" t="str">
        <x:v>angry/Training_51453848.jpg</x:v>
      </x:c>
      <x:c r="D35" s="12" t="str">
        <x:v>fbeee19e2def3d14c39c4e94c5b68b7c514babe4d3696a5dd3b04fb7d4fcff6f</x:v>
      </x:c>
      <x:c r="E35" s="12" t="str">
        <x:v>fbeee19e2def3d14c39c4e94c5b68b7c514babe4d3696a5dd3b04fb7d4fcff6f</x:v>
      </x:c>
      <x:c r="F35" s="12" t="str">
        <x:v>True</x:v>
      </x:c>
      <x:c r="G35" s="12" t="str">
        <x:v>48</x:v>
      </x:c>
      <x:c r="H35" s="12" t="str">
        <x:v>48</x:v>
      </x:c>
      <x:c r="I35" s="12" t="str">
        <x:v>0.0</x:v>
      </x:c>
      <x:c r="J35" s="12" t="str">
        <x:v>0.0</x:v>
      </x:c>
      <x:c r="K35" s="12" t="str">
        <x:v>47.0</x:v>
      </x:c>
      <x:c r="L35" s="12" t="str">
        <x:v>47.0</x:v>
      </x:c>
      <x:c r="M35" s="12" t="str">
        <x:v>True</x:v>
      </x:c>
      <x:c r="N35" s="12" t="str">
        <x:v>106</x:v>
      </x:c>
      <x:c r="O35" s="12" t="str">
        <x:v>106</x:v>
      </x:c>
      <x:c r="P35" s="16" t="str">
        <x:v>1.0</x:v>
      </x:c>
      <x:c r="Q35" s="12" t="str">
        <x:v>97</x:v>
      </x:c>
      <x:c r="R35" s="16" t="str">
        <x:v>0.9150943396226415</x:v>
      </x:c>
      <x:c r="S35" s="12" t="str">
        <x:v>0.2</x:v>
      </x:c>
      <x:c r="T35" s="12" t="str">
        <x:v>106</x:v>
      </x:c>
      <x:c r="U35" s="16" t="str">
        <x:v>1.0</x:v>
      </x:c>
      <x:c r="V35" s="18" t="str">
        <x:v>0.4768378734588623</x:v>
      </x:c>
      <x:c r="W35" s="18" t="str">
        <x:v>0.5718133747577667</x:v>
      </x:c>
      <x:c r="X35" s="18" t="str">
        <x:v>0.6980347633361816</x:v>
      </x:c>
      <x:c r="Y35" s="18" t="str">
        <x:v>0.7228250503540039</x:v>
      </x:c>
      <x:c r="Z35" s="18" t="str">
        <x:v>0.7876282930374146</x:v>
      </x:c>
      <x:c r="AA35" s="18" t="str">
        <x:v>0.8239037990570068</x:v>
      </x:c>
      <x:c r="AB35" s="20" t="str">
        <x:v>104.41319999881671</x:v>
      </x:c>
      <x:c r="AC35" s="12" t="str">
        <x:v>overlays\angry_034.png</x:v>
      </x:c>
      <x:c r="AD35" s="12" t="str"/>
      <x:c r="AE35" s="12" t="str"/>
      <x:c r="AF35" s="12" t="str">
        <x:v>acceptable</x:v>
      </x:c>
      <x:c r="AG35" s="12" t="n">
        <x:v>1</x:v>
      </x:c>
      <x:c r="AH35" s="12" t="str">
        <x:v>acceptable</x:v>
      </x:c>
      <x:c r="AI35" s="12" t="str">
        <x:v>acceptable</x:v>
      </x:c>
      <x:c r="AJ35" s="12" t="str">
        <x:v>acceptable</x:v>
      </x:c>
      <x:c r="AK35" s="12" t="str">
        <x:v>acceptable</x:v>
      </x:c>
      <x:c r="AL35" s="12" t="str">
        <x:v>mild</x:v>
      </x:c>
      <x:c r="AM35" s="14" t="str">
        <x:v>Large pose or profile; visible landmarks are useful, while hidden-side contour points are inferred.</x:v>
      </x:c>
    </x:row>
    <x:row r="36" ht="30" customHeight="1">
      <x:c r="A36" s="12" t="str">
        <x:v>angry_035</x:v>
      </x:c>
      <x:c r="B36" s="12" t="str">
        <x:v>angry</x:v>
      </x:c>
      <x:c r="C36" s="14" t="str">
        <x:v>angry/Training_64909824.jpg</x:v>
      </x:c>
      <x:c r="D36" s="12" t="str">
        <x:v>dc29d3ca229d4fc951716f746e0f0fa6bf1a4503a828ebd1ec6ad15ff91bce27</x:v>
      </x:c>
      <x:c r="E36" s="12" t="str">
        <x:v>dc29d3ca229d4fc951716f746e0f0fa6bf1a4503a828ebd1ec6ad15ff91bce27</x:v>
      </x:c>
      <x:c r="F36" s="12" t="str">
        <x:v>True</x:v>
      </x:c>
      <x:c r="G36" s="12" t="str">
        <x:v>48</x:v>
      </x:c>
      <x:c r="H36" s="12" t="str">
        <x:v>48</x:v>
      </x:c>
      <x:c r="I36" s="12" t="str">
        <x:v>0.0</x:v>
      </x:c>
      <x:c r="J36" s="12" t="str">
        <x:v>0.0</x:v>
      </x:c>
      <x:c r="K36" s="12" t="str">
        <x:v>47.0</x:v>
      </x:c>
      <x:c r="L36" s="12" t="str">
        <x:v>47.0</x:v>
      </x:c>
      <x:c r="M36" s="12" t="str">
        <x:v>True</x:v>
      </x:c>
      <x:c r="N36" s="12" t="str">
        <x:v>106</x:v>
      </x:c>
      <x:c r="O36" s="12" t="str">
        <x:v>106</x:v>
      </x:c>
      <x:c r="P36" s="16" t="str">
        <x:v>1.0</x:v>
      </x:c>
      <x:c r="Q36" s="12" t="str">
        <x:v>101</x:v>
      </x:c>
      <x:c r="R36" s="16" t="str">
        <x:v>0.9528301886792453</x:v>
      </x:c>
      <x:c r="S36" s="12" t="str">
        <x:v>0.2</x:v>
      </x:c>
      <x:c r="T36" s="12" t="str">
        <x:v>106</x:v>
      </x:c>
      <x:c r="U36" s="16" t="str">
        <x:v>1.0</x:v>
      </x:c>
      <x:c r="V36" s="18" t="str">
        <x:v>0.3806050717830658</x:v>
      </x:c>
      <x:c r="W36" s="18" t="str">
        <x:v>0.45737597346305847</x:v>
      </x:c>
      <x:c r="X36" s="18" t="str">
        <x:v>0.615117609500885</x:v>
      </x:c>
      <x:c r="Y36" s="18" t="str">
        <x:v>0.605538010597229</x:v>
      </x:c>
      <x:c r="Z36" s="18" t="str">
        <x:v>0.8383960127830505</x:v>
      </x:c>
      <x:c r="AA36" s="18" t="str">
        <x:v>0.9178186655044556</x:v>
      </x:c>
      <x:c r="AB36" s="20" t="str">
        <x:v>101.055200000701</x:v>
      </x:c>
      <x:c r="AC36" s="12" t="str">
        <x:v>overlays\angry_035.png</x:v>
      </x:c>
      <x:c r="AD36" s="12" t="str"/>
      <x:c r="AE36" s="12" t="str"/>
      <x:c r="AF36" s="12" t="str">
        <x:v>good</x:v>
      </x:c>
      <x:c r="AG36" s="12" t="n">
        <x:v>1</x:v>
      </x:c>
      <x:c r="AH36" s="12" t="str">
        <x:v>good</x:v>
      </x:c>
      <x:c r="AI36" s="12" t="str">
        <x:v>good</x:v>
      </x:c>
      <x:c r="AJ36" s="12" t="str">
        <x:v>good</x:v>
      </x:c>
      <x:c r="AK36" s="12" t="str">
        <x:v>not_applicable</x:v>
      </x:c>
      <x:c r="AL36" s="12" t="str">
        <x:v>none</x:v>
      </x:c>
      <x:c r="AM36" s="14" t="str">
        <x:v>Clear and well-aligned facial landmarks with no major pose, crop, or occlusion issue.</x:v>
      </x:c>
    </x:row>
    <x:row r="37" ht="30" customHeight="1">
      <x:c r="A37" s="12" t="str">
        <x:v>angry_036</x:v>
      </x:c>
      <x:c r="B37" s="12" t="str">
        <x:v>angry</x:v>
      </x:c>
      <x:c r="C37" s="14" t="str">
        <x:v>angry/Training_35701263.jpg</x:v>
      </x:c>
      <x:c r="D37" s="12" t="str">
        <x:v>e9da6297f6fa290cf4cbb25975e98af135a2f5d11b0367cad5b68121f5076491</x:v>
      </x:c>
      <x:c r="E37" s="12" t="str">
        <x:v>e9da6297f6fa290cf4cbb25975e98af135a2f5d11b0367cad5b68121f5076491</x:v>
      </x:c>
      <x:c r="F37" s="12" t="str">
        <x:v>True</x:v>
      </x:c>
      <x:c r="G37" s="12" t="str">
        <x:v>48</x:v>
      </x:c>
      <x:c r="H37" s="12" t="str">
        <x:v>48</x:v>
      </x:c>
      <x:c r="I37" s="12" t="str">
        <x:v>0.0</x:v>
      </x:c>
      <x:c r="J37" s="12" t="str">
        <x:v>0.0</x:v>
      </x:c>
      <x:c r="K37" s="12" t="str">
        <x:v>47.0</x:v>
      </x:c>
      <x:c r="L37" s="12" t="str">
        <x:v>47.0</x:v>
      </x:c>
      <x:c r="M37" s="12" t="str">
        <x:v>True</x:v>
      </x:c>
      <x:c r="N37" s="12" t="str">
        <x:v>106</x:v>
      </x:c>
      <x:c r="O37" s="12" t="str">
        <x:v>106</x:v>
      </x:c>
      <x:c r="P37" s="16" t="str">
        <x:v>1.0</x:v>
      </x:c>
      <x:c r="Q37" s="12" t="str">
        <x:v>102</x:v>
      </x:c>
      <x:c r="R37" s="16" t="str">
        <x:v>0.9622641509433962</x:v>
      </x:c>
      <x:c r="S37" s="12" t="str">
        <x:v>0.2</x:v>
      </x:c>
      <x:c r="T37" s="12" t="str">
        <x:v>106</x:v>
      </x:c>
      <x:c r="U37" s="16" t="str">
        <x:v>1.0</x:v>
      </x:c>
      <x:c r="V37" s="18" t="str">
        <x:v>0.36313146352767944</x:v>
      </x:c>
      <x:c r="W37" s="18" t="str">
        <x:v>0.44003723561763763</x:v>
      </x:c>
      <x:c r="X37" s="18" t="str">
        <x:v>0.6379855871200562</x:v>
      </x:c>
      <x:c r="Y37" s="18" t="str">
        <x:v>0.6337833404541016</x:v>
      </x:c>
      <x:c r="Z37" s="18" t="str">
        <x:v>0.8911450803279877</x:v>
      </x:c>
      <x:c r="AA37" s="18" t="str">
        <x:v>0.9658836126327515</x:v>
      </x:c>
      <x:c r="AB37" s="20" t="str">
        <x:v>103.091900000436</x:v>
      </x:c>
      <x:c r="AC37" s="12" t="str">
        <x:v>overlays\angry_036.png</x:v>
      </x:c>
      <x:c r="AD37" s="12" t="str"/>
      <x:c r="AE37" s="12" t="str"/>
      <x:c r="AF37" s="12" t="str">
        <x:v>good</x:v>
      </x:c>
      <x:c r="AG37" s="12" t="n">
        <x:v>1</x:v>
      </x:c>
      <x:c r="AH37" s="12" t="str">
        <x:v>good</x:v>
      </x:c>
      <x:c r="AI37" s="12" t="str">
        <x:v>good</x:v>
      </x:c>
      <x:c r="AJ37" s="12" t="str">
        <x:v>good</x:v>
      </x:c>
      <x:c r="AK37" s="12" t="str">
        <x:v>not_applicable</x:v>
      </x:c>
      <x:c r="AL37" s="12" t="str">
        <x:v>none</x:v>
      </x:c>
      <x:c r="AM37" s="14" t="str">
        <x:v>Clear and well-aligned facial landmarks with no major pose, crop, or occlusion issue.</x:v>
      </x:c>
    </x:row>
    <x:row r="38" ht="30" customHeight="1">
      <x:c r="A38" s="12" t="str">
        <x:v>angry_037</x:v>
      </x:c>
      <x:c r="B38" s="12" t="str">
        <x:v>angry</x:v>
      </x:c>
      <x:c r="C38" s="14" t="str">
        <x:v>angry/Training_84932821.jpg</x:v>
      </x:c>
      <x:c r="D38" s="12" t="str">
        <x:v>4040b829ccd2320d47d71ebfdf5b50d8facb546e6dac109076a4f9896980f7ee</x:v>
      </x:c>
      <x:c r="E38" s="12" t="str">
        <x:v>4040b829ccd2320d47d71ebfdf5b50d8facb546e6dac109076a4f9896980f7ee</x:v>
      </x:c>
      <x:c r="F38" s="12" t="str">
        <x:v>True</x:v>
      </x:c>
      <x:c r="G38" s="12" t="str">
        <x:v>48</x:v>
      </x:c>
      <x:c r="H38" s="12" t="str">
        <x:v>48</x:v>
      </x:c>
      <x:c r="I38" s="12" t="str">
        <x:v>0.0</x:v>
      </x:c>
      <x:c r="J38" s="12" t="str">
        <x:v>0.0</x:v>
      </x:c>
      <x:c r="K38" s="12" t="str">
        <x:v>47.0</x:v>
      </x:c>
      <x:c r="L38" s="12" t="str">
        <x:v>47.0</x:v>
      </x:c>
      <x:c r="M38" s="12" t="str">
        <x:v>True</x:v>
      </x:c>
      <x:c r="N38" s="12" t="str">
        <x:v>106</x:v>
      </x:c>
      <x:c r="O38" s="12" t="str">
        <x:v>106</x:v>
      </x:c>
      <x:c r="P38" s="16" t="str">
        <x:v>1.0</x:v>
      </x:c>
      <x:c r="Q38" s="12" t="str">
        <x:v>106</x:v>
      </x:c>
      <x:c r="R38" s="16" t="str">
        <x:v>1.0</x:v>
      </x:c>
      <x:c r="S38" s="12" t="str">
        <x:v>0.2</x:v>
      </x:c>
      <x:c r="T38" s="12" t="str">
        <x:v>106</x:v>
      </x:c>
      <x:c r="U38" s="16" t="str">
        <x:v>1.0</x:v>
      </x:c>
      <x:c r="V38" s="18" t="str">
        <x:v>0.48121869564056396</x:v>
      </x:c>
      <x:c r="W38" s="18" t="str">
        <x:v>0.6841528713703156</x:v>
      </x:c>
      <x:c r="X38" s="18" t="str">
        <x:v>0.8366216421127319</x:v>
      </x:c>
      <x:c r="Y38" s="18" t="str">
        <x:v>0.8666139841079712</x:v>
      </x:c>
      <x:c r="Z38" s="18" t="str">
        <x:v>0.9501147270202637</x:v>
      </x:c>
      <x:c r="AA38" s="18" t="str">
        <x:v>0.9899156093597412</x:v>
      </x:c>
      <x:c r="AB38" s="20" t="str">
        <x:v>105.61850000158302</x:v>
      </x:c>
      <x:c r="AC38" s="12" t="str">
        <x:v>overlays\angry_037.png</x:v>
      </x:c>
      <x:c r="AD38" s="12" t="str"/>
      <x:c r="AE38" s="12" t="str"/>
      <x:c r="AF38" s="12" t="str">
        <x:v>good</x:v>
      </x:c>
      <x:c r="AG38" s="12" t="n">
        <x:v>1</x:v>
      </x:c>
      <x:c r="AH38" s="12" t="str">
        <x:v>good</x:v>
      </x:c>
      <x:c r="AI38" s="12" t="str">
        <x:v>good</x:v>
      </x:c>
      <x:c r="AJ38" s="12" t="str">
        <x:v>good</x:v>
      </x:c>
      <x:c r="AK38" s="12" t="str">
        <x:v>good</x:v>
      </x:c>
      <x:c r="AL38" s="12" t="str">
        <x:v>none</x:v>
      </x:c>
      <x:c r="AM38" s="14" t="str">
        <x:v>Clear and well-aligned facial landmarks with no major pose, crop, or occlusion issue.</x:v>
      </x:c>
    </x:row>
    <x:row r="39" ht="30" customHeight="1">
      <x:c r="A39" s="12" t="str">
        <x:v>angry_038</x:v>
      </x:c>
      <x:c r="B39" s="12" t="str">
        <x:v>angry</x:v>
      </x:c>
      <x:c r="C39" s="14" t="str">
        <x:v>angry/Training_9070993.jpg</x:v>
      </x:c>
      <x:c r="D39" s="12" t="str">
        <x:v>0efa93cc4d97f5550190ccf850e9bf5bbf7db56d1a4281bfb14aefbdb6b3e781</x:v>
      </x:c>
      <x:c r="E39" s="12" t="str">
        <x:v>0efa93cc4d97f5550190ccf850e9bf5bbf7db56d1a4281bfb14aefbdb6b3e781</x:v>
      </x:c>
      <x:c r="F39" s="12" t="str">
        <x:v>True</x:v>
      </x:c>
      <x:c r="G39" s="12" t="str">
        <x:v>48</x:v>
      </x:c>
      <x:c r="H39" s="12" t="str">
        <x:v>48</x:v>
      </x:c>
      <x:c r="I39" s="12" t="str">
        <x:v>0.0</x:v>
      </x:c>
      <x:c r="J39" s="12" t="str">
        <x:v>0.0</x:v>
      </x:c>
      <x:c r="K39" s="12" t="str">
        <x:v>47.0</x:v>
      </x:c>
      <x:c r="L39" s="12" t="str">
        <x:v>47.0</x:v>
      </x:c>
      <x:c r="M39" s="12" t="str">
        <x:v>True</x:v>
      </x:c>
      <x:c r="N39" s="12" t="str">
        <x:v>106</x:v>
      </x:c>
      <x:c r="O39" s="12" t="str">
        <x:v>106</x:v>
      </x:c>
      <x:c r="P39" s="16" t="str">
        <x:v>1.0</x:v>
      </x:c>
      <x:c r="Q39" s="12" t="str">
        <x:v>102</x:v>
      </x:c>
      <x:c r="R39" s="16" t="str">
        <x:v>0.9622641509433962</x:v>
      </x:c>
      <x:c r="S39" s="12" t="str">
        <x:v>0.2</x:v>
      </x:c>
      <x:c r="T39" s="12" t="str">
        <x:v>106</x:v>
      </x:c>
      <x:c r="U39" s="16" t="str">
        <x:v>1.0</x:v>
      </x:c>
      <x:c r="V39" s="18" t="str">
        <x:v>0.4720039665699005</x:v>
      </x:c>
      <x:c r="W39" s="18" t="str">
        <x:v>0.5506931841373444</x:v>
      </x:c>
      <x:c r="X39" s="18" t="str">
        <x:v>0.7278268337249756</x:v>
      </x:c>
      <x:c r="Y39" s="18" t="str">
        <x:v>0.7553818821907043</x:v>
      </x:c>
      <x:c r="Z39" s="18" t="str">
        <x:v>0.8870174884796143</x:v>
      </x:c>
      <x:c r="AA39" s="18" t="str">
        <x:v>0.9392768740653992</x:v>
      </x:c>
      <x:c r="AB39" s="20" t="str">
        <x:v>106.0935999994399</x:v>
      </x:c>
      <x:c r="AC39" s="12" t="str">
        <x:v>overlays\angry_038.png</x:v>
      </x:c>
      <x:c r="AD39" s="12" t="str"/>
      <x:c r="AE39" s="12" t="str"/>
      <x:c r="AF39" s="12" t="str">
        <x:v>good</x:v>
      </x:c>
      <x:c r="AG39" s="12" t="n">
        <x:v>1</x:v>
      </x:c>
      <x:c r="AH39" s="12" t="str">
        <x:v>good</x:v>
      </x:c>
      <x:c r="AI39" s="12" t="str">
        <x:v>good</x:v>
      </x:c>
      <x:c r="AJ39" s="12" t="str">
        <x:v>good</x:v>
      </x:c>
      <x:c r="AK39" s="12" t="str">
        <x:v>good</x:v>
      </x:c>
      <x:c r="AL39" s="12" t="str">
        <x:v>none</x:v>
      </x:c>
      <x:c r="AM39" s="14" t="str">
        <x:v>Clear and well-aligned facial landmarks with no major pose, crop, or occlusion issue.</x:v>
      </x:c>
    </x:row>
    <x:row r="40" ht="30" customHeight="1">
      <x:c r="A40" s="12" t="str">
        <x:v>angry_039</x:v>
      </x:c>
      <x:c r="B40" s="12" t="str">
        <x:v>angry</x:v>
      </x:c>
      <x:c r="C40" s="14" t="str">
        <x:v>angry/Training_10899258.jpg</x:v>
      </x:c>
      <x:c r="D40" s="12" t="str">
        <x:v>611f86a9167dd8a50ee96c74729d76384258d7d447d3b7a96da9fcec72256530</x:v>
      </x:c>
      <x:c r="E40" s="12" t="str">
        <x:v>611f86a9167dd8a50ee96c74729d76384258d7d447d3b7a96da9fcec72256530</x:v>
      </x:c>
      <x:c r="F40" s="12" t="str">
        <x:v>True</x:v>
      </x:c>
      <x:c r="G40" s="12" t="str">
        <x:v>48</x:v>
      </x:c>
      <x:c r="H40" s="12" t="str">
        <x:v>48</x:v>
      </x:c>
      <x:c r="I40" s="12" t="str">
        <x:v>0.0</x:v>
      </x:c>
      <x:c r="J40" s="12" t="str">
        <x:v>0.0</x:v>
      </x:c>
      <x:c r="K40" s="12" t="str">
        <x:v>47.0</x:v>
      </x:c>
      <x:c r="L40" s="12" t="str">
        <x:v>47.0</x:v>
      </x:c>
      <x:c r="M40" s="12" t="str">
        <x:v>True</x:v>
      </x:c>
      <x:c r="N40" s="12" t="str">
        <x:v>106</x:v>
      </x:c>
      <x:c r="O40" s="12" t="str">
        <x:v>106</x:v>
      </x:c>
      <x:c r="P40" s="16" t="str">
        <x:v>1.0</x:v>
      </x:c>
      <x:c r="Q40" s="12" t="str">
        <x:v>106</x:v>
      </x:c>
      <x:c r="R40" s="16" t="str">
        <x:v>1.0</x:v>
      </x:c>
      <x:c r="S40" s="12" t="str">
        <x:v>0.2</x:v>
      </x:c>
      <x:c r="T40" s="12" t="str">
        <x:v>106</x:v>
      </x:c>
      <x:c r="U40" s="16" t="str">
        <x:v>1.0</x:v>
      </x:c>
      <x:c r="V40" s="18" t="str">
        <x:v>0.4443398416042328</x:v>
      </x:c>
      <x:c r="W40" s="18" t="str">
        <x:v>0.5133785605430603</x:v>
      </x:c>
      <x:c r="X40" s="18" t="str">
        <x:v>0.6614141464233398</x:v>
      </x:c>
      <x:c r="Y40" s="18" t="str">
        <x:v>0.6576327681541443</x:v>
      </x:c>
      <x:c r="Z40" s="18" t="str">
        <x:v>0.8035898804664612</x:v>
      </x:c>
      <x:c r="AA40" s="18" t="str">
        <x:v>0.8814780712127686</x:v>
      </x:c>
      <x:c r="AB40" s="20" t="str">
        <x:v>99.70530000282452</x:v>
      </x:c>
      <x:c r="AC40" s="12" t="str">
        <x:v>overlays\angry_039.png</x:v>
      </x:c>
      <x:c r="AD40" s="12" t="str"/>
      <x:c r="AE40" s="12" t="str"/>
      <x:c r="AF40" s="12" t="str">
        <x:v>good</x:v>
      </x:c>
      <x:c r="AG40" s="12" t="n">
        <x:v>1</x:v>
      </x:c>
      <x:c r="AH40" s="12" t="str">
        <x:v>good</x:v>
      </x:c>
      <x:c r="AI40" s="12" t="str">
        <x:v>good</x:v>
      </x:c>
      <x:c r="AJ40" s="12" t="str">
        <x:v>good</x:v>
      </x:c>
      <x:c r="AK40" s="12" t="str">
        <x:v>good</x:v>
      </x:c>
      <x:c r="AL40" s="12" t="str">
        <x:v>none</x:v>
      </x:c>
      <x:c r="AM40" s="14" t="str">
        <x:v>Clear and well-aligned facial landmarks with no major pose, crop, or occlusion issue.</x:v>
      </x:c>
    </x:row>
    <x:row r="41" ht="30" customHeight="1">
      <x:c r="A41" s="12" t="str">
        <x:v>angry_040</x:v>
      </x:c>
      <x:c r="B41" s="12" t="str">
        <x:v>angry</x:v>
      </x:c>
      <x:c r="C41" s="14" t="str">
        <x:v>angry/Training_80694454.jpg</x:v>
      </x:c>
      <x:c r="D41" s="12" t="str">
        <x:v>ecf57f003263b49a0f52b51a8cfe4f443c43e9223ba482343411e8dab6b3b587</x:v>
      </x:c>
      <x:c r="E41" s="12" t="str">
        <x:v>ecf57f003263b49a0f52b51a8cfe4f443c43e9223ba482343411e8dab6b3b587</x:v>
      </x:c>
      <x:c r="F41" s="12" t="str">
        <x:v>True</x:v>
      </x:c>
      <x:c r="G41" s="12" t="str">
        <x:v>48</x:v>
      </x:c>
      <x:c r="H41" s="12" t="str">
        <x:v>48</x:v>
      </x:c>
      <x:c r="I41" s="12" t="str">
        <x:v>0.0</x:v>
      </x:c>
      <x:c r="J41" s="12" t="str">
        <x:v>0.0</x:v>
      </x:c>
      <x:c r="K41" s="12" t="str">
        <x:v>47.0</x:v>
      </x:c>
      <x:c r="L41" s="12" t="str">
        <x:v>47.0</x:v>
      </x:c>
      <x:c r="M41" s="12" t="str">
        <x:v>True</x:v>
      </x:c>
      <x:c r="N41" s="12" t="str">
        <x:v>106</x:v>
      </x:c>
      <x:c r="O41" s="12" t="str">
        <x:v>106</x:v>
      </x:c>
      <x:c r="P41" s="16" t="str">
        <x:v>1.0</x:v>
      </x:c>
      <x:c r="Q41" s="12" t="str">
        <x:v>100</x:v>
      </x:c>
      <x:c r="R41" s="16" t="str">
        <x:v>0.9433962264150944</x:v>
      </x:c>
      <x:c r="S41" s="12" t="str">
        <x:v>0.2</x:v>
      </x:c>
      <x:c r="T41" s="12" t="str">
        <x:v>106</x:v>
      </x:c>
      <x:c r="U41" s="16" t="str">
        <x:v>1.0</x:v>
      </x:c>
      <x:c r="V41" s="18" t="str">
        <x:v>0.3733283281326294</x:v>
      </x:c>
      <x:c r="W41" s="18" t="str">
        <x:v>0.42616452276706696</x:v>
      </x:c>
      <x:c r="X41" s="18" t="str">
        <x:v>0.6771575808525085</x:v>
      </x:c>
      <x:c r="Y41" s="18" t="str">
        <x:v>0.6421327590942383</x:v>
      </x:c>
      <x:c r="Z41" s="18" t="str">
        <x:v>0.9510993361473083</x:v>
      </x:c>
      <x:c r="AA41" s="18" t="str">
        <x:v>0.998070240020752</x:v>
      </x:c>
      <x:c r="AB41" s="20" t="str">
        <x:v>103.40290000021923</x:v>
      </x:c>
      <x:c r="AC41" s="12" t="str">
        <x:v>overlays\angry_040.png</x:v>
      </x:c>
      <x:c r="AD41" s="12" t="str"/>
      <x:c r="AE41" s="12" t="str"/>
      <x:c r="AF41" s="12" t="str">
        <x:v>good</x:v>
      </x:c>
      <x:c r="AG41" s="12" t="n">
        <x:v>1</x:v>
      </x:c>
      <x:c r="AH41" s="12" t="str">
        <x:v>good</x:v>
      </x:c>
      <x:c r="AI41" s="12" t="str">
        <x:v>good</x:v>
      </x:c>
      <x:c r="AJ41" s="12" t="str">
        <x:v>good</x:v>
      </x:c>
      <x:c r="AK41" s="12" t="str">
        <x:v>not_applicable</x:v>
      </x:c>
      <x:c r="AL41" s="12" t="str">
        <x:v>none</x:v>
      </x:c>
      <x:c r="AM41" s="14" t="str">
        <x:v>Clear and well-aligned facial landmarks with no major pose, crop, or occlusion issue.</x:v>
      </x:c>
    </x:row>
    <x:row r="42" ht="30" customHeight="1">
      <x:c r="A42" s="12" t="str">
        <x:v>angry_041</x:v>
      </x:c>
      <x:c r="B42" s="12" t="str">
        <x:v>angry</x:v>
      </x:c>
      <x:c r="C42" s="14" t="str">
        <x:v>angry/Training_84625038.jpg</x:v>
      </x:c>
      <x:c r="D42" s="12" t="str">
        <x:v>a069bfa063e00ecef1b590902f7b3de05f3b26ae8f854157c10a7ab04acbd48d</x:v>
      </x:c>
      <x:c r="E42" s="12" t="str">
        <x:v>a069bfa063e00ecef1b590902f7b3de05f3b26ae8f854157c10a7ab04acbd48d</x:v>
      </x:c>
      <x:c r="F42" s="12" t="str">
        <x:v>True</x:v>
      </x:c>
      <x:c r="G42" s="12" t="str">
        <x:v>48</x:v>
      </x:c>
      <x:c r="H42" s="12" t="str">
        <x:v>48</x:v>
      </x:c>
      <x:c r="I42" s="12" t="str">
        <x:v>0.0</x:v>
      </x:c>
      <x:c r="J42" s="12" t="str">
        <x:v>0.0</x:v>
      </x:c>
      <x:c r="K42" s="12" t="str">
        <x:v>47.0</x:v>
      </x:c>
      <x:c r="L42" s="12" t="str">
        <x:v>47.0</x:v>
      </x:c>
      <x:c r="M42" s="12" t="str">
        <x:v>True</x:v>
      </x:c>
      <x:c r="N42" s="12" t="str">
        <x:v>106</x:v>
      </x:c>
      <x:c r="O42" s="12" t="str">
        <x:v>106</x:v>
      </x:c>
      <x:c r="P42" s="16" t="str">
        <x:v>1.0</x:v>
      </x:c>
      <x:c r="Q42" s="12" t="str">
        <x:v>99</x:v>
      </x:c>
      <x:c r="R42" s="16" t="str">
        <x:v>0.9339622641509434</x:v>
      </x:c>
      <x:c r="S42" s="12" t="str">
        <x:v>0.2</x:v>
      </x:c>
      <x:c r="T42" s="12" t="str">
        <x:v>106</x:v>
      </x:c>
      <x:c r="U42" s="16" t="str">
        <x:v>1.0</x:v>
      </x:c>
      <x:c r="V42" s="18" t="str">
        <x:v>0.30829107761383057</x:v>
      </x:c>
      <x:c r="W42" s="18" t="str">
        <x:v>0.39388230443000793</x:v>
      </x:c>
      <x:c r="X42" s="18" t="str">
        <x:v>0.5798636674880981</x:v>
      </x:c>
      <x:c r="Y42" s="18" t="str">
        <x:v>0.5877354145050049</x:v>
      </x:c>
      <x:c r="Z42" s="18" t="str">
        <x:v>0.7745166420936584</x:v>
      </x:c>
      <x:c r="AA42" s="18" t="str">
        <x:v>0.8376332521438599</x:v>
      </x:c>
      <x:c r="AB42" s="20" t="str">
        <x:v>114.37039999873377</x:v>
      </x:c>
      <x:c r="AC42" s="12" t="str">
        <x:v>overlays\angry_041.png</x:v>
      </x:c>
      <x:c r="AD42" s="12" t="str"/>
      <x:c r="AE42" s="12" t="str"/>
      <x:c r="AF42" s="12" t="str">
        <x:v>acceptable</x:v>
      </x:c>
      <x:c r="AG42" s="12" t="n">
        <x:v>1</x:v>
      </x:c>
      <x:c r="AH42" s="12" t="str">
        <x:v>acceptable</x:v>
      </x:c>
      <x:c r="AI42" s="12" t="str">
        <x:v>acceptable</x:v>
      </x:c>
      <x:c r="AJ42" s="12" t="str">
        <x:v>acceptable</x:v>
      </x:c>
      <x:c r="AK42" s="12" t="str">
        <x:v>not_applicable</x:v>
      </x:c>
      <x:c r="AL42" s="12" t="str">
        <x:v>mild</x:v>
      </x:c>
      <x:c r="AM42" s="14" t="str">
        <x:v>Moderate pose, crop, or image degradation causes minor landmark uncertainty; the result remains usable.</x:v>
      </x:c>
    </x:row>
    <x:row r="43" ht="30" customHeight="1">
      <x:c r="A43" s="12" t="str">
        <x:v>angry_042</x:v>
      </x:c>
      <x:c r="B43" s="12" t="str">
        <x:v>angry</x:v>
      </x:c>
      <x:c r="C43" s="14" t="str">
        <x:v>angry/Training_24890384.jpg</x:v>
      </x:c>
      <x:c r="D43" s="12" t="str">
        <x:v>5354c2fbdcbeea505818adc4711e6fe1d9a524a898f54bcac6017df216c99b98</x:v>
      </x:c>
      <x:c r="E43" s="12" t="str">
        <x:v>5354c2fbdcbeea505818adc4711e6fe1d9a524a898f54bcac6017df216c99b98</x:v>
      </x:c>
      <x:c r="F43" s="12" t="str">
        <x:v>True</x:v>
      </x:c>
      <x:c r="G43" s="12" t="str">
        <x:v>48</x:v>
      </x:c>
      <x:c r="H43" s="12" t="str">
        <x:v>48</x:v>
      </x:c>
      <x:c r="I43" s="12" t="str">
        <x:v>0.0</x:v>
      </x:c>
      <x:c r="J43" s="12" t="str">
        <x:v>0.0</x:v>
      </x:c>
      <x:c r="K43" s="12" t="str">
        <x:v>47.0</x:v>
      </x:c>
      <x:c r="L43" s="12" t="str">
        <x:v>47.0</x:v>
      </x:c>
      <x:c r="M43" s="12" t="str">
        <x:v>True</x:v>
      </x:c>
      <x:c r="N43" s="12" t="str">
        <x:v>106</x:v>
      </x:c>
      <x:c r="O43" s="12" t="str">
        <x:v>106</x:v>
      </x:c>
      <x:c r="P43" s="16" t="str">
        <x:v>1.0</x:v>
      </x:c>
      <x:c r="Q43" s="12" t="str">
        <x:v>100</x:v>
      </x:c>
      <x:c r="R43" s="16" t="str">
        <x:v>0.9433962264150944</x:v>
      </x:c>
      <x:c r="S43" s="12" t="str">
        <x:v>0.2</x:v>
      </x:c>
      <x:c r="T43" s="12" t="str">
        <x:v>106</x:v>
      </x:c>
      <x:c r="U43" s="16" t="str">
        <x:v>1.0</x:v>
      </x:c>
      <x:c r="V43" s="18" t="str">
        <x:v>0.5208719968795776</x:v>
      </x:c>
      <x:c r="W43" s="18" t="str">
        <x:v>0.5631359219551086</x:v>
      </x:c>
      <x:c r="X43" s="18" t="str">
        <x:v>0.6692425012588501</x:v>
      </x:c>
      <x:c r="Y43" s="18" t="str">
        <x:v>0.666122555732727</x:v>
      </x:c>
      <x:c r="Z43" s="18" t="str">
        <x:v>0.7877184748649597</x:v>
      </x:c>
      <x:c r="AA43" s="18" t="str">
        <x:v>0.8881920576095581</x:v>
      </x:c>
      <x:c r="AB43" s="20" t="str">
        <x:v>113.58970000219415</x:v>
      </x:c>
      <x:c r="AC43" s="12" t="str">
        <x:v>overlays\angry_042.png</x:v>
      </x:c>
      <x:c r="AD43" s="12" t="str"/>
      <x:c r="AE43" s="12" t="str"/>
      <x:c r="AF43" s="12" t="str">
        <x:v>good</x:v>
      </x:c>
      <x:c r="AG43" s="12" t="n">
        <x:v>1</x:v>
      </x:c>
      <x:c r="AH43" s="12" t="str">
        <x:v>good</x:v>
      </x:c>
      <x:c r="AI43" s="12" t="str">
        <x:v>good</x:v>
      </x:c>
      <x:c r="AJ43" s="12" t="str">
        <x:v>good</x:v>
      </x:c>
      <x:c r="AK43" s="12" t="str">
        <x:v>good</x:v>
      </x:c>
      <x:c r="AL43" s="12" t="str">
        <x:v>none</x:v>
      </x:c>
      <x:c r="AM43" s="14" t="str">
        <x:v>Clear and well-aligned facial landmarks with no major pose, crop, or occlusion issue.</x:v>
      </x:c>
    </x:row>
    <x:row r="44" ht="30" customHeight="1">
      <x:c r="A44" s="12" t="str">
        <x:v>angry_043</x:v>
      </x:c>
      <x:c r="B44" s="12" t="str">
        <x:v>angry</x:v>
      </x:c>
      <x:c r="C44" s="14" t="str">
        <x:v>angry/Training_7489923.jpg</x:v>
      </x:c>
      <x:c r="D44" s="12" t="str">
        <x:v>5444ac025f5ffbcdefb01cadd012636ed95e83df80e17f3434d3893b61ceafee</x:v>
      </x:c>
      <x:c r="E44" s="12" t="str">
        <x:v>5444ac025f5ffbcdefb01cadd012636ed95e83df80e17f3434d3893b61ceafee</x:v>
      </x:c>
      <x:c r="F44" s="12" t="str">
        <x:v>True</x:v>
      </x:c>
      <x:c r="G44" s="12" t="str">
        <x:v>48</x:v>
      </x:c>
      <x:c r="H44" s="12" t="str">
        <x:v>48</x:v>
      </x:c>
      <x:c r="I44" s="12" t="str">
        <x:v>0.0</x:v>
      </x:c>
      <x:c r="J44" s="12" t="str">
        <x:v>0.0</x:v>
      </x:c>
      <x:c r="K44" s="12" t="str">
        <x:v>47.0</x:v>
      </x:c>
      <x:c r="L44" s="12" t="str">
        <x:v>47.0</x:v>
      </x:c>
      <x:c r="M44" s="12" t="str">
        <x:v>True</x:v>
      </x:c>
      <x:c r="N44" s="12" t="str">
        <x:v>106</x:v>
      </x:c>
      <x:c r="O44" s="12" t="str">
        <x:v>106</x:v>
      </x:c>
      <x:c r="P44" s="16" t="str">
        <x:v>1.0</x:v>
      </x:c>
      <x:c r="Q44" s="12" t="str">
        <x:v>87</x:v>
      </x:c>
      <x:c r="R44" s="16" t="str">
        <x:v>0.8207547169811321</x:v>
      </x:c>
      <x:c r="S44" s="12" t="str">
        <x:v>0.2</x:v>
      </x:c>
      <x:c r="T44" s="12" t="str">
        <x:v>106</x:v>
      </x:c>
      <x:c r="U44" s="16" t="str">
        <x:v>1.0</x:v>
      </x:c>
      <x:c r="V44" s="18" t="str">
        <x:v>0.3741595149040222</x:v>
      </x:c>
      <x:c r="W44" s="18" t="str">
        <x:v>0.524535745382309</x:v>
      </x:c>
      <x:c r="X44" s="18" t="str">
        <x:v>0.7208254337310791</x:v>
      </x:c>
      <x:c r="Y44" s="18" t="str">
        <x:v>0.748335063457489</x:v>
      </x:c>
      <x:c r="Z44" s="18" t="str">
        <x:v>0.847597748041153</x:v>
      </x:c>
      <x:c r="AA44" s="18" t="str">
        <x:v>0.9009159207344055</x:v>
      </x:c>
      <x:c r="AB44" s="20" t="str">
        <x:v>113.78049999984796</x:v>
      </x:c>
      <x:c r="AC44" s="12" t="str">
        <x:v>overlays\angry_043.png</x:v>
      </x:c>
      <x:c r="AD44" s="12" t="str"/>
      <x:c r="AE44" s="12" t="str"/>
      <x:c r="AF44" s="12" t="str">
        <x:v>acceptable</x:v>
      </x:c>
      <x:c r="AG44" s="12" t="n">
        <x:v>1</x:v>
      </x:c>
      <x:c r="AH44" s="12" t="str">
        <x:v>acceptable</x:v>
      </x:c>
      <x:c r="AI44" s="12" t="str">
        <x:v>acceptable</x:v>
      </x:c>
      <x:c r="AJ44" s="12" t="str">
        <x:v>acceptable</x:v>
      </x:c>
      <x:c r="AK44" s="12" t="str">
        <x:v>acceptable</x:v>
      </x:c>
      <x:c r="AL44" s="12" t="str">
        <x:v>mild</x:v>
      </x:c>
      <x:c r="AM44" s="14" t="str">
        <x:v>Large pose or profile; visible landmarks are useful, while hidden-side contour points are inferred.</x:v>
      </x:c>
    </x:row>
    <x:row r="45" ht="30" customHeight="1">
      <x:c r="A45" s="12" t="str">
        <x:v>angry_044</x:v>
      </x:c>
      <x:c r="B45" s="12" t="str">
        <x:v>angry</x:v>
      </x:c>
      <x:c r="C45" s="14" t="str">
        <x:v>angry/Training_48906234.jpg</x:v>
      </x:c>
      <x:c r="D45" s="12" t="str">
        <x:v>a216b8637604e78131d80822848228557e3ed8e57db2156a637c91586ceda29b</x:v>
      </x:c>
      <x:c r="E45" s="12" t="str">
        <x:v>a216b8637604e78131d80822848228557e3ed8e57db2156a637c91586ceda29b</x:v>
      </x:c>
      <x:c r="F45" s="12" t="str">
        <x:v>True</x:v>
      </x:c>
      <x:c r="G45" s="12" t="str">
        <x:v>48</x:v>
      </x:c>
      <x:c r="H45" s="12" t="str">
        <x:v>48</x:v>
      </x:c>
      <x:c r="I45" s="12" t="str">
        <x:v>0.0</x:v>
      </x:c>
      <x:c r="J45" s="12" t="str">
        <x:v>0.0</x:v>
      </x:c>
      <x:c r="K45" s="12" t="str">
        <x:v>47.0</x:v>
      </x:c>
      <x:c r="L45" s="12" t="str">
        <x:v>47.0</x:v>
      </x:c>
      <x:c r="M45" s="12" t="str">
        <x:v>True</x:v>
      </x:c>
      <x:c r="N45" s="12" t="str">
        <x:v>106</x:v>
      </x:c>
      <x:c r="O45" s="12" t="str">
        <x:v>106</x:v>
      </x:c>
      <x:c r="P45" s="16" t="str">
        <x:v>1.0</x:v>
      </x:c>
      <x:c r="Q45" s="12" t="str">
        <x:v>102</x:v>
      </x:c>
      <x:c r="R45" s="16" t="str">
        <x:v>0.9622641509433962</x:v>
      </x:c>
      <x:c r="S45" s="12" t="str">
        <x:v>0.2</x:v>
      </x:c>
      <x:c r="T45" s="12" t="str">
        <x:v>106</x:v>
      </x:c>
      <x:c r="U45" s="16" t="str">
        <x:v>1.0</x:v>
      </x:c>
      <x:c r="V45" s="18" t="str">
        <x:v>0.38912227749824524</x:v>
      </x:c>
      <x:c r="W45" s="18" t="str">
        <x:v>0.4936814606189728</x:v>
      </x:c>
      <x:c r="X45" s="18" t="str">
        <x:v>0.7006533741950989</x:v>
      </x:c>
      <x:c r="Y45" s="18" t="str">
        <x:v>0.6797770261764526</x:v>
      </x:c>
      <x:c r="Z45" s="18" t="str">
        <x:v>0.9614841341972351</x:v>
      </x:c>
      <x:c r="AA45" s="18" t="str">
        <x:v>1.041981816291809</x:v>
      </x:c>
      <x:c r="AB45" s="20" t="str">
        <x:v>131.15000000107102</x:v>
      </x:c>
      <x:c r="AC45" s="12" t="str">
        <x:v>overlays\angry_044.png</x:v>
      </x:c>
      <x:c r="AD45" s="12" t="str"/>
      <x:c r="AE45" s="12" t="str"/>
      <x:c r="AF45" s="12" t="str">
        <x:v>good</x:v>
      </x:c>
      <x:c r="AG45" s="12" t="n">
        <x:v>1</x:v>
      </x:c>
      <x:c r="AH45" s="12" t="str">
        <x:v>good</x:v>
      </x:c>
      <x:c r="AI45" s="12" t="str">
        <x:v>good</x:v>
      </x:c>
      <x:c r="AJ45" s="12" t="str">
        <x:v>good</x:v>
      </x:c>
      <x:c r="AK45" s="12" t="str">
        <x:v>not_applicable</x:v>
      </x:c>
      <x:c r="AL45" s="12" t="str">
        <x:v>none</x:v>
      </x:c>
      <x:c r="AM45" s="14" t="str">
        <x:v>Clear and well-aligned facial landmarks with no major pose, crop, or occlusion issue.</x:v>
      </x:c>
    </x:row>
    <x:row r="46" ht="30" customHeight="1">
      <x:c r="A46" s="12" t="str">
        <x:v>angry_045</x:v>
      </x:c>
      <x:c r="B46" s="12" t="str">
        <x:v>angry</x:v>
      </x:c>
      <x:c r="C46" s="14" t="str">
        <x:v>angry/Training_40747741.jpg</x:v>
      </x:c>
      <x:c r="D46" s="12" t="str">
        <x:v>fca348cb63e83f5eaef283ea25fc6c3d156d5432b827b60b1ff9f1d3160f45ec</x:v>
      </x:c>
      <x:c r="E46" s="12" t="str">
        <x:v>fca348cb63e83f5eaef283ea25fc6c3d156d5432b827b60b1ff9f1d3160f45ec</x:v>
      </x:c>
      <x:c r="F46" s="12" t="str">
        <x:v>True</x:v>
      </x:c>
      <x:c r="G46" s="12" t="str">
        <x:v>48</x:v>
      </x:c>
      <x:c r="H46" s="12" t="str">
        <x:v>48</x:v>
      </x:c>
      <x:c r="I46" s="12" t="str">
        <x:v>0.0</x:v>
      </x:c>
      <x:c r="J46" s="12" t="str">
        <x:v>0.0</x:v>
      </x:c>
      <x:c r="K46" s="12" t="str">
        <x:v>47.0</x:v>
      </x:c>
      <x:c r="L46" s="12" t="str">
        <x:v>47.0</x:v>
      </x:c>
      <x:c r="M46" s="12" t="str">
        <x:v>True</x:v>
      </x:c>
      <x:c r="N46" s="12" t="str">
        <x:v>106</x:v>
      </x:c>
      <x:c r="O46" s="12" t="str">
        <x:v>106</x:v>
      </x:c>
      <x:c r="P46" s="16" t="str">
        <x:v>1.0</x:v>
      </x:c>
      <x:c r="Q46" s="12" t="str">
        <x:v>101</x:v>
      </x:c>
      <x:c r="R46" s="16" t="str">
        <x:v>0.9528301886792453</x:v>
      </x:c>
      <x:c r="S46" s="12" t="str">
        <x:v>0.2</x:v>
      </x:c>
      <x:c r="T46" s="12" t="str">
        <x:v>106</x:v>
      </x:c>
      <x:c r="U46" s="16" t="str">
        <x:v>1.0</x:v>
      </x:c>
      <x:c r="V46" s="18" t="str">
        <x:v>0.3434053063392639</x:v>
      </x:c>
      <x:c r="W46" s="18" t="str">
        <x:v>0.46278828382492065</x:v>
      </x:c>
      <x:c r="X46" s="18" t="str">
        <x:v>0.6457290649414062</x:v>
      </x:c>
      <x:c r="Y46" s="18" t="str">
        <x:v>0.6183377504348755</x:v>
      </x:c>
      <x:c r="Z46" s="18" t="str">
        <x:v>0.9101730585098267</x:v>
      </x:c>
      <x:c r="AA46" s="18" t="str">
        <x:v>0.9598462581634521</x:v>
      </x:c>
      <x:c r="AB46" s="20" t="str">
        <x:v>99.95559999879333</x:v>
      </x:c>
      <x:c r="AC46" s="12" t="str">
        <x:v>overlays\angry_045.png</x:v>
      </x:c>
      <x:c r="AD46" s="12" t="str"/>
      <x:c r="AE46" s="12" t="str"/>
      <x:c r="AF46" s="12" t="str">
        <x:v>good</x:v>
      </x:c>
      <x:c r="AG46" s="12" t="n">
        <x:v>1</x:v>
      </x:c>
      <x:c r="AH46" s="12" t="str">
        <x:v>good</x:v>
      </x:c>
      <x:c r="AI46" s="12" t="str">
        <x:v>good</x:v>
      </x:c>
      <x:c r="AJ46" s="12" t="str">
        <x:v>good</x:v>
      </x:c>
      <x:c r="AK46" s="12" t="str">
        <x:v>not_applicable</x:v>
      </x:c>
      <x:c r="AL46" s="12" t="str">
        <x:v>none</x:v>
      </x:c>
      <x:c r="AM46" s="14" t="str">
        <x:v>Clear and well-aligned facial landmarks with no major pose, crop, or occlusion issue.</x:v>
      </x:c>
    </x:row>
    <x:row r="47" ht="30" customHeight="1">
      <x:c r="A47" s="12" t="str">
        <x:v>angry_046</x:v>
      </x:c>
      <x:c r="B47" s="12" t="str">
        <x:v>angry</x:v>
      </x:c>
      <x:c r="C47" s="14" t="str">
        <x:v>angry/Training_35695824.jpg</x:v>
      </x:c>
      <x:c r="D47" s="12" t="str">
        <x:v>afcfd6db27ffc24c9f7667be6a7ac4e3305114ed086326efaf7da3c5dbd98054</x:v>
      </x:c>
      <x:c r="E47" s="12" t="str">
        <x:v>afcfd6db27ffc24c9f7667be6a7ac4e3305114ed086326efaf7da3c5dbd98054</x:v>
      </x:c>
      <x:c r="F47" s="12" t="str">
        <x:v>True</x:v>
      </x:c>
      <x:c r="G47" s="12" t="str">
        <x:v>48</x:v>
      </x:c>
      <x:c r="H47" s="12" t="str">
        <x:v>48</x:v>
      </x:c>
      <x:c r="I47" s="12" t="str">
        <x:v>0.0</x:v>
      </x:c>
      <x:c r="J47" s="12" t="str">
        <x:v>0.0</x:v>
      </x:c>
      <x:c r="K47" s="12" t="str">
        <x:v>47.0</x:v>
      </x:c>
      <x:c r="L47" s="12" t="str">
        <x:v>47.0</x:v>
      </x:c>
      <x:c r="M47" s="12" t="str">
        <x:v>True</x:v>
      </x:c>
      <x:c r="N47" s="12" t="str">
        <x:v>106</x:v>
      </x:c>
      <x:c r="O47" s="12" t="str">
        <x:v>106</x:v>
      </x:c>
      <x:c r="P47" s="16" t="str">
        <x:v>1.0</x:v>
      </x:c>
      <x:c r="Q47" s="12" t="str">
        <x:v>105</x:v>
      </x:c>
      <x:c r="R47" s="16" t="str">
        <x:v>0.9905660377358491</x:v>
      </x:c>
      <x:c r="S47" s="12" t="str">
        <x:v>0.2</x:v>
      </x:c>
      <x:c r="T47" s="12" t="str">
        <x:v>106</x:v>
      </x:c>
      <x:c r="U47" s="16" t="str">
        <x:v>1.0</x:v>
      </x:c>
      <x:c r="V47" s="18" t="str">
        <x:v>0.39974743127822876</x:v>
      </x:c>
      <x:c r="W47" s="18" t="str">
        <x:v>0.49639688432216644</x:v>
      </x:c>
      <x:c r="X47" s="18" t="str">
        <x:v>0.717936635017395</x:v>
      </x:c>
      <x:c r="Y47" s="18" t="str">
        <x:v>0.6930829286575317</x:v>
      </x:c>
      <x:c r="Z47" s="18" t="str">
        <x:v>0.9667668342590332</x:v>
      </x:c>
      <x:c r="AA47" s="18" t="str">
        <x:v>1.0735344886779785</x:v>
      </x:c>
      <x:c r="AB47" s="20" t="str">
        <x:v>111.72649999934947</x:v>
      </x:c>
      <x:c r="AC47" s="12" t="str">
        <x:v>overlays\angry_046.png</x:v>
      </x:c>
      <x:c r="AD47" s="12" t="str"/>
      <x:c r="AE47" s="12" t="str"/>
      <x:c r="AF47" s="12" t="str">
        <x:v>good</x:v>
      </x:c>
      <x:c r="AG47" s="12" t="n">
        <x:v>1</x:v>
      </x:c>
      <x:c r="AH47" s="12" t="str">
        <x:v>good</x:v>
      </x:c>
      <x:c r="AI47" s="12" t="str">
        <x:v>good</x:v>
      </x:c>
      <x:c r="AJ47" s="12" t="str">
        <x:v>good</x:v>
      </x:c>
      <x:c r="AK47" s="12" t="str">
        <x:v>not_applicable</x:v>
      </x:c>
      <x:c r="AL47" s="12" t="str">
        <x:v>none</x:v>
      </x:c>
      <x:c r="AM47" s="14" t="str">
        <x:v>Clear and well-aligned facial landmarks with no major pose, crop, or occlusion issue.</x:v>
      </x:c>
    </x:row>
    <x:row r="48" ht="30" customHeight="1">
      <x:c r="A48" s="12" t="str">
        <x:v>angry_047</x:v>
      </x:c>
      <x:c r="B48" s="12" t="str">
        <x:v>angry</x:v>
      </x:c>
      <x:c r="C48" s="14" t="str">
        <x:v>angry/Training_24511742.jpg</x:v>
      </x:c>
      <x:c r="D48" s="12" t="str">
        <x:v>d5c76b1e809242720e3c473f7e511503c1953a61687a670618a6a82679ea31b2</x:v>
      </x:c>
      <x:c r="E48" s="12" t="str">
        <x:v>d5c76b1e809242720e3c473f7e511503c1953a61687a670618a6a82679ea31b2</x:v>
      </x:c>
      <x:c r="F48" s="12" t="str">
        <x:v>True</x:v>
      </x:c>
      <x:c r="G48" s="12" t="str">
        <x:v>48</x:v>
      </x:c>
      <x:c r="H48" s="12" t="str">
        <x:v>48</x:v>
      </x:c>
      <x:c r="I48" s="12" t="str">
        <x:v>0.0</x:v>
      </x:c>
      <x:c r="J48" s="12" t="str">
        <x:v>0.0</x:v>
      </x:c>
      <x:c r="K48" s="12" t="str">
        <x:v>47.0</x:v>
      </x:c>
      <x:c r="L48" s="12" t="str">
        <x:v>47.0</x:v>
      </x:c>
      <x:c r="M48" s="12" t="str">
        <x:v>True</x:v>
      </x:c>
      <x:c r="N48" s="12" t="str">
        <x:v>106</x:v>
      </x:c>
      <x:c r="O48" s="12" t="str">
        <x:v>106</x:v>
      </x:c>
      <x:c r="P48" s="16" t="str">
        <x:v>1.0</x:v>
      </x:c>
      <x:c r="Q48" s="12" t="str">
        <x:v>88</x:v>
      </x:c>
      <x:c r="R48" s="16" t="str">
        <x:v>0.8301886792452831</x:v>
      </x:c>
      <x:c r="S48" s="12" t="str">
        <x:v>0.2</x:v>
      </x:c>
      <x:c r="T48" s="12" t="str">
        <x:v>106</x:v>
      </x:c>
      <x:c r="U48" s="16" t="str">
        <x:v>1.0</x:v>
      </x:c>
      <x:c r="V48" s="18" t="str">
        <x:v>0.32480955123901367</x:v>
      </x:c>
      <x:c r="W48" s="18" t="str">
        <x:v>0.4959224909543991</x:v>
      </x:c>
      <x:c r="X48" s="18" t="str">
        <x:v>0.6809347867965698</x:v>
      </x:c>
      <x:c r="Y48" s="18" t="str">
        <x:v>0.6751857399940491</x:v>
      </x:c>
      <x:c r="Z48" s="18" t="str">
        <x:v>0.8959062099456787</x:v>
      </x:c>
      <x:c r="AA48" s="18" t="str">
        <x:v>0.9732851982116699</x:v>
      </x:c>
      <x:c r="AB48" s="20" t="str">
        <x:v>109.25389999829349</x:v>
      </x:c>
      <x:c r="AC48" s="12" t="str">
        <x:v>overlays\angry_047.png</x:v>
      </x:c>
      <x:c r="AD48" s="12" t="str"/>
      <x:c r="AE48" s="12" t="str"/>
      <x:c r="AF48" s="12" t="str">
        <x:v>acceptable</x:v>
      </x:c>
      <x:c r="AG48" s="12" t="n">
        <x:v>1</x:v>
      </x:c>
      <x:c r="AH48" s="12" t="str">
        <x:v>acceptable</x:v>
      </x:c>
      <x:c r="AI48" s="12" t="str">
        <x:v>acceptable</x:v>
      </x:c>
      <x:c r="AJ48" s="12" t="str">
        <x:v>acceptable</x:v>
      </x:c>
      <x:c r="AK48" s="12" t="str">
        <x:v>acceptable</x:v>
      </x:c>
      <x:c r="AL48" s="12" t="str">
        <x:v>mild</x:v>
      </x:c>
      <x:c r="AM48" s="14" t="str">
        <x:v>Large pose or profile; visible landmarks are useful, while hidden-side contour points are inferred.</x:v>
      </x:c>
    </x:row>
    <x:row r="49" ht="30" customHeight="1">
      <x:c r="A49" s="12" t="str">
        <x:v>angry_048</x:v>
      </x:c>
      <x:c r="B49" s="12" t="str">
        <x:v>angry</x:v>
      </x:c>
      <x:c r="C49" s="14" t="str">
        <x:v>angry/Training_29711189.jpg</x:v>
      </x:c>
      <x:c r="D49" s="12" t="str">
        <x:v>d2897f0eb26bda656bebd735daf8c093fc3d6f29299c0e1d4517e7a6453fd54d</x:v>
      </x:c>
      <x:c r="E49" s="12" t="str">
        <x:v>d2897f0eb26bda656bebd735daf8c093fc3d6f29299c0e1d4517e7a6453fd54d</x:v>
      </x:c>
      <x:c r="F49" s="12" t="str">
        <x:v>True</x:v>
      </x:c>
      <x:c r="G49" s="12" t="str">
        <x:v>48</x:v>
      </x:c>
      <x:c r="H49" s="12" t="str">
        <x:v>48</x:v>
      </x:c>
      <x:c r="I49" s="12" t="str">
        <x:v>0.0</x:v>
      </x:c>
      <x:c r="J49" s="12" t="str">
        <x:v>0.0</x:v>
      </x:c>
      <x:c r="K49" s="12" t="str">
        <x:v>47.0</x:v>
      </x:c>
      <x:c r="L49" s="12" t="str">
        <x:v>47.0</x:v>
      </x:c>
      <x:c r="M49" s="12" t="str">
        <x:v>True</x:v>
      </x:c>
      <x:c r="N49" s="12" t="str">
        <x:v>106</x:v>
      </x:c>
      <x:c r="O49" s="12" t="str">
        <x:v>106</x:v>
      </x:c>
      <x:c r="P49" s="16" t="str">
        <x:v>1.0</x:v>
      </x:c>
      <x:c r="Q49" s="12" t="str">
        <x:v>99</x:v>
      </x:c>
      <x:c r="R49" s="16" t="str">
        <x:v>0.9339622641509434</x:v>
      </x:c>
      <x:c r="S49" s="12" t="str">
        <x:v>0.2</x:v>
      </x:c>
      <x:c r="T49" s="12" t="str">
        <x:v>106</x:v>
      </x:c>
      <x:c r="U49" s="16" t="str">
        <x:v>1.0</x:v>
      </x:c>
      <x:c r="V49" s="18" t="str">
        <x:v>0.4067613482475281</x:v>
      </x:c>
      <x:c r="W49" s="18" t="str">
        <x:v>0.5113300085067749</x:v>
      </x:c>
      <x:c r="X49" s="18" t="str">
        <x:v>0.6793808937072754</x:v>
      </x:c>
      <x:c r="Y49" s="18" t="str">
        <x:v>0.6977221965789795</x:v>
      </x:c>
      <x:c r="Z49" s="18" t="str">
        <x:v>0.7890693843364716</x:v>
      </x:c>
      <x:c r="AA49" s="18" t="str">
        <x:v>0.9352089166641235</x:v>
      </x:c>
      <x:c r="AB49" s="20" t="str">
        <x:v>106.34439999921597</x:v>
      </x:c>
      <x:c r="AC49" s="12" t="str">
        <x:v>overlays\angry_048.png</x:v>
      </x:c>
      <x:c r="AD49" s="12" t="str"/>
      <x:c r="AE49" s="12" t="str"/>
      <x:c r="AF49" s="12" t="str">
        <x:v>good</x:v>
      </x:c>
      <x:c r="AG49" s="12" t="n">
        <x:v>1</x:v>
      </x:c>
      <x:c r="AH49" s="12" t="str">
        <x:v>good</x:v>
      </x:c>
      <x:c r="AI49" s="12" t="str">
        <x:v>good</x:v>
      </x:c>
      <x:c r="AJ49" s="12" t="str">
        <x:v>good</x:v>
      </x:c>
      <x:c r="AK49" s="12" t="str">
        <x:v>not_applicable</x:v>
      </x:c>
      <x:c r="AL49" s="12" t="str">
        <x:v>none</x:v>
      </x:c>
      <x:c r="AM49" s="14" t="str">
        <x:v>Clear and well-aligned facial landmarks with no major pose, crop, or occlusion issue.</x:v>
      </x:c>
    </x:row>
    <x:row r="50" ht="30" customHeight="1">
      <x:c r="A50" s="12" t="str">
        <x:v>angry_049</x:v>
      </x:c>
      <x:c r="B50" s="12" t="str">
        <x:v>angry</x:v>
      </x:c>
      <x:c r="C50" s="14" t="str">
        <x:v>angry/Training_98547173.jpg</x:v>
      </x:c>
      <x:c r="D50" s="12" t="str">
        <x:v>334064ada54f6a47fef8126ebebb90a07ccfe555ce0ed2b396f3889a76a4a52e</x:v>
      </x:c>
      <x:c r="E50" s="12" t="str">
        <x:v>334064ada54f6a47fef8126ebebb90a07ccfe555ce0ed2b396f3889a76a4a52e</x:v>
      </x:c>
      <x:c r="F50" s="12" t="str">
        <x:v>True</x:v>
      </x:c>
      <x:c r="G50" s="12" t="str">
        <x:v>48</x:v>
      </x:c>
      <x:c r="H50" s="12" t="str">
        <x:v>48</x:v>
      </x:c>
      <x:c r="I50" s="12" t="str">
        <x:v>0.0</x:v>
      </x:c>
      <x:c r="J50" s="12" t="str">
        <x:v>0.0</x:v>
      </x:c>
      <x:c r="K50" s="12" t="str">
        <x:v>47.0</x:v>
      </x:c>
      <x:c r="L50" s="12" t="str">
        <x:v>47.0</x:v>
      </x:c>
      <x:c r="M50" s="12" t="str">
        <x:v>True</x:v>
      </x:c>
      <x:c r="N50" s="12" t="str">
        <x:v>106</x:v>
      </x:c>
      <x:c r="O50" s="12" t="str">
        <x:v>106</x:v>
      </x:c>
      <x:c r="P50" s="16" t="str">
        <x:v>1.0</x:v>
      </x:c>
      <x:c r="Q50" s="12" t="str">
        <x:v>106</x:v>
      </x:c>
      <x:c r="R50" s="16" t="str">
        <x:v>1.0</x:v>
      </x:c>
      <x:c r="S50" s="12" t="str">
        <x:v>0.2</x:v>
      </x:c>
      <x:c r="T50" s="12" t="str">
        <x:v>106</x:v>
      </x:c>
      <x:c r="U50" s="16" t="str">
        <x:v>1.0</x:v>
      </x:c>
      <x:c r="V50" s="18" t="str">
        <x:v>0.4978724718093872</x:v>
      </x:c>
      <x:c r="W50" s="18" t="str">
        <x:v>0.5606243908405304</x:v>
      </x:c>
      <x:c r="X50" s="18" t="str">
        <x:v>0.700072169303894</x:v>
      </x:c>
      <x:c r="Y50" s="18" t="str">
        <x:v>0.6715127229690552</x:v>
      </x:c>
      <x:c r="Z50" s="18" t="str">
        <x:v>0.8830528855323792</x:v>
      </x:c>
      <x:c r="AA50" s="18" t="str">
        <x:v>0.9442656636238098</x:v>
      </x:c>
      <x:c r="AB50" s="20" t="str">
        <x:v>99.26610000184155</x:v>
      </x:c>
      <x:c r="AC50" s="12" t="str">
        <x:v>overlays\angry_049.png</x:v>
      </x:c>
      <x:c r="AD50" s="12" t="str"/>
      <x:c r="AE50" s="12" t="str"/>
      <x:c r="AF50" s="12" t="str">
        <x:v>good</x:v>
      </x:c>
      <x:c r="AG50" s="12" t="n">
        <x:v>1</x:v>
      </x:c>
      <x:c r="AH50" s="12" t="str">
        <x:v>good</x:v>
      </x:c>
      <x:c r="AI50" s="12" t="str">
        <x:v>good</x:v>
      </x:c>
      <x:c r="AJ50" s="12" t="str">
        <x:v>good</x:v>
      </x:c>
      <x:c r="AK50" s="12" t="str">
        <x:v>not_applicable</x:v>
      </x:c>
      <x:c r="AL50" s="12" t="str">
        <x:v>none</x:v>
      </x:c>
      <x:c r="AM50" s="14" t="str">
        <x:v>Clear and well-aligned facial landmarks with no major pose, crop, or occlusion issue.</x:v>
      </x:c>
    </x:row>
    <x:row r="51" ht="30" customHeight="1">
      <x:c r="A51" s="12" t="str">
        <x:v>angry_050</x:v>
      </x:c>
      <x:c r="B51" s="12" t="str">
        <x:v>angry</x:v>
      </x:c>
      <x:c r="C51" s="14" t="str">
        <x:v>angry/Training_80974557.jpg</x:v>
      </x:c>
      <x:c r="D51" s="12" t="str">
        <x:v>cb93cd062fbff67f551780b68ca20cedf8d5659d1717097f12ceb3c8629047ef</x:v>
      </x:c>
      <x:c r="E51" s="12" t="str">
        <x:v>cb93cd062fbff67f551780b68ca20cedf8d5659d1717097f12ceb3c8629047ef</x:v>
      </x:c>
      <x:c r="F51" s="12" t="str">
        <x:v>True</x:v>
      </x:c>
      <x:c r="G51" s="12" t="str">
        <x:v>48</x:v>
      </x:c>
      <x:c r="H51" s="12" t="str">
        <x:v>48</x:v>
      </x:c>
      <x:c r="I51" s="12" t="str">
        <x:v>0.0</x:v>
      </x:c>
      <x:c r="J51" s="12" t="str">
        <x:v>0.0</x:v>
      </x:c>
      <x:c r="K51" s="12" t="str">
        <x:v>47.0</x:v>
      </x:c>
      <x:c r="L51" s="12" t="str">
        <x:v>47.0</x:v>
      </x:c>
      <x:c r="M51" s="12" t="str">
        <x:v>True</x:v>
      </x:c>
      <x:c r="N51" s="12" t="str">
        <x:v>106</x:v>
      </x:c>
      <x:c r="O51" s="12" t="str">
        <x:v>106</x:v>
      </x:c>
      <x:c r="P51" s="16" t="str">
        <x:v>1.0</x:v>
      </x:c>
      <x:c r="Q51" s="12" t="str">
        <x:v>106</x:v>
      </x:c>
      <x:c r="R51" s="16" t="str">
        <x:v>1.0</x:v>
      </x:c>
      <x:c r="S51" s="12" t="str">
        <x:v>0.2</x:v>
      </x:c>
      <x:c r="T51" s="12" t="str">
        <x:v>106</x:v>
      </x:c>
      <x:c r="U51" s="16" t="str">
        <x:v>1.0</x:v>
      </x:c>
      <x:c r="V51" s="18" t="str">
        <x:v>0.4672510623931885</x:v>
      </x:c>
      <x:c r="W51" s="18" t="str">
        <x:v>0.5950018167495728</x:v>
      </x:c>
      <x:c r="X51" s="18" t="str">
        <x:v>0.7190600633621216</x:v>
      </x:c>
      <x:c r="Y51" s="18" t="str">
        <x:v>0.7084840536117554</x:v>
      </x:c>
      <x:c r="Z51" s="18" t="str">
        <x:v>0.8799585402011871</x:v>
      </x:c>
      <x:c r="AA51" s="18" t="str">
        <x:v>0.970782458782196</x:v>
      </x:c>
      <x:c r="AB51" s="20" t="str">
        <x:v>98.22470000290195</x:v>
      </x:c>
      <x:c r="AC51" s="12" t="str">
        <x:v>overlays\angry_050.png</x:v>
      </x:c>
      <x:c r="AD51" s="12" t="str"/>
      <x:c r="AE51" s="12" t="str"/>
      <x:c r="AF51" s="12" t="str">
        <x:v>acceptable</x:v>
      </x:c>
      <x:c r="AG51" s="12" t="n">
        <x:v>1</x:v>
      </x:c>
      <x:c r="AH51" s="12" t="str">
        <x:v>acceptable</x:v>
      </x:c>
      <x:c r="AI51" s="12" t="str">
        <x:v>acceptable</x:v>
      </x:c>
      <x:c r="AJ51" s="12" t="str">
        <x:v>acceptable</x:v>
      </x:c>
      <x:c r="AK51" s="12" t="str">
        <x:v>not_applicable</x:v>
      </x:c>
      <x:c r="AL51" s="12" t="str">
        <x:v>mild</x:v>
      </x:c>
      <x:c r="AM51" s="14" t="str">
        <x:v>Large pose or profile; visible landmarks are useful, while hidden-side contour points are inferred.</x:v>
      </x:c>
    </x:row>
    <x:row r="52" ht="30" customHeight="1">
      <x:c r="A52" s="12" t="str">
        <x:v>disgust_001</x:v>
      </x:c>
      <x:c r="B52" s="12" t="str">
        <x:v>disgust</x:v>
      </x:c>
      <x:c r="C52" s="14" t="str">
        <x:v>disgust/Training_49158638.jpg</x:v>
      </x:c>
      <x:c r="D52" s="12" t="str">
        <x:v>8a6039e513d00fff41aa22f564b16f354500d74fa902ec53dc0f99adfeee3ae3</x:v>
      </x:c>
      <x:c r="E52" s="12" t="str">
        <x:v>8a6039e513d00fff41aa22f564b16f354500d74fa902ec53dc0f99adfeee3ae3</x:v>
      </x:c>
      <x:c r="F52" s="12" t="str">
        <x:v>True</x:v>
      </x:c>
      <x:c r="G52" s="12" t="str">
        <x:v>48</x:v>
      </x:c>
      <x:c r="H52" s="12" t="str">
        <x:v>48</x:v>
      </x:c>
      <x:c r="I52" s="12" t="str">
        <x:v>0.0</x:v>
      </x:c>
      <x:c r="J52" s="12" t="str">
        <x:v>0.0</x:v>
      </x:c>
      <x:c r="K52" s="12" t="str">
        <x:v>47.0</x:v>
      </x:c>
      <x:c r="L52" s="12" t="str">
        <x:v>47.0</x:v>
      </x:c>
      <x:c r="M52" s="12" t="str">
        <x:v>True</x:v>
      </x:c>
      <x:c r="N52" s="12" t="str">
        <x:v>106</x:v>
      </x:c>
      <x:c r="O52" s="12" t="str">
        <x:v>106</x:v>
      </x:c>
      <x:c r="P52" s="16" t="str">
        <x:v>1.0</x:v>
      </x:c>
      <x:c r="Q52" s="12" t="str">
        <x:v>89</x:v>
      </x:c>
      <x:c r="R52" s="16" t="str">
        <x:v>0.839622641509434</x:v>
      </x:c>
      <x:c r="S52" s="12" t="str">
        <x:v>0.2</x:v>
      </x:c>
      <x:c r="T52" s="12" t="str">
        <x:v>106</x:v>
      </x:c>
      <x:c r="U52" s="16" t="str">
        <x:v>1.0</x:v>
      </x:c>
      <x:c r="V52" s="18" t="str">
        <x:v>0.5348409414291382</x:v>
      </x:c>
      <x:c r="W52" s="18" t="str">
        <x:v>0.5696271657943726</x:v>
      </x:c>
      <x:c r="X52" s="18" t="str">
        <x:v>0.6907134056091309</x:v>
      </x:c>
      <x:c r="Y52" s="18" t="str">
        <x:v>0.6828452348709106</x:v>
      </x:c>
      <x:c r="Z52" s="18" t="str">
        <x:v>0.8495288491249084</x:v>
      </x:c>
      <x:c r="AA52" s="18" t="str">
        <x:v>0.9250003099441528</x:v>
      </x:c>
      <x:c r="AB52" s="20" t="str">
        <x:v>99.56179999790038</x:v>
      </x:c>
      <x:c r="AC52" s="12" t="str">
        <x:v>overlays\disgust_001.png</x:v>
      </x:c>
      <x:c r="AD52" s="12" t="str"/>
      <x:c r="AE52" s="12" t="str"/>
      <x:c r="AF52" s="12" t="str">
        <x:v>acceptable</x:v>
      </x:c>
      <x:c r="AG52" s="12" t="n">
        <x:v>1</x:v>
      </x:c>
      <x:c r="AH52" s="12" t="str">
        <x:v>acceptable</x:v>
      </x:c>
      <x:c r="AI52" s="12" t="str">
        <x:v>acceptable</x:v>
      </x:c>
      <x:c r="AJ52" s="12" t="str">
        <x:v>acceptable</x:v>
      </x:c>
      <x:c r="AK52" s="12" t="str">
        <x:v>not_applicable</x:v>
      </x:c>
      <x:c r="AL52" s="12" t="str">
        <x:v>mild</x:v>
      </x:c>
      <x:c r="AM52" s="14" t="str">
        <x:v>Tight crop places several contour points outside the frame; central facial landmarks remain usable.</x:v>
      </x:c>
    </x:row>
    <x:row r="53" ht="30" customHeight="1">
      <x:c r="A53" s="12" t="str">
        <x:v>disgust_002</x:v>
      </x:c>
      <x:c r="B53" s="12" t="str">
        <x:v>disgust</x:v>
      </x:c>
      <x:c r="C53" s="14" t="str">
        <x:v>disgust/Training_20847777.jpg</x:v>
      </x:c>
      <x:c r="D53" s="12" t="str">
        <x:v>27ecb6a984b9182c35117d49de0e77e404edb0c05b46797b4abf9cf213b27b7a</x:v>
      </x:c>
      <x:c r="E53" s="12" t="str">
        <x:v>27ecb6a984b9182c35117d49de0e77e404edb0c05b46797b4abf9cf213b27b7a</x:v>
      </x:c>
      <x:c r="F53" s="12" t="str">
        <x:v>True</x:v>
      </x:c>
      <x:c r="G53" s="12" t="str">
        <x:v>48</x:v>
      </x:c>
      <x:c r="H53" s="12" t="str">
        <x:v>48</x:v>
      </x:c>
      <x:c r="I53" s="12" t="str">
        <x:v>0.0</x:v>
      </x:c>
      <x:c r="J53" s="12" t="str">
        <x:v>0.0</x:v>
      </x:c>
      <x:c r="K53" s="12" t="str">
        <x:v>47.0</x:v>
      </x:c>
      <x:c r="L53" s="12" t="str">
        <x:v>47.0</x:v>
      </x:c>
      <x:c r="M53" s="12" t="str">
        <x:v>True</x:v>
      </x:c>
      <x:c r="N53" s="12" t="str">
        <x:v>106</x:v>
      </x:c>
      <x:c r="O53" s="12" t="str">
        <x:v>106</x:v>
      </x:c>
      <x:c r="P53" s="16" t="str">
        <x:v>1.0</x:v>
      </x:c>
      <x:c r="Q53" s="12" t="str">
        <x:v>95</x:v>
      </x:c>
      <x:c r="R53" s="16" t="str">
        <x:v>0.8962264150943396</x:v>
      </x:c>
      <x:c r="S53" s="12" t="str">
        <x:v>0.2</x:v>
      </x:c>
      <x:c r="T53" s="12" t="str">
        <x:v>106</x:v>
      </x:c>
      <x:c r="U53" s="16" t="str">
        <x:v>1.0</x:v>
      </x:c>
      <x:c r="V53" s="18" t="str">
        <x:v>0.39427605271339417</x:v>
      </x:c>
      <x:c r="W53" s="18" t="str">
        <x:v>0.4986897259950638</x:v>
      </x:c>
      <x:c r="X53" s="18" t="str">
        <x:v>0.6465502381324768</x:v>
      </x:c>
      <x:c r="Y53" s="18" t="str">
        <x:v>0.6332697868347168</x:v>
      </x:c>
      <x:c r="Z53" s="18" t="str">
        <x:v>0.8410578072071075</x:v>
      </x:c>
      <x:c r="AA53" s="18" t="str">
        <x:v>0.896094560623169</x:v>
      </x:c>
      <x:c r="AB53" s="20" t="str">
        <x:v>98.71570000177599</x:v>
      </x:c>
      <x:c r="AC53" s="12" t="str">
        <x:v>overlays\disgust_002.png</x:v>
      </x:c>
      <x:c r="AD53" s="12" t="str"/>
      <x:c r="AE53" s="12" t="str"/>
      <x:c r="AF53" s="12" t="str">
        <x:v>good</x:v>
      </x:c>
      <x:c r="AG53" s="12" t="n">
        <x:v>1</x:v>
      </x:c>
      <x:c r="AH53" s="12" t="str">
        <x:v>good</x:v>
      </x:c>
      <x:c r="AI53" s="12" t="str">
        <x:v>good</x:v>
      </x:c>
      <x:c r="AJ53" s="12" t="str">
        <x:v>good</x:v>
      </x:c>
      <x:c r="AK53" s="12" t="str">
        <x:v>good</x:v>
      </x:c>
      <x:c r="AL53" s="12" t="str">
        <x:v>none</x:v>
      </x:c>
      <x:c r="AM53" s="14" t="str">
        <x:v>Clear and well-aligned facial landmarks with no major pose, crop, or occlusion issue.</x:v>
      </x:c>
    </x:row>
    <x:row r="54" ht="30" customHeight="1">
      <x:c r="A54" s="12" t="str">
        <x:v>disgust_003</x:v>
      </x:c>
      <x:c r="B54" s="12" t="str">
        <x:v>disgust</x:v>
      </x:c>
      <x:c r="C54" s="14" t="str">
        <x:v>disgust/Training_19915172.jpg</x:v>
      </x:c>
      <x:c r="D54" s="12" t="str">
        <x:v>38af3ba40e631d4d4f6379d0f517c92dcfaa5c2c239dbb512649e21a4f3e2711</x:v>
      </x:c>
      <x:c r="E54" s="12" t="str">
        <x:v>38af3ba40e631d4d4f6379d0f517c92dcfaa5c2c239dbb512649e21a4f3e2711</x:v>
      </x:c>
      <x:c r="F54" s="12" t="str">
        <x:v>True</x:v>
      </x:c>
      <x:c r="G54" s="12" t="str">
        <x:v>48</x:v>
      </x:c>
      <x:c r="H54" s="12" t="str">
        <x:v>48</x:v>
      </x:c>
      <x:c r="I54" s="12" t="str">
        <x:v>0.0</x:v>
      </x:c>
      <x:c r="J54" s="12" t="str">
        <x:v>0.0</x:v>
      </x:c>
      <x:c r="K54" s="12" t="str">
        <x:v>47.0</x:v>
      </x:c>
      <x:c r="L54" s="12" t="str">
        <x:v>47.0</x:v>
      </x:c>
      <x:c r="M54" s="12" t="str">
        <x:v>True</x:v>
      </x:c>
      <x:c r="N54" s="12" t="str">
        <x:v>106</x:v>
      </x:c>
      <x:c r="O54" s="12" t="str">
        <x:v>106</x:v>
      </x:c>
      <x:c r="P54" s="16" t="str">
        <x:v>1.0</x:v>
      </x:c>
      <x:c r="Q54" s="12" t="str">
        <x:v>103</x:v>
      </x:c>
      <x:c r="R54" s="16" t="str">
        <x:v>0.9716981132075472</x:v>
      </x:c>
      <x:c r="S54" s="12" t="str">
        <x:v>0.2</x:v>
      </x:c>
      <x:c r="T54" s="12" t="str">
        <x:v>106</x:v>
      </x:c>
      <x:c r="U54" s="16" t="str">
        <x:v>1.0</x:v>
      </x:c>
      <x:c r="V54" s="18" t="str">
        <x:v>0.41405272483825684</x:v>
      </x:c>
      <x:c r="W54" s="18" t="str">
        <x:v>0.47845104336738586</x:v>
      </x:c>
      <x:c r="X54" s="18" t="str">
        <x:v>0.6679217219352722</x:v>
      </x:c>
      <x:c r="Y54" s="18" t="str">
        <x:v>0.6426717042922974</x:v>
      </x:c>
      <x:c r="Z54" s="18" t="str">
        <x:v>0.8916862607002258</x:v>
      </x:c>
      <x:c r="AA54" s="18" t="str">
        <x:v>0.9612257480621338</x:v>
      </x:c>
      <x:c r="AB54" s="20" t="str">
        <x:v>106.3728999979503</x:v>
      </x:c>
      <x:c r="AC54" s="12" t="str">
        <x:v>overlays\disgust_003.png</x:v>
      </x:c>
      <x:c r="AD54" s="12" t="str"/>
      <x:c r="AE54" s="12" t="str"/>
      <x:c r="AF54" s="12" t="str">
        <x:v>good</x:v>
      </x:c>
      <x:c r="AG54" s="12" t="n">
        <x:v>1</x:v>
      </x:c>
      <x:c r="AH54" s="12" t="str">
        <x:v>good</x:v>
      </x:c>
      <x:c r="AI54" s="12" t="str">
        <x:v>good</x:v>
      </x:c>
      <x:c r="AJ54" s="12" t="str">
        <x:v>good</x:v>
      </x:c>
      <x:c r="AK54" s="12" t="str">
        <x:v>not_applicable</x:v>
      </x:c>
      <x:c r="AL54" s="12" t="str">
        <x:v>none</x:v>
      </x:c>
      <x:c r="AM54" s="14" t="str">
        <x:v>Clear and well-aligned facial landmarks with no major pose, crop, or occlusion issue.</x:v>
      </x:c>
    </x:row>
    <x:row r="55" ht="30" customHeight="1">
      <x:c r="A55" s="12" t="str">
        <x:v>disgust_004</x:v>
      </x:c>
      <x:c r="B55" s="12" t="str">
        <x:v>disgust</x:v>
      </x:c>
      <x:c r="C55" s="14" t="str">
        <x:v>disgust/Training_53960771.jpg</x:v>
      </x:c>
      <x:c r="D55" s="12" t="str">
        <x:v>5f2cb571339100c625ea9239c198a869c7caab9413bbbe213b0a30f8fed11ac8</x:v>
      </x:c>
      <x:c r="E55" s="12" t="str">
        <x:v>5f2cb571339100c625ea9239c198a869c7caab9413bbbe213b0a30f8fed11ac8</x:v>
      </x:c>
      <x:c r="F55" s="12" t="str">
        <x:v>True</x:v>
      </x:c>
      <x:c r="G55" s="12" t="str">
        <x:v>48</x:v>
      </x:c>
      <x:c r="H55" s="12" t="str">
        <x:v>48</x:v>
      </x:c>
      <x:c r="I55" s="12" t="str">
        <x:v>0.0</x:v>
      </x:c>
      <x:c r="J55" s="12" t="str">
        <x:v>0.0</x:v>
      </x:c>
      <x:c r="K55" s="12" t="str">
        <x:v>47.0</x:v>
      </x:c>
      <x:c r="L55" s="12" t="str">
        <x:v>47.0</x:v>
      </x:c>
      <x:c r="M55" s="12" t="str">
        <x:v>True</x:v>
      </x:c>
      <x:c r="N55" s="12" t="str">
        <x:v>106</x:v>
      </x:c>
      <x:c r="O55" s="12" t="str">
        <x:v>106</x:v>
      </x:c>
      <x:c r="P55" s="16" t="str">
        <x:v>1.0</x:v>
      </x:c>
      <x:c r="Q55" s="12" t="str">
        <x:v>93</x:v>
      </x:c>
      <x:c r="R55" s="16" t="str">
        <x:v>0.8773584905660378</x:v>
      </x:c>
      <x:c r="S55" s="12" t="str">
        <x:v>0.2</x:v>
      </x:c>
      <x:c r="T55" s="12" t="str">
        <x:v>106</x:v>
      </x:c>
      <x:c r="U55" s="16" t="str">
        <x:v>1.0</x:v>
      </x:c>
      <x:c r="V55" s="18" t="str">
        <x:v>0.5622135400772095</x:v>
      </x:c>
      <x:c r="W55" s="18" t="str">
        <x:v>0.618900328874588</x:v>
      </x:c>
      <x:c r="X55" s="18" t="str">
        <x:v>0.7276012301445007</x:v>
      </x:c>
      <x:c r="Y55" s="18" t="str">
        <x:v>0.7315327525138855</x:v>
      </x:c>
      <x:c r="Z55" s="18" t="str">
        <x:v>0.8172664642333984</x:v>
      </x:c>
      <x:c r="AA55" s="18" t="str">
        <x:v>0.9157474040985107</x:v>
      </x:c>
      <x:c r="AB55" s="20" t="str">
        <x:v>104.49619999781135</x:v>
      </x:c>
      <x:c r="AC55" s="12" t="str">
        <x:v>overlays\disgust_004.png</x:v>
      </x:c>
      <x:c r="AD55" s="12" t="str"/>
      <x:c r="AE55" s="12" t="str"/>
      <x:c r="AF55" s="12" t="str">
        <x:v>acceptable</x:v>
      </x:c>
      <x:c r="AG55" s="12" t="n">
        <x:v>1</x:v>
      </x:c>
      <x:c r="AH55" s="12" t="str">
        <x:v>acceptable</x:v>
      </x:c>
      <x:c r="AI55" s="12" t="str">
        <x:v>acceptable</x:v>
      </x:c>
      <x:c r="AJ55" s="12" t="str">
        <x:v>acceptable</x:v>
      </x:c>
      <x:c r="AK55" s="12" t="str">
        <x:v>not_applicable</x:v>
      </x:c>
      <x:c r="AL55" s="12" t="str">
        <x:v>mild</x:v>
      </x:c>
      <x:c r="AM55" s="14" t="str">
        <x:v>Large pose or profile; visible landmarks are useful, while hidden-side contour points are inferred.</x:v>
      </x:c>
    </x:row>
    <x:row r="56" ht="30" customHeight="1">
      <x:c r="A56" s="12" t="str">
        <x:v>disgust_005</x:v>
      </x:c>
      <x:c r="B56" s="12" t="str">
        <x:v>disgust</x:v>
      </x:c>
      <x:c r="C56" s="14" t="str">
        <x:v>disgust/Training_2036746.jpg</x:v>
      </x:c>
      <x:c r="D56" s="12" t="str">
        <x:v>887f574670c1a6c705699867d7ac63ccf7fc5bb477a45a61760894fbc3fb39aa</x:v>
      </x:c>
      <x:c r="E56" s="12" t="str">
        <x:v>887f574670c1a6c705699867d7ac63ccf7fc5bb477a45a61760894fbc3fb39aa</x:v>
      </x:c>
      <x:c r="F56" s="12" t="str">
        <x:v>True</x:v>
      </x:c>
      <x:c r="G56" s="12" t="str">
        <x:v>48</x:v>
      </x:c>
      <x:c r="H56" s="12" t="str">
        <x:v>48</x:v>
      </x:c>
      <x:c r="I56" s="12" t="str">
        <x:v>0.0</x:v>
      </x:c>
      <x:c r="J56" s="12" t="str">
        <x:v>0.0</x:v>
      </x:c>
      <x:c r="K56" s="12" t="str">
        <x:v>47.0</x:v>
      </x:c>
      <x:c r="L56" s="12" t="str">
        <x:v>47.0</x:v>
      </x:c>
      <x:c r="M56" s="12" t="str">
        <x:v>True</x:v>
      </x:c>
      <x:c r="N56" s="12" t="str">
        <x:v>106</x:v>
      </x:c>
      <x:c r="O56" s="12" t="str">
        <x:v>106</x:v>
      </x:c>
      <x:c r="P56" s="16" t="str">
        <x:v>1.0</x:v>
      </x:c>
      <x:c r="Q56" s="12" t="str">
        <x:v>94</x:v>
      </x:c>
      <x:c r="R56" s="16" t="str">
        <x:v>0.8867924528301887</x:v>
      </x:c>
      <x:c r="S56" s="12" t="str">
        <x:v>0.2</x:v>
      </x:c>
      <x:c r="T56" s="12" t="str">
        <x:v>106</x:v>
      </x:c>
      <x:c r="U56" s="16" t="str">
        <x:v>1.0</x:v>
      </x:c>
      <x:c r="V56" s="18" t="str">
        <x:v>0.41353100538253784</x:v>
      </x:c>
      <x:c r="W56" s="18" t="str">
        <x:v>0.4769861698150635</x:v>
      </x:c>
      <x:c r="X56" s="18" t="str">
        <x:v>0.6702499985694885</x:v>
      </x:c>
      <x:c r="Y56" s="18" t="str">
        <x:v>0.6482337117195129</x:v>
      </x:c>
      <x:c r="Z56" s="18" t="str">
        <x:v>0.9057232141494751</x:v>
      </x:c>
      <x:c r="AA56" s="18" t="str">
        <x:v>0.9546471834182739</x:v>
      </x:c>
      <x:c r="AB56" s="20" t="str">
        <x:v>107.28799999924377</x:v>
      </x:c>
      <x:c r="AC56" s="12" t="str">
        <x:v>overlays\disgust_005.png</x:v>
      </x:c>
      <x:c r="AD56" s="12" t="str"/>
      <x:c r="AE56" s="12" t="str"/>
      <x:c r="AF56" s="12" t="str">
        <x:v>good</x:v>
      </x:c>
      <x:c r="AG56" s="12" t="n">
        <x:v>1</x:v>
      </x:c>
      <x:c r="AH56" s="12" t="str">
        <x:v>good</x:v>
      </x:c>
      <x:c r="AI56" s="12" t="str">
        <x:v>good</x:v>
      </x:c>
      <x:c r="AJ56" s="12" t="str">
        <x:v>good</x:v>
      </x:c>
      <x:c r="AK56" s="12" t="str">
        <x:v>not_applicable</x:v>
      </x:c>
      <x:c r="AL56" s="12" t="str">
        <x:v>none</x:v>
      </x:c>
      <x:c r="AM56" s="14" t="str">
        <x:v>Clear and well-aligned facial landmarks with no major pose, crop, or occlusion issue.</x:v>
      </x:c>
    </x:row>
    <x:row r="57" ht="30" customHeight="1">
      <x:c r="A57" s="12" t="str">
        <x:v>disgust_006</x:v>
      </x:c>
      <x:c r="B57" s="12" t="str">
        <x:v>disgust</x:v>
      </x:c>
      <x:c r="C57" s="14" t="str">
        <x:v>disgust/Training_52126443.jpg</x:v>
      </x:c>
      <x:c r="D57" s="12" t="str">
        <x:v>558b837b4d086aa477ac2fc652659e76aaee4b0e3844a8c8c316aadf730f8a8f</x:v>
      </x:c>
      <x:c r="E57" s="12" t="str">
        <x:v>558b837b4d086aa477ac2fc652659e76aaee4b0e3844a8c8c316aadf730f8a8f</x:v>
      </x:c>
      <x:c r="F57" s="12" t="str">
        <x:v>True</x:v>
      </x:c>
      <x:c r="G57" s="12" t="str">
        <x:v>48</x:v>
      </x:c>
      <x:c r="H57" s="12" t="str">
        <x:v>48</x:v>
      </x:c>
      <x:c r="I57" s="12" t="str">
        <x:v>0.0</x:v>
      </x:c>
      <x:c r="J57" s="12" t="str">
        <x:v>0.0</x:v>
      </x:c>
      <x:c r="K57" s="12" t="str">
        <x:v>47.0</x:v>
      </x:c>
      <x:c r="L57" s="12" t="str">
        <x:v>47.0</x:v>
      </x:c>
      <x:c r="M57" s="12" t="str">
        <x:v>True</x:v>
      </x:c>
      <x:c r="N57" s="12" t="str">
        <x:v>106</x:v>
      </x:c>
      <x:c r="O57" s="12" t="str">
        <x:v>106</x:v>
      </x:c>
      <x:c r="P57" s="16" t="str">
        <x:v>1.0</x:v>
      </x:c>
      <x:c r="Q57" s="12" t="str">
        <x:v>95</x:v>
      </x:c>
      <x:c r="R57" s="16" t="str">
        <x:v>0.8962264150943396</x:v>
      </x:c>
      <x:c r="S57" s="12" t="str">
        <x:v>0.2</x:v>
      </x:c>
      <x:c r="T57" s="12" t="str">
        <x:v>106</x:v>
      </x:c>
      <x:c r="U57" s="16" t="str">
        <x:v>1.0</x:v>
      </x:c>
      <x:c r="V57" s="18" t="str">
        <x:v>0.31997865438461304</x:v>
      </x:c>
      <x:c r="W57" s="18" t="str">
        <x:v>0.38602082431316376</x:v>
      </x:c>
      <x:c r="X57" s="18" t="str">
        <x:v>0.6068748831748962</x:v>
      </x:c>
      <x:c r="Y57" s="18" t="str">
        <x:v>0.586442232131958</x:v>
      </x:c>
      <x:c r="Z57" s="18" t="str">
        <x:v>0.8590050041675568</x:v>
      </x:c>
      <x:c r="AA57" s="18" t="str">
        <x:v>0.9686646461486816</x:v>
      </x:c>
      <x:c r="AB57" s="20" t="str">
        <x:v>106.15899999902467</x:v>
      </x:c>
      <x:c r="AC57" s="12" t="str">
        <x:v>overlays\disgust_006.png</x:v>
      </x:c>
      <x:c r="AD57" s="12" t="str"/>
      <x:c r="AE57" s="12" t="str"/>
      <x:c r="AF57" s="12" t="str">
        <x:v>good</x:v>
      </x:c>
      <x:c r="AG57" s="12" t="n">
        <x:v>1</x:v>
      </x:c>
      <x:c r="AH57" s="12" t="str">
        <x:v>good</x:v>
      </x:c>
      <x:c r="AI57" s="12" t="str">
        <x:v>good</x:v>
      </x:c>
      <x:c r="AJ57" s="12" t="str">
        <x:v>good</x:v>
      </x:c>
      <x:c r="AK57" s="12" t="str">
        <x:v>good</x:v>
      </x:c>
      <x:c r="AL57" s="12" t="str">
        <x:v>none</x:v>
      </x:c>
      <x:c r="AM57" s="14" t="str">
        <x:v>Clear and well-aligned facial landmarks with no major pose, crop, or occlusion issue.</x:v>
      </x:c>
    </x:row>
    <x:row r="58" ht="30" customHeight="1">
      <x:c r="A58" s="12" t="str">
        <x:v>disgust_007</x:v>
      </x:c>
      <x:c r="B58" s="12" t="str">
        <x:v>disgust</x:v>
      </x:c>
      <x:c r="C58" s="14" t="str">
        <x:v>disgust/Training_9948239.jpg</x:v>
      </x:c>
      <x:c r="D58" s="12" t="str">
        <x:v>f1de5b3ca255021aa6f2cc756bd4ae3fd4d5e2241004ff566c222647786a0996</x:v>
      </x:c>
      <x:c r="E58" s="12" t="str">
        <x:v>f1de5b3ca255021aa6f2cc756bd4ae3fd4d5e2241004ff566c222647786a0996</x:v>
      </x:c>
      <x:c r="F58" s="12" t="str">
        <x:v>True</x:v>
      </x:c>
      <x:c r="G58" s="12" t="str">
        <x:v>48</x:v>
      </x:c>
      <x:c r="H58" s="12" t="str">
        <x:v>48</x:v>
      </x:c>
      <x:c r="I58" s="12" t="str">
        <x:v>0.0</x:v>
      </x:c>
      <x:c r="J58" s="12" t="str">
        <x:v>0.0</x:v>
      </x:c>
      <x:c r="K58" s="12" t="str">
        <x:v>47.0</x:v>
      </x:c>
      <x:c r="L58" s="12" t="str">
        <x:v>47.0</x:v>
      </x:c>
      <x:c r="M58" s="12" t="str">
        <x:v>True</x:v>
      </x:c>
      <x:c r="N58" s="12" t="str">
        <x:v>106</x:v>
      </x:c>
      <x:c r="O58" s="12" t="str">
        <x:v>106</x:v>
      </x:c>
      <x:c r="P58" s="16" t="str">
        <x:v>1.0</x:v>
      </x:c>
      <x:c r="Q58" s="12" t="str">
        <x:v>95</x:v>
      </x:c>
      <x:c r="R58" s="16" t="str">
        <x:v>0.8962264150943396</x:v>
      </x:c>
      <x:c r="S58" s="12" t="str">
        <x:v>0.2</x:v>
      </x:c>
      <x:c r="T58" s="12" t="str">
        <x:v>106</x:v>
      </x:c>
      <x:c r="U58" s="16" t="str">
        <x:v>1.0</x:v>
      </x:c>
      <x:c r="V58" s="18" t="str">
        <x:v>0.2897346615791321</x:v>
      </x:c>
      <x:c r="W58" s="18" t="str">
        <x:v>0.3960043340921402</x:v>
      </x:c>
      <x:c r="X58" s="18" t="str">
        <x:v>0.6077779531478882</x:v>
      </x:c>
      <x:c r="Y58" s="18" t="str">
        <x:v>0.6030240058898926</x:v>
      </x:c>
      <x:c r="Z58" s="18" t="str">
        <x:v>0.8504916727542877</x:v>
      </x:c>
      <x:c r="AA58" s="18" t="str">
        <x:v>0.9422204494476318</x:v>
      </x:c>
      <x:c r="AB58" s="20" t="str">
        <x:v>101.95949999979348</x:v>
      </x:c>
      <x:c r="AC58" s="12" t="str">
        <x:v>overlays\disgust_007.png</x:v>
      </x:c>
      <x:c r="AD58" s="12" t="str"/>
      <x:c r="AE58" s="12" t="str"/>
      <x:c r="AF58" s="12" t="str">
        <x:v>good</x:v>
      </x:c>
      <x:c r="AG58" s="12" t="n">
        <x:v>1</x:v>
      </x:c>
      <x:c r="AH58" s="12" t="str">
        <x:v>good</x:v>
      </x:c>
      <x:c r="AI58" s="12" t="str">
        <x:v>good</x:v>
      </x:c>
      <x:c r="AJ58" s="12" t="str">
        <x:v>good</x:v>
      </x:c>
      <x:c r="AK58" s="12" t="str">
        <x:v>not_applicable</x:v>
      </x:c>
      <x:c r="AL58" s="12" t="str">
        <x:v>none</x:v>
      </x:c>
      <x:c r="AM58" s="14" t="str">
        <x:v>Clear and well-aligned facial landmarks with no major pose, crop, or occlusion issue.</x:v>
      </x:c>
    </x:row>
    <x:row r="59" ht="30" customHeight="1">
      <x:c r="A59" s="12" t="str">
        <x:v>disgust_008</x:v>
      </x:c>
      <x:c r="B59" s="12" t="str">
        <x:v>disgust</x:v>
      </x:c>
      <x:c r="C59" s="14" t="str">
        <x:v>disgust/Training_50925427.jpg</x:v>
      </x:c>
      <x:c r="D59" s="12" t="str">
        <x:v>f64ef00facafc7ec4203495a33c4b4d094e64346a0d5014a35cd79231ba042b3</x:v>
      </x:c>
      <x:c r="E59" s="12" t="str">
        <x:v>f64ef00facafc7ec4203495a33c4b4d094e64346a0d5014a35cd79231ba042b3</x:v>
      </x:c>
      <x:c r="F59" s="12" t="str">
        <x:v>True</x:v>
      </x:c>
      <x:c r="G59" s="12" t="str">
        <x:v>48</x:v>
      </x:c>
      <x:c r="H59" s="12" t="str">
        <x:v>48</x:v>
      </x:c>
      <x:c r="I59" s="12" t="str">
        <x:v>0.0</x:v>
      </x:c>
      <x:c r="J59" s="12" t="str">
        <x:v>0.0</x:v>
      </x:c>
      <x:c r="K59" s="12" t="str">
        <x:v>47.0</x:v>
      </x:c>
      <x:c r="L59" s="12" t="str">
        <x:v>47.0</x:v>
      </x:c>
      <x:c r="M59" s="12" t="str">
        <x:v>True</x:v>
      </x:c>
      <x:c r="N59" s="12" t="str">
        <x:v>106</x:v>
      </x:c>
      <x:c r="O59" s="12" t="str">
        <x:v>106</x:v>
      </x:c>
      <x:c r="P59" s="16" t="str">
        <x:v>1.0</x:v>
      </x:c>
      <x:c r="Q59" s="12" t="str">
        <x:v>98</x:v>
      </x:c>
      <x:c r="R59" s="16" t="str">
        <x:v>0.9245283018867925</x:v>
      </x:c>
      <x:c r="S59" s="12" t="str">
        <x:v>0.2</x:v>
      </x:c>
      <x:c r="T59" s="12" t="str">
        <x:v>106</x:v>
      </x:c>
      <x:c r="U59" s="16" t="str">
        <x:v>1.0</x:v>
      </x:c>
      <x:c r="V59" s="18" t="str">
        <x:v>0.28048422932624817</x:v>
      </x:c>
      <x:c r="W59" s="18" t="str">
        <x:v>0.37010833621025085</x:v>
      </x:c>
      <x:c r="X59" s="18" t="str">
        <x:v>0.6254865527153015</x:v>
      </x:c>
      <x:c r="Y59" s="18" t="str">
        <x:v>0.6102465987205505</x:v>
      </x:c>
      <x:c r="Z59" s="18" t="str">
        <x:v>0.8918490409851074</x:v>
      </x:c>
      <x:c r="AA59" s="18" t="str">
        <x:v>1.00799560546875</x:v>
      </x:c>
      <x:c r="AB59" s="20" t="str">
        <x:v>105.75299999982235</x:v>
      </x:c>
      <x:c r="AC59" s="12" t="str">
        <x:v>overlays\disgust_008.png</x:v>
      </x:c>
      <x:c r="AD59" s="12" t="str"/>
      <x:c r="AE59" s="12" t="str"/>
      <x:c r="AF59" s="12" t="str">
        <x:v>good</x:v>
      </x:c>
      <x:c r="AG59" s="12" t="n">
        <x:v>1</x:v>
      </x:c>
      <x:c r="AH59" s="12" t="str">
        <x:v>good</x:v>
      </x:c>
      <x:c r="AI59" s="12" t="str">
        <x:v>good</x:v>
      </x:c>
      <x:c r="AJ59" s="12" t="str">
        <x:v>good</x:v>
      </x:c>
      <x:c r="AK59" s="12" t="str">
        <x:v>not_applicable</x:v>
      </x:c>
      <x:c r="AL59" s="12" t="str">
        <x:v>none</x:v>
      </x:c>
      <x:c r="AM59" s="14" t="str">
        <x:v>Clear and well-aligned facial landmarks with no major pose, crop, or occlusion issue.</x:v>
      </x:c>
    </x:row>
    <x:row r="60" ht="30" customHeight="1">
      <x:c r="A60" s="12" t="str">
        <x:v>disgust_009</x:v>
      </x:c>
      <x:c r="B60" s="12" t="str">
        <x:v>disgust</x:v>
      </x:c>
      <x:c r="C60" s="14" t="str">
        <x:v>disgust/Training_76279247.jpg</x:v>
      </x:c>
      <x:c r="D60" s="12" t="str">
        <x:v>a8d1e104ab9357d080a586da31d009b1baff1a7d5cb500b49cf715d210bfdca4</x:v>
      </x:c>
      <x:c r="E60" s="12" t="str">
        <x:v>a8d1e104ab9357d080a586da31d009b1baff1a7d5cb500b49cf715d210bfdca4</x:v>
      </x:c>
      <x:c r="F60" s="12" t="str">
        <x:v>True</x:v>
      </x:c>
      <x:c r="G60" s="12" t="str">
        <x:v>48</x:v>
      </x:c>
      <x:c r="H60" s="12" t="str">
        <x:v>48</x:v>
      </x:c>
      <x:c r="I60" s="12" t="str">
        <x:v>0.0</x:v>
      </x:c>
      <x:c r="J60" s="12" t="str">
        <x:v>0.0</x:v>
      </x:c>
      <x:c r="K60" s="12" t="str">
        <x:v>47.0</x:v>
      </x:c>
      <x:c r="L60" s="12" t="str">
        <x:v>47.0</x:v>
      </x:c>
      <x:c r="M60" s="12" t="str">
        <x:v>True</x:v>
      </x:c>
      <x:c r="N60" s="12" t="str">
        <x:v>106</x:v>
      </x:c>
      <x:c r="O60" s="12" t="str">
        <x:v>106</x:v>
      </x:c>
      <x:c r="P60" s="16" t="str">
        <x:v>1.0</x:v>
      </x:c>
      <x:c r="Q60" s="12" t="str">
        <x:v>96</x:v>
      </x:c>
      <x:c r="R60" s="16" t="str">
        <x:v>0.9056603773584906</x:v>
      </x:c>
      <x:c r="S60" s="12" t="str">
        <x:v>0.2</x:v>
      </x:c>
      <x:c r="T60" s="12" t="str">
        <x:v>106</x:v>
      </x:c>
      <x:c r="U60" s="16" t="str">
        <x:v>1.0</x:v>
      </x:c>
      <x:c r="V60" s="18" t="str">
        <x:v>0.3603992760181427</x:v>
      </x:c>
      <x:c r="W60" s="18" t="str">
        <x:v>0.44053517282009125</x:v>
      </x:c>
      <x:c r="X60" s="18" t="str">
        <x:v>0.6474098563194275</x:v>
      </x:c>
      <x:c r="Y60" s="18" t="str">
        <x:v>0.616654634475708</x:v>
      </x:c>
      <x:c r="Z60" s="18" t="str">
        <x:v>0.8965896368026733</x:v>
      </x:c>
      <x:c r="AA60" s="18" t="str">
        <x:v>0.9828836917877197</x:v>
      </x:c>
      <x:c r="AB60" s="20" t="str">
        <x:v>98.25629999977536</x:v>
      </x:c>
      <x:c r="AC60" s="12" t="str">
        <x:v>overlays\disgust_009.png</x:v>
      </x:c>
      <x:c r="AD60" s="12" t="str"/>
      <x:c r="AE60" s="12" t="str"/>
      <x:c r="AF60" s="12" t="str">
        <x:v>good</x:v>
      </x:c>
      <x:c r="AG60" s="12" t="n">
        <x:v>1</x:v>
      </x:c>
      <x:c r="AH60" s="12" t="str">
        <x:v>good</x:v>
      </x:c>
      <x:c r="AI60" s="12" t="str">
        <x:v>good</x:v>
      </x:c>
      <x:c r="AJ60" s="12" t="str">
        <x:v>good</x:v>
      </x:c>
      <x:c r="AK60" s="12" t="str">
        <x:v>not_applicable</x:v>
      </x:c>
      <x:c r="AL60" s="12" t="str">
        <x:v>none</x:v>
      </x:c>
      <x:c r="AM60" s="14" t="str">
        <x:v>Clear and well-aligned facial landmarks with no major pose, crop, or occlusion issue.</x:v>
      </x:c>
    </x:row>
    <x:row r="61" ht="30" customHeight="1">
      <x:c r="A61" s="12" t="str">
        <x:v>disgust_010</x:v>
      </x:c>
      <x:c r="B61" s="12" t="str">
        <x:v>disgust</x:v>
      </x:c>
      <x:c r="C61" s="14" t="str">
        <x:v>disgust/Training_39831964.jpg</x:v>
      </x:c>
      <x:c r="D61" s="12" t="str">
        <x:v>d1062b436912a8c89e2037e19da3b93f0c7ee49d90767a23bdaf67d5c365999a</x:v>
      </x:c>
      <x:c r="E61" s="12" t="str">
        <x:v>d1062b436912a8c89e2037e19da3b93f0c7ee49d90767a23bdaf67d5c365999a</x:v>
      </x:c>
      <x:c r="F61" s="12" t="str">
        <x:v>True</x:v>
      </x:c>
      <x:c r="G61" s="12" t="str">
        <x:v>48</x:v>
      </x:c>
      <x:c r="H61" s="12" t="str">
        <x:v>48</x:v>
      </x:c>
      <x:c r="I61" s="12" t="str">
        <x:v>0.0</x:v>
      </x:c>
      <x:c r="J61" s="12" t="str">
        <x:v>0.0</x:v>
      </x:c>
      <x:c r="K61" s="12" t="str">
        <x:v>47.0</x:v>
      </x:c>
      <x:c r="L61" s="12" t="str">
        <x:v>47.0</x:v>
      </x:c>
      <x:c r="M61" s="12" t="str">
        <x:v>True</x:v>
      </x:c>
      <x:c r="N61" s="12" t="str">
        <x:v>106</x:v>
      </x:c>
      <x:c r="O61" s="12" t="str">
        <x:v>106</x:v>
      </x:c>
      <x:c r="P61" s="16" t="str">
        <x:v>1.0</x:v>
      </x:c>
      <x:c r="Q61" s="12" t="str">
        <x:v>87</x:v>
      </x:c>
      <x:c r="R61" s="16" t="str">
        <x:v>0.8207547169811321</x:v>
      </x:c>
      <x:c r="S61" s="12" t="str">
        <x:v>0.2</x:v>
      </x:c>
      <x:c r="T61" s="12" t="str">
        <x:v>106</x:v>
      </x:c>
      <x:c r="U61" s="16" t="str">
        <x:v>1.0</x:v>
      </x:c>
      <x:c r="V61" s="18" t="str">
        <x:v>0.4278396964073181</x:v>
      </x:c>
      <x:c r="W61" s="18" t="str">
        <x:v>0.47733430564403534</x:v>
      </x:c>
      <x:c r="X61" s="18" t="str">
        <x:v>0.602110743522644</x:v>
      </x:c>
      <x:c r="Y61" s="18" t="str">
        <x:v>0.5827285051345825</x:v>
      </x:c>
      <x:c r="Z61" s="18" t="str">
        <x:v>0.7827273607254028</x:v>
      </x:c>
      <x:c r="AA61" s="18" t="str">
        <x:v>0.8149194121360779</x:v>
      </x:c>
      <x:c r="AB61" s="20" t="str">
        <x:v>120.02009999923757</x:v>
      </x:c>
      <x:c r="AC61" s="12" t="str">
        <x:v>overlays\disgust_010.png</x:v>
      </x:c>
      <x:c r="AD61" s="12" t="str"/>
      <x:c r="AE61" s="12" t="str"/>
      <x:c r="AF61" s="12" t="str">
        <x:v>acceptable</x:v>
      </x:c>
      <x:c r="AG61" s="12" t="n">
        <x:v>1</x:v>
      </x:c>
      <x:c r="AH61" s="12" t="str">
        <x:v>acceptable</x:v>
      </x:c>
      <x:c r="AI61" s="12" t="str">
        <x:v>acceptable</x:v>
      </x:c>
      <x:c r="AJ61" s="12" t="str">
        <x:v>acceptable</x:v>
      </x:c>
      <x:c r="AK61" s="12" t="str">
        <x:v>not_applicable</x:v>
      </x:c>
      <x:c r="AL61" s="12" t="str">
        <x:v>mild</x:v>
      </x:c>
      <x:c r="AM61" s="14" t="str">
        <x:v>Tight crop places several contour points outside the frame; central facial landmarks remain usable.</x:v>
      </x:c>
    </x:row>
    <x:row r="62" ht="30" customHeight="1">
      <x:c r="A62" s="12" t="str">
        <x:v>disgust_011</x:v>
      </x:c>
      <x:c r="B62" s="12" t="str">
        <x:v>disgust</x:v>
      </x:c>
      <x:c r="C62" s="14" t="str">
        <x:v>disgust/Training_96356478.jpg</x:v>
      </x:c>
      <x:c r="D62" s="12" t="str">
        <x:v>976cb0c537e7bcc424134abb7035d503dd8ad4f0ee18d0672f22b727b712a498</x:v>
      </x:c>
      <x:c r="E62" s="12" t="str">
        <x:v>976cb0c537e7bcc424134abb7035d503dd8ad4f0ee18d0672f22b727b712a498</x:v>
      </x:c>
      <x:c r="F62" s="12" t="str">
        <x:v>True</x:v>
      </x:c>
      <x:c r="G62" s="12" t="str">
        <x:v>48</x:v>
      </x:c>
      <x:c r="H62" s="12" t="str">
        <x:v>48</x:v>
      </x:c>
      <x:c r="I62" s="12" t="str">
        <x:v>0.0</x:v>
      </x:c>
      <x:c r="J62" s="12" t="str">
        <x:v>0.0</x:v>
      </x:c>
      <x:c r="K62" s="12" t="str">
        <x:v>47.0</x:v>
      </x:c>
      <x:c r="L62" s="12" t="str">
        <x:v>47.0</x:v>
      </x:c>
      <x:c r="M62" s="12" t="str">
        <x:v>True</x:v>
      </x:c>
      <x:c r="N62" s="12" t="str">
        <x:v>106</x:v>
      </x:c>
      <x:c r="O62" s="12" t="str">
        <x:v>106</x:v>
      </x:c>
      <x:c r="P62" s="16" t="str">
        <x:v>1.0</x:v>
      </x:c>
      <x:c r="Q62" s="12" t="str">
        <x:v>99</x:v>
      </x:c>
      <x:c r="R62" s="16" t="str">
        <x:v>0.9339622641509434</x:v>
      </x:c>
      <x:c r="S62" s="12" t="str">
        <x:v>0.2</x:v>
      </x:c>
      <x:c r="T62" s="12" t="str">
        <x:v>106</x:v>
      </x:c>
      <x:c r="U62" s="16" t="str">
        <x:v>1.0</x:v>
      </x:c>
      <x:c r="V62" s="18" t="str">
        <x:v>0.3784095346927643</x:v>
      </x:c>
      <x:c r="W62" s="18" t="str">
        <x:v>0.4664573669433594</x:v>
      </x:c>
      <x:c r="X62" s="18" t="str">
        <x:v>0.6432525515556335</x:v>
      </x:c>
      <x:c r="Y62" s="18" t="str">
        <x:v>0.6280139088630676</x:v>
      </x:c>
      <x:c r="Z62" s="18" t="str">
        <x:v>0.8910892307758331</x:v>
      </x:c>
      <x:c r="AA62" s="18" t="str">
        <x:v>0.9401596784591675</x:v>
      </x:c>
      <x:c r="AB62" s="20" t="str">
        <x:v>100.35570000036387</x:v>
      </x:c>
      <x:c r="AC62" s="12" t="str">
        <x:v>overlays\disgust_011.png</x:v>
      </x:c>
      <x:c r="AD62" s="12" t="str"/>
      <x:c r="AE62" s="12" t="str"/>
      <x:c r="AF62" s="12" t="str">
        <x:v>good</x:v>
      </x:c>
      <x:c r="AG62" s="12" t="n">
        <x:v>1</x:v>
      </x:c>
      <x:c r="AH62" s="12" t="str">
        <x:v>good</x:v>
      </x:c>
      <x:c r="AI62" s="12" t="str">
        <x:v>good</x:v>
      </x:c>
      <x:c r="AJ62" s="12" t="str">
        <x:v>good</x:v>
      </x:c>
      <x:c r="AK62" s="12" t="str">
        <x:v>not_applicable</x:v>
      </x:c>
      <x:c r="AL62" s="12" t="str">
        <x:v>none</x:v>
      </x:c>
      <x:c r="AM62" s="14" t="str">
        <x:v>Clear and well-aligned facial landmarks with no major pose, crop, or occlusion issue.</x:v>
      </x:c>
    </x:row>
    <x:row r="63" ht="30" customHeight="1">
      <x:c r="A63" s="12" t="str">
        <x:v>disgust_012</x:v>
      </x:c>
      <x:c r="B63" s="12" t="str">
        <x:v>disgust</x:v>
      </x:c>
      <x:c r="C63" s="14" t="str">
        <x:v>disgust/Training_14049546.jpg</x:v>
      </x:c>
      <x:c r="D63" s="12" t="str">
        <x:v>fe0732aa8c457060678bb87a9551c3dc8aeb565c4c45ece7a5f72ccd4378a153</x:v>
      </x:c>
      <x:c r="E63" s="12" t="str">
        <x:v>fe0732aa8c457060678bb87a9551c3dc8aeb565c4c45ece7a5f72ccd4378a153</x:v>
      </x:c>
      <x:c r="F63" s="12" t="str">
        <x:v>True</x:v>
      </x:c>
      <x:c r="G63" s="12" t="str">
        <x:v>48</x:v>
      </x:c>
      <x:c r="H63" s="12" t="str">
        <x:v>48</x:v>
      </x:c>
      <x:c r="I63" s="12" t="str">
        <x:v>0.0</x:v>
      </x:c>
      <x:c r="J63" s="12" t="str">
        <x:v>0.0</x:v>
      </x:c>
      <x:c r="K63" s="12" t="str">
        <x:v>47.0</x:v>
      </x:c>
      <x:c r="L63" s="12" t="str">
        <x:v>47.0</x:v>
      </x:c>
      <x:c r="M63" s="12" t="str">
        <x:v>True</x:v>
      </x:c>
      <x:c r="N63" s="12" t="str">
        <x:v>106</x:v>
      </x:c>
      <x:c r="O63" s="12" t="str">
        <x:v>106</x:v>
      </x:c>
      <x:c r="P63" s="16" t="str">
        <x:v>1.0</x:v>
      </x:c>
      <x:c r="Q63" s="12" t="str">
        <x:v>86</x:v>
      </x:c>
      <x:c r="R63" s="16" t="str">
        <x:v>0.8113207547169812</x:v>
      </x:c>
      <x:c r="S63" s="12" t="str">
        <x:v>0.2</x:v>
      </x:c>
      <x:c r="T63" s="12" t="str">
        <x:v>106</x:v>
      </x:c>
      <x:c r="U63" s="16" t="str">
        <x:v>1.0</x:v>
      </x:c>
      <x:c r="V63" s="18" t="str">
        <x:v>0.29414764046669006</x:v>
      </x:c>
      <x:c r="W63" s="18" t="str">
        <x:v>0.4210924506187439</x:v>
      </x:c>
      <x:c r="X63" s="18" t="str">
        <x:v>0.560792863368988</x:v>
      </x:c>
      <x:c r="Y63" s="18" t="str">
        <x:v>0.546140730381012</x:v>
      </x:c>
      <x:c r="Z63" s="18" t="str">
        <x:v>0.7059762477874756</x:v>
      </x:c>
      <x:c r="AA63" s="18" t="str">
        <x:v>0.7886619567871094</x:v>
      </x:c>
      <x:c r="AB63" s="20" t="str">
        <x:v>105.14360000161105</x:v>
      </x:c>
      <x:c r="AC63" s="12" t="str">
        <x:v>overlays\disgust_012.png</x:v>
      </x:c>
      <x:c r="AD63" s="12" t="str"/>
      <x:c r="AE63" s="12" t="str"/>
      <x:c r="AF63" s="12" t="str">
        <x:v>acceptable</x:v>
      </x:c>
      <x:c r="AG63" s="12" t="n">
        <x:v>1</x:v>
      </x:c>
      <x:c r="AH63" s="12" t="str">
        <x:v>acceptable</x:v>
      </x:c>
      <x:c r="AI63" s="12" t="str">
        <x:v>acceptable</x:v>
      </x:c>
      <x:c r="AJ63" s="12" t="str">
        <x:v>acceptable</x:v>
      </x:c>
      <x:c r="AK63" s="12" t="str">
        <x:v>not_applicable</x:v>
      </x:c>
      <x:c r="AL63" s="12" t="str">
        <x:v>mild</x:v>
      </x:c>
      <x:c r="AM63" s="14" t="str">
        <x:v>Tight crop places several contour points outside the frame; central facial landmarks remain usable.</x:v>
      </x:c>
    </x:row>
    <x:row r="64" ht="30" customHeight="1">
      <x:c r="A64" s="12" t="str">
        <x:v>disgust_013</x:v>
      </x:c>
      <x:c r="B64" s="12" t="str">
        <x:v>disgust</x:v>
      </x:c>
      <x:c r="C64" s="14" t="str">
        <x:v>disgust/Training_87032685.jpg</x:v>
      </x:c>
      <x:c r="D64" s="12" t="str">
        <x:v>8491b40934bff848050addcda9637e90b6342054227afc41e85726c84210abb0</x:v>
      </x:c>
      <x:c r="E64" s="12" t="str">
        <x:v>8491b40934bff848050addcda9637e90b6342054227afc41e85726c84210abb0</x:v>
      </x:c>
      <x:c r="F64" s="12" t="str">
        <x:v>True</x:v>
      </x:c>
      <x:c r="G64" s="12" t="str">
        <x:v>48</x:v>
      </x:c>
      <x:c r="H64" s="12" t="str">
        <x:v>48</x:v>
      </x:c>
      <x:c r="I64" s="12" t="str">
        <x:v>0.0</x:v>
      </x:c>
      <x:c r="J64" s="12" t="str">
        <x:v>0.0</x:v>
      </x:c>
      <x:c r="K64" s="12" t="str">
        <x:v>47.0</x:v>
      </x:c>
      <x:c r="L64" s="12" t="str">
        <x:v>47.0</x:v>
      </x:c>
      <x:c r="M64" s="12" t="str">
        <x:v>True</x:v>
      </x:c>
      <x:c r="N64" s="12" t="str">
        <x:v>106</x:v>
      </x:c>
      <x:c r="O64" s="12" t="str">
        <x:v>106</x:v>
      </x:c>
      <x:c r="P64" s="16" t="str">
        <x:v>1.0</x:v>
      </x:c>
      <x:c r="Q64" s="12" t="str">
        <x:v>95</x:v>
      </x:c>
      <x:c r="R64" s="16" t="str">
        <x:v>0.8962264150943396</x:v>
      </x:c>
      <x:c r="S64" s="12" t="str">
        <x:v>0.2</x:v>
      </x:c>
      <x:c r="T64" s="12" t="str">
        <x:v>106</x:v>
      </x:c>
      <x:c r="U64" s="16" t="str">
        <x:v>1.0</x:v>
      </x:c>
      <x:c r="V64" s="18" t="str">
        <x:v>0.3424452245235443</x:v>
      </x:c>
      <x:c r="W64" s="18" t="str">
        <x:v>0.40327930450439453</x:v>
      </x:c>
      <x:c r="X64" s="18" t="str">
        <x:v>0.6122353076934814</x:v>
      </x:c>
      <x:c r="Y64" s="18" t="str">
        <x:v>0.5830301642417908</x:v>
      </x:c>
      <x:c r="Z64" s="18" t="str">
        <x:v>0.8776926398277283</x:v>
      </x:c>
      <x:c r="AA64" s="18" t="str">
        <x:v>0.947283148765564</x:v>
      </x:c>
      <x:c r="AB64" s="20" t="str">
        <x:v>113.97760000181734</x:v>
      </x:c>
      <x:c r="AC64" s="12" t="str">
        <x:v>overlays\disgust_013.png</x:v>
      </x:c>
      <x:c r="AD64" s="12" t="str"/>
      <x:c r="AE64" s="12" t="str"/>
      <x:c r="AF64" s="12" t="str">
        <x:v>good</x:v>
      </x:c>
      <x:c r="AG64" s="12" t="n">
        <x:v>1</x:v>
      </x:c>
      <x:c r="AH64" s="12" t="str">
        <x:v>good</x:v>
      </x:c>
      <x:c r="AI64" s="12" t="str">
        <x:v>good</x:v>
      </x:c>
      <x:c r="AJ64" s="12" t="str">
        <x:v>good</x:v>
      </x:c>
      <x:c r="AK64" s="12" t="str">
        <x:v>not_applicable</x:v>
      </x:c>
      <x:c r="AL64" s="12" t="str">
        <x:v>none</x:v>
      </x:c>
      <x:c r="AM64" s="14" t="str">
        <x:v>Clear and well-aligned facial landmarks with no major pose, crop, or occlusion issue.</x:v>
      </x:c>
    </x:row>
    <x:row r="65" ht="30" customHeight="1">
      <x:c r="A65" s="12" t="str">
        <x:v>disgust_014</x:v>
      </x:c>
      <x:c r="B65" s="12" t="str">
        <x:v>disgust</x:v>
      </x:c>
      <x:c r="C65" s="14" t="str">
        <x:v>disgust/Training_61291772.jpg</x:v>
      </x:c>
      <x:c r="D65" s="12" t="str">
        <x:v>ff5d503caabd02caec530a2eb7e23b4ce7eeb84760c7760a5b82c31969eb437e</x:v>
      </x:c>
      <x:c r="E65" s="12" t="str">
        <x:v>ff5d503caabd02caec530a2eb7e23b4ce7eeb84760c7760a5b82c31969eb437e</x:v>
      </x:c>
      <x:c r="F65" s="12" t="str">
        <x:v>True</x:v>
      </x:c>
      <x:c r="G65" s="12" t="str">
        <x:v>48</x:v>
      </x:c>
      <x:c r="H65" s="12" t="str">
        <x:v>48</x:v>
      </x:c>
      <x:c r="I65" s="12" t="str">
        <x:v>0.0</x:v>
      </x:c>
      <x:c r="J65" s="12" t="str">
        <x:v>0.0</x:v>
      </x:c>
      <x:c r="K65" s="12" t="str">
        <x:v>47.0</x:v>
      </x:c>
      <x:c r="L65" s="12" t="str">
        <x:v>47.0</x:v>
      </x:c>
      <x:c r="M65" s="12" t="str">
        <x:v>True</x:v>
      </x:c>
      <x:c r="N65" s="12" t="str">
        <x:v>106</x:v>
      </x:c>
      <x:c r="O65" s="12" t="str">
        <x:v>106</x:v>
      </x:c>
      <x:c r="P65" s="16" t="str">
        <x:v>1.0</x:v>
      </x:c>
      <x:c r="Q65" s="12" t="str">
        <x:v>80</x:v>
      </x:c>
      <x:c r="R65" s="16" t="str">
        <x:v>0.7547169811320755</x:v>
      </x:c>
      <x:c r="S65" s="12" t="str">
        <x:v>0.2</x:v>
      </x:c>
      <x:c r="T65" s="12" t="str">
        <x:v>106</x:v>
      </x:c>
      <x:c r="U65" s="16" t="str">
        <x:v>1.0</x:v>
      </x:c>
      <x:c r="V65" s="18" t="str">
        <x:v>0.4314264953136444</x:v>
      </x:c>
      <x:c r="W65" s="18" t="str">
        <x:v>0.5221026837825775</x:v>
      </x:c>
      <x:c r="X65" s="18" t="str">
        <x:v>0.6921616792678833</x:v>
      </x:c>
      <x:c r="Y65" s="18" t="str">
        <x:v>0.7052494883537292</x:v>
      </x:c>
      <x:c r="Z65" s="18" t="str">
        <x:v>0.8375602662563324</x:v>
      </x:c>
      <x:c r="AA65" s="18" t="str">
        <x:v>0.8998353481292725</x:v>
      </x:c>
      <x:c r="AB65" s="20" t="str">
        <x:v>101.95360000216169</x:v>
      </x:c>
      <x:c r="AC65" s="12" t="str">
        <x:v>overlays\disgust_014.png</x:v>
      </x:c>
      <x:c r="AD65" s="12" t="str"/>
      <x:c r="AE65" s="12" t="str"/>
      <x:c r="AF65" s="12" t="str">
        <x:v>acceptable</x:v>
      </x:c>
      <x:c r="AG65" s="12" t="n">
        <x:v>1</x:v>
      </x:c>
      <x:c r="AH65" s="12" t="str">
        <x:v>acceptable</x:v>
      </x:c>
      <x:c r="AI65" s="12" t="str">
        <x:v>acceptable</x:v>
      </x:c>
      <x:c r="AJ65" s="12" t="str">
        <x:v>acceptable</x:v>
      </x:c>
      <x:c r="AK65" s="12" t="str">
        <x:v>not_applicable</x:v>
      </x:c>
      <x:c r="AL65" s="12" t="str">
        <x:v>mild</x:v>
      </x:c>
      <x:c r="AM65" s="14" t="str">
        <x:v>Tight crop places several contour points outside the frame; central facial landmarks remain usable.</x:v>
      </x:c>
    </x:row>
    <x:row r="66" ht="30" customHeight="1">
      <x:c r="A66" s="12" t="str">
        <x:v>disgust_015</x:v>
      </x:c>
      <x:c r="B66" s="12" t="str">
        <x:v>disgust</x:v>
      </x:c>
      <x:c r="C66" s="14" t="str">
        <x:v>disgust/Training_68677948.jpg</x:v>
      </x:c>
      <x:c r="D66" s="12" t="str">
        <x:v>c1de35dec83cba05f0668c5934a2f1e2e0f8ec93aa916b0867ac586f30371354</x:v>
      </x:c>
      <x:c r="E66" s="12" t="str">
        <x:v>c1de35dec83cba05f0668c5934a2f1e2e0f8ec93aa916b0867ac586f30371354</x:v>
      </x:c>
      <x:c r="F66" s="12" t="str">
        <x:v>True</x:v>
      </x:c>
      <x:c r="G66" s="12" t="str">
        <x:v>48</x:v>
      </x:c>
      <x:c r="H66" s="12" t="str">
        <x:v>48</x:v>
      </x:c>
      <x:c r="I66" s="12" t="str">
        <x:v>0.0</x:v>
      </x:c>
      <x:c r="J66" s="12" t="str">
        <x:v>0.0</x:v>
      </x:c>
      <x:c r="K66" s="12" t="str">
        <x:v>47.0</x:v>
      </x:c>
      <x:c r="L66" s="12" t="str">
        <x:v>47.0</x:v>
      </x:c>
      <x:c r="M66" s="12" t="str">
        <x:v>True</x:v>
      </x:c>
      <x:c r="N66" s="12" t="str">
        <x:v>106</x:v>
      </x:c>
      <x:c r="O66" s="12" t="str">
        <x:v>106</x:v>
      </x:c>
      <x:c r="P66" s="16" t="str">
        <x:v>1.0</x:v>
      </x:c>
      <x:c r="Q66" s="12" t="str">
        <x:v>85</x:v>
      </x:c>
      <x:c r="R66" s="16" t="str">
        <x:v>0.8018867924528302</x:v>
      </x:c>
      <x:c r="S66" s="12" t="str">
        <x:v>0.2</x:v>
      </x:c>
      <x:c r="T66" s="12" t="str">
        <x:v>106</x:v>
      </x:c>
      <x:c r="U66" s="16" t="str">
        <x:v>1.0</x:v>
      </x:c>
      <x:c r="V66" s="18" t="str">
        <x:v>0.25207483768463135</x:v>
      </x:c>
      <x:c r="W66" s="18" t="str">
        <x:v>0.33118361234664917</x:v>
      </x:c>
      <x:c r="X66" s="18" t="str">
        <x:v>0.5039839744567871</x:v>
      </x:c>
      <x:c r="Y66" s="18" t="str">
        <x:v>0.48987627029418945</x:v>
      </x:c>
      <x:c r="Z66" s="18" t="str">
        <x:v>0.6978126466274261</x:v>
      </x:c>
      <x:c r="AA66" s="18" t="str">
        <x:v>0.7437838315963745</x:v>
      </x:c>
      <x:c r="AB66" s="20" t="str">
        <x:v>101.10599999825354</x:v>
      </x:c>
      <x:c r="AC66" s="12" t="str">
        <x:v>overlays\disgust_015.png</x:v>
      </x:c>
      <x:c r="AD66" s="12" t="str"/>
      <x:c r="AE66" s="12" t="str"/>
      <x:c r="AF66" s="12" t="str">
        <x:v>acceptable</x:v>
      </x:c>
      <x:c r="AG66" s="12" t="n">
        <x:v>1</x:v>
      </x:c>
      <x:c r="AH66" s="12" t="str">
        <x:v>acceptable</x:v>
      </x:c>
      <x:c r="AI66" s="12" t="str">
        <x:v>acceptable</x:v>
      </x:c>
      <x:c r="AJ66" s="12" t="str">
        <x:v>acceptable</x:v>
      </x:c>
      <x:c r="AK66" s="12" t="str">
        <x:v>not_applicable</x:v>
      </x:c>
      <x:c r="AL66" s="12" t="str">
        <x:v>mild</x:v>
      </x:c>
      <x:c r="AM66" s="14" t="str">
        <x:v>Tight crop places several contour points outside the frame; central facial landmarks remain usable.</x:v>
      </x:c>
    </x:row>
    <x:row r="67" ht="30" customHeight="1">
      <x:c r="A67" s="12" t="str">
        <x:v>disgust_016</x:v>
      </x:c>
      <x:c r="B67" s="12" t="str">
        <x:v>disgust</x:v>
      </x:c>
      <x:c r="C67" s="14" t="str">
        <x:v>disgust/Training_24592307.jpg</x:v>
      </x:c>
      <x:c r="D67" s="12" t="str">
        <x:v>cd41c34e373c959d634c06e531016ed417c510750ada67758888873217834781</x:v>
      </x:c>
      <x:c r="E67" s="12" t="str">
        <x:v>cd41c34e373c959d634c06e531016ed417c510750ada67758888873217834781</x:v>
      </x:c>
      <x:c r="F67" s="12" t="str">
        <x:v>True</x:v>
      </x:c>
      <x:c r="G67" s="12" t="str">
        <x:v>48</x:v>
      </x:c>
      <x:c r="H67" s="12" t="str">
        <x:v>48</x:v>
      </x:c>
      <x:c r="I67" s="12" t="str">
        <x:v>0.0</x:v>
      </x:c>
      <x:c r="J67" s="12" t="str">
        <x:v>0.0</x:v>
      </x:c>
      <x:c r="K67" s="12" t="str">
        <x:v>47.0</x:v>
      </x:c>
      <x:c r="L67" s="12" t="str">
        <x:v>47.0</x:v>
      </x:c>
      <x:c r="M67" s="12" t="str">
        <x:v>True</x:v>
      </x:c>
      <x:c r="N67" s="12" t="str">
        <x:v>106</x:v>
      </x:c>
      <x:c r="O67" s="12" t="str">
        <x:v>106</x:v>
      </x:c>
      <x:c r="P67" s="16" t="str">
        <x:v>1.0</x:v>
      </x:c>
      <x:c r="Q67" s="12" t="str">
        <x:v>99</x:v>
      </x:c>
      <x:c r="R67" s="16" t="str">
        <x:v>0.9339622641509434</x:v>
      </x:c>
      <x:c r="S67" s="12" t="str">
        <x:v>0.2</x:v>
      </x:c>
      <x:c r="T67" s="12" t="str">
        <x:v>106</x:v>
      </x:c>
      <x:c r="U67" s="16" t="str">
        <x:v>1.0</x:v>
      </x:c>
      <x:c r="V67" s="18" t="str">
        <x:v>0.48261046409606934</x:v>
      </x:c>
      <x:c r="W67" s="18" t="str">
        <x:v>0.5456175804138184</x:v>
      </x:c>
      <x:c r="X67" s="18" t="str">
        <x:v>0.681291401386261</x:v>
      </x:c>
      <x:c r="Y67" s="18" t="str">
        <x:v>0.6736956834793091</x:v>
      </x:c>
      <x:c r="Z67" s="18" t="str">
        <x:v>0.8476321399211884</x:v>
      </x:c>
      <x:c r="AA67" s="18" t="str">
        <x:v>0.9524921774864197</x:v>
      </x:c>
      <x:c r="AB67" s="20" t="str">
        <x:v>109.86459999912768</x:v>
      </x:c>
      <x:c r="AC67" s="12" t="str">
        <x:v>overlays\disgust_016.png</x:v>
      </x:c>
      <x:c r="AD67" s="12" t="str"/>
      <x:c r="AE67" s="12" t="str"/>
      <x:c r="AF67" s="12" t="str">
        <x:v>acceptable</x:v>
      </x:c>
      <x:c r="AG67" s="12" t="n">
        <x:v>1</x:v>
      </x:c>
      <x:c r="AH67" s="12" t="str">
        <x:v>acceptable</x:v>
      </x:c>
      <x:c r="AI67" s="12" t="str">
        <x:v>acceptable</x:v>
      </x:c>
      <x:c r="AJ67" s="12" t="str">
        <x:v>acceptable</x:v>
      </x:c>
      <x:c r="AK67" s="12" t="str">
        <x:v>not_applicable</x:v>
      </x:c>
      <x:c r="AL67" s="12" t="str">
        <x:v>mild</x:v>
      </x:c>
      <x:c r="AM67" s="14" t="str">
        <x:v>Large pose or profile; visible landmarks are useful, while hidden-side contour points are inferred.</x:v>
      </x:c>
    </x:row>
    <x:row r="68" ht="30" customHeight="1">
      <x:c r="A68" s="12" t="str">
        <x:v>disgust_017</x:v>
      </x:c>
      <x:c r="B68" s="12" t="str">
        <x:v>disgust</x:v>
      </x:c>
      <x:c r="C68" s="14" t="str">
        <x:v>disgust/Training_5395043.jpg</x:v>
      </x:c>
      <x:c r="D68" s="12" t="str">
        <x:v>597bbb2c2015fc48c7ea92a88d8add907b22594fa5fcb515506510f382a594c2</x:v>
      </x:c>
      <x:c r="E68" s="12" t="str">
        <x:v>597bbb2c2015fc48c7ea92a88d8add907b22594fa5fcb515506510f382a594c2</x:v>
      </x:c>
      <x:c r="F68" s="12" t="str">
        <x:v>True</x:v>
      </x:c>
      <x:c r="G68" s="12" t="str">
        <x:v>48</x:v>
      </x:c>
      <x:c r="H68" s="12" t="str">
        <x:v>48</x:v>
      </x:c>
      <x:c r="I68" s="12" t="str">
        <x:v>0.0</x:v>
      </x:c>
      <x:c r="J68" s="12" t="str">
        <x:v>0.0</x:v>
      </x:c>
      <x:c r="K68" s="12" t="str">
        <x:v>47.0</x:v>
      </x:c>
      <x:c r="L68" s="12" t="str">
        <x:v>47.0</x:v>
      </x:c>
      <x:c r="M68" s="12" t="str">
        <x:v>True</x:v>
      </x:c>
      <x:c r="N68" s="12" t="str">
        <x:v>106</x:v>
      </x:c>
      <x:c r="O68" s="12" t="str">
        <x:v>106</x:v>
      </x:c>
      <x:c r="P68" s="16" t="str">
        <x:v>1.0</x:v>
      </x:c>
      <x:c r="Q68" s="12" t="str">
        <x:v>99</x:v>
      </x:c>
      <x:c r="R68" s="16" t="str">
        <x:v>0.9339622641509434</x:v>
      </x:c>
      <x:c r="S68" s="12" t="str">
        <x:v>0.2</x:v>
      </x:c>
      <x:c r="T68" s="12" t="str">
        <x:v>106</x:v>
      </x:c>
      <x:c r="U68" s="16" t="str">
        <x:v>1.0</x:v>
      </x:c>
      <x:c r="V68" s="18" t="str">
        <x:v>0.3467983305454254</x:v>
      </x:c>
      <x:c r="W68" s="18" t="str">
        <x:v>0.4759114533662796</x:v>
      </x:c>
      <x:c r="X68" s="18" t="str">
        <x:v>0.6588129997253418</x:v>
      </x:c>
      <x:c r="Y68" s="18" t="str">
        <x:v>0.630984902381897</x:v>
      </x:c>
      <x:c r="Z68" s="18" t="str">
        <x:v>0.9255759119987488</x:v>
      </x:c>
      <x:c r="AA68" s="18" t="str">
        <x:v>0.9922741651535034</x:v>
      </x:c>
      <x:c r="AB68" s="20" t="str">
        <x:v>101.78630000154953</x:v>
      </x:c>
      <x:c r="AC68" s="12" t="str">
        <x:v>overlays\disgust_017.png</x:v>
      </x:c>
      <x:c r="AD68" s="12" t="str"/>
      <x:c r="AE68" s="12" t="str"/>
      <x:c r="AF68" s="12" t="str">
        <x:v>good</x:v>
      </x:c>
      <x:c r="AG68" s="12" t="n">
        <x:v>1</x:v>
      </x:c>
      <x:c r="AH68" s="12" t="str">
        <x:v>good</x:v>
      </x:c>
      <x:c r="AI68" s="12" t="str">
        <x:v>good</x:v>
      </x:c>
      <x:c r="AJ68" s="12" t="str">
        <x:v>good</x:v>
      </x:c>
      <x:c r="AK68" s="12" t="str">
        <x:v>good</x:v>
      </x:c>
      <x:c r="AL68" s="12" t="str">
        <x:v>none</x:v>
      </x:c>
      <x:c r="AM68" s="14" t="str">
        <x:v>Clear and well-aligned facial landmarks with no major pose, crop, or occlusion issue.</x:v>
      </x:c>
    </x:row>
    <x:row r="69" ht="30" customHeight="1">
      <x:c r="A69" s="12" t="str">
        <x:v>disgust_018</x:v>
      </x:c>
      <x:c r="B69" s="12" t="str">
        <x:v>disgust</x:v>
      </x:c>
      <x:c r="C69" s="14" t="str">
        <x:v>disgust/Training_18375779.jpg</x:v>
      </x:c>
      <x:c r="D69" s="12" t="str">
        <x:v>f73b12d19de74767b0db5a94fa2317bbdd37b71a08aa5509c3de2e67ee8518aa</x:v>
      </x:c>
      <x:c r="E69" s="12" t="str">
        <x:v>f73b12d19de74767b0db5a94fa2317bbdd37b71a08aa5509c3de2e67ee8518aa</x:v>
      </x:c>
      <x:c r="F69" s="12" t="str">
        <x:v>True</x:v>
      </x:c>
      <x:c r="G69" s="12" t="str">
        <x:v>48</x:v>
      </x:c>
      <x:c r="H69" s="12" t="str">
        <x:v>48</x:v>
      </x:c>
      <x:c r="I69" s="12" t="str">
        <x:v>0.0</x:v>
      </x:c>
      <x:c r="J69" s="12" t="str">
        <x:v>0.0</x:v>
      </x:c>
      <x:c r="K69" s="12" t="str">
        <x:v>47.0</x:v>
      </x:c>
      <x:c r="L69" s="12" t="str">
        <x:v>47.0</x:v>
      </x:c>
      <x:c r="M69" s="12" t="str">
        <x:v>True</x:v>
      </x:c>
      <x:c r="N69" s="12" t="str">
        <x:v>106</x:v>
      </x:c>
      <x:c r="O69" s="12" t="str">
        <x:v>106</x:v>
      </x:c>
      <x:c r="P69" s="16" t="str">
        <x:v>1.0</x:v>
      </x:c>
      <x:c r="Q69" s="12" t="str">
        <x:v>99</x:v>
      </x:c>
      <x:c r="R69" s="16" t="str">
        <x:v>0.9339622641509434</x:v>
      </x:c>
      <x:c r="S69" s="12" t="str">
        <x:v>0.2</x:v>
      </x:c>
      <x:c r="T69" s="12" t="str">
        <x:v>106</x:v>
      </x:c>
      <x:c r="U69" s="16" t="str">
        <x:v>1.0</x:v>
      </x:c>
      <x:c r="V69" s="18" t="str">
        <x:v>0.32579439878463745</x:v>
      </x:c>
      <x:c r="W69" s="18" t="str">
        <x:v>0.4467392563819885</x:v>
      </x:c>
      <x:c r="X69" s="18" t="str">
        <x:v>0.625983715057373</x:v>
      </x:c>
      <x:c r="Y69" s="18" t="str">
        <x:v>0.6385856866836548</x:v>
      </x:c>
      <x:c r="Z69" s="18" t="str">
        <x:v>0.8137480318546295</x:v>
      </x:c>
      <x:c r="AA69" s="18" t="str">
        <x:v>0.8957143425941467</x:v>
      </x:c>
      <x:c r="AB69" s="20" t="str">
        <x:v>103.53860000032</x:v>
      </x:c>
      <x:c r="AC69" s="12" t="str">
        <x:v>overlays\disgust_018.png</x:v>
      </x:c>
      <x:c r="AD69" s="12" t="str"/>
      <x:c r="AE69" s="12" t="str"/>
      <x:c r="AF69" s="12" t="str">
        <x:v>good</x:v>
      </x:c>
      <x:c r="AG69" s="12" t="n">
        <x:v>1</x:v>
      </x:c>
      <x:c r="AH69" s="12" t="str">
        <x:v>good</x:v>
      </x:c>
      <x:c r="AI69" s="12" t="str">
        <x:v>good</x:v>
      </x:c>
      <x:c r="AJ69" s="12" t="str">
        <x:v>good</x:v>
      </x:c>
      <x:c r="AK69" s="12" t="str">
        <x:v>not_applicable</x:v>
      </x:c>
      <x:c r="AL69" s="12" t="str">
        <x:v>none</x:v>
      </x:c>
      <x:c r="AM69" s="14" t="str">
        <x:v>Clear and well-aligned facial landmarks with no major pose, crop, or occlusion issue.</x:v>
      </x:c>
    </x:row>
    <x:row r="70" ht="30" customHeight="1">
      <x:c r="A70" s="12" t="str">
        <x:v>disgust_019</x:v>
      </x:c>
      <x:c r="B70" s="12" t="str">
        <x:v>disgust</x:v>
      </x:c>
      <x:c r="C70" s="14" t="str">
        <x:v>disgust/Training_70479209.jpg</x:v>
      </x:c>
      <x:c r="D70" s="12" t="str">
        <x:v>7f6b64d5a19ea9e97abb3c7704e8d48e3a9d3db1376f6d68f44b43c20f54ac85</x:v>
      </x:c>
      <x:c r="E70" s="12" t="str">
        <x:v>7f6b64d5a19ea9e97abb3c7704e8d48e3a9d3db1376f6d68f44b43c20f54ac85</x:v>
      </x:c>
      <x:c r="F70" s="12" t="str">
        <x:v>True</x:v>
      </x:c>
      <x:c r="G70" s="12" t="str">
        <x:v>48</x:v>
      </x:c>
      <x:c r="H70" s="12" t="str">
        <x:v>48</x:v>
      </x:c>
      <x:c r="I70" s="12" t="str">
        <x:v>0.0</x:v>
      </x:c>
      <x:c r="J70" s="12" t="str">
        <x:v>0.0</x:v>
      </x:c>
      <x:c r="K70" s="12" t="str">
        <x:v>47.0</x:v>
      </x:c>
      <x:c r="L70" s="12" t="str">
        <x:v>47.0</x:v>
      </x:c>
      <x:c r="M70" s="12" t="str">
        <x:v>True</x:v>
      </x:c>
      <x:c r="N70" s="12" t="str">
        <x:v>106</x:v>
      </x:c>
      <x:c r="O70" s="12" t="str">
        <x:v>106</x:v>
      </x:c>
      <x:c r="P70" s="16" t="str">
        <x:v>1.0</x:v>
      </x:c>
      <x:c r="Q70" s="12" t="str">
        <x:v>71</x:v>
      </x:c>
      <x:c r="R70" s="16" t="str">
        <x:v>0.6698113207547169</x:v>
      </x:c>
      <x:c r="S70" s="12" t="str">
        <x:v>0.2</x:v>
      </x:c>
      <x:c r="T70" s="12" t="str">
        <x:v>106</x:v>
      </x:c>
      <x:c r="U70" s="16" t="str">
        <x:v>1.0</x:v>
      </x:c>
      <x:c r="V70" s="18" t="str">
        <x:v>0.20972181856632233</x:v>
      </x:c>
      <x:c r="W70" s="18" t="str">
        <x:v>0.3244301974773407</x:v>
      </x:c>
      <x:c r="X70" s="18" t="str">
        <x:v>0.5053390860557556</x:v>
      </x:c>
      <x:c r="Y70" s="18" t="str">
        <x:v>0.47919315099716187</x:v>
      </x:c>
      <x:c r="Z70" s="18" t="str">
        <x:v>0.7397677302360535</x:v>
      </x:c>
      <x:c r="AA70" s="18" t="str">
        <x:v>0.8016113042831421</x:v>
      </x:c>
      <x:c r="AB70" s="20" t="str">
        <x:v>107.96549999940908</x:v>
      </x:c>
      <x:c r="AC70" s="12" t="str">
        <x:v>overlays\disgust_019.png</x:v>
      </x:c>
      <x:c r="AD70" s="12" t="str"/>
      <x:c r="AE70" s="12" t="str"/>
      <x:c r="AF70" s="12" t="str">
        <x:v>acceptable</x:v>
      </x:c>
      <x:c r="AG70" s="12" t="n">
        <x:v>1</x:v>
      </x:c>
      <x:c r="AH70" s="12" t="str">
        <x:v>acceptable</x:v>
      </x:c>
      <x:c r="AI70" s="12" t="str">
        <x:v>acceptable</x:v>
      </x:c>
      <x:c r="AJ70" s="12" t="str">
        <x:v>acceptable</x:v>
      </x:c>
      <x:c r="AK70" s="12" t="str">
        <x:v>not_applicable</x:v>
      </x:c>
      <x:c r="AL70" s="12" t="str">
        <x:v>mild</x:v>
      </x:c>
      <x:c r="AM70" s="14" t="str">
        <x:v>Tight crop places several contour points outside the frame; central facial landmarks remain usable.</x:v>
      </x:c>
    </x:row>
    <x:row r="71" ht="30" customHeight="1">
      <x:c r="A71" s="12" t="str">
        <x:v>disgust_020</x:v>
      </x:c>
      <x:c r="B71" s="12" t="str">
        <x:v>disgust</x:v>
      </x:c>
      <x:c r="C71" s="14" t="str">
        <x:v>disgust/Training_43728047.jpg</x:v>
      </x:c>
      <x:c r="D71" s="12" t="str">
        <x:v>5a585fb4c83beebf43fc8f6895f7f1dc291641790960bca29124fa2bf23a01b5</x:v>
      </x:c>
      <x:c r="E71" s="12" t="str">
        <x:v>5a585fb4c83beebf43fc8f6895f7f1dc291641790960bca29124fa2bf23a01b5</x:v>
      </x:c>
      <x:c r="F71" s="12" t="str">
        <x:v>True</x:v>
      </x:c>
      <x:c r="G71" s="12" t="str">
        <x:v>48</x:v>
      </x:c>
      <x:c r="H71" s="12" t="str">
        <x:v>48</x:v>
      </x:c>
      <x:c r="I71" s="12" t="str">
        <x:v>0.0</x:v>
      </x:c>
      <x:c r="J71" s="12" t="str">
        <x:v>0.0</x:v>
      </x:c>
      <x:c r="K71" s="12" t="str">
        <x:v>47.0</x:v>
      </x:c>
      <x:c r="L71" s="12" t="str">
        <x:v>47.0</x:v>
      </x:c>
      <x:c r="M71" s="12" t="str">
        <x:v>True</x:v>
      </x:c>
      <x:c r="N71" s="12" t="str">
        <x:v>106</x:v>
      </x:c>
      <x:c r="O71" s="12" t="str">
        <x:v>106</x:v>
      </x:c>
      <x:c r="P71" s="16" t="str">
        <x:v>1.0</x:v>
      </x:c>
      <x:c r="Q71" s="12" t="str">
        <x:v>90</x:v>
      </x:c>
      <x:c r="R71" s="16" t="str">
        <x:v>0.8490566037735849</x:v>
      </x:c>
      <x:c r="S71" s="12" t="str">
        <x:v>0.2</x:v>
      </x:c>
      <x:c r="T71" s="12" t="str">
        <x:v>106</x:v>
      </x:c>
      <x:c r="U71" s="16" t="str">
        <x:v>1.0</x:v>
      </x:c>
      <x:c r="V71" s="18" t="str">
        <x:v>0.39804354310035706</x:v>
      </x:c>
      <x:c r="W71" s="18" t="str">
        <x:v>0.4589441865682602</x:v>
      </x:c>
      <x:c r="X71" s="18" t="str">
        <x:v>0.6113969087600708</x:v>
      </x:c>
      <x:c r="Y71" s="18" t="str">
        <x:v>0.5810725688934326</x:v>
      </x:c>
      <x:c r="Z71" s="18" t="str">
        <x:v>0.8028775751590729</x:v>
      </x:c>
      <x:c r="AA71" s="18" t="str">
        <x:v>0.8623014688491821</x:v>
      </x:c>
      <x:c r="AB71" s="20" t="str">
        <x:v>107.56590000164579</x:v>
      </x:c>
      <x:c r="AC71" s="12" t="str">
        <x:v>overlays\disgust_020.png</x:v>
      </x:c>
      <x:c r="AD71" s="12" t="str"/>
      <x:c r="AE71" s="12" t="str"/>
      <x:c r="AF71" s="12" t="str">
        <x:v>acceptable</x:v>
      </x:c>
      <x:c r="AG71" s="12" t="n">
        <x:v>1</x:v>
      </x:c>
      <x:c r="AH71" s="12" t="str">
        <x:v>acceptable</x:v>
      </x:c>
      <x:c r="AI71" s="12" t="str">
        <x:v>acceptable</x:v>
      </x:c>
      <x:c r="AJ71" s="12" t="str">
        <x:v>acceptable</x:v>
      </x:c>
      <x:c r="AK71" s="12" t="str">
        <x:v>not_applicable</x:v>
      </x:c>
      <x:c r="AL71" s="12" t="str">
        <x:v>mild</x:v>
      </x:c>
      <x:c r="AM71" s="14" t="str">
        <x:v>Tight crop places several contour points outside the frame; central facial landmarks remain usable.</x:v>
      </x:c>
    </x:row>
    <x:row r="72" ht="30" customHeight="1">
      <x:c r="A72" s="12" t="str">
        <x:v>disgust_021</x:v>
      </x:c>
      <x:c r="B72" s="12" t="str">
        <x:v>disgust</x:v>
      </x:c>
      <x:c r="C72" s="14" t="str">
        <x:v>disgust/Training_98010375.jpg</x:v>
      </x:c>
      <x:c r="D72" s="12" t="str">
        <x:v>3407de17011cfe238717baef07e2cd7ea89f3e5cb42ca1a36a419ef346bb6cb3</x:v>
      </x:c>
      <x:c r="E72" s="12" t="str">
        <x:v>3407de17011cfe238717baef07e2cd7ea89f3e5cb42ca1a36a419ef346bb6cb3</x:v>
      </x:c>
      <x:c r="F72" s="12" t="str">
        <x:v>True</x:v>
      </x:c>
      <x:c r="G72" s="12" t="str">
        <x:v>48</x:v>
      </x:c>
      <x:c r="H72" s="12" t="str">
        <x:v>48</x:v>
      </x:c>
      <x:c r="I72" s="12" t="str">
        <x:v>0.0</x:v>
      </x:c>
      <x:c r="J72" s="12" t="str">
        <x:v>0.0</x:v>
      </x:c>
      <x:c r="K72" s="12" t="str">
        <x:v>47.0</x:v>
      </x:c>
      <x:c r="L72" s="12" t="str">
        <x:v>47.0</x:v>
      </x:c>
      <x:c r="M72" s="12" t="str">
        <x:v>True</x:v>
      </x:c>
      <x:c r="N72" s="12" t="str">
        <x:v>106</x:v>
      </x:c>
      <x:c r="O72" s="12" t="str">
        <x:v>106</x:v>
      </x:c>
      <x:c r="P72" s="16" t="str">
        <x:v>1.0</x:v>
      </x:c>
      <x:c r="Q72" s="12" t="str">
        <x:v>95</x:v>
      </x:c>
      <x:c r="R72" s="16" t="str">
        <x:v>0.8962264150943396</x:v>
      </x:c>
      <x:c r="S72" s="12" t="str">
        <x:v>0.2</x:v>
      </x:c>
      <x:c r="T72" s="12" t="str">
        <x:v>106</x:v>
      </x:c>
      <x:c r="U72" s="16" t="str">
        <x:v>1.0</x:v>
      </x:c>
      <x:c r="V72" s="18" t="str">
        <x:v>0.5597522258758545</x:v>
      </x:c>
      <x:c r="W72" s="18" t="str">
        <x:v>0.6722444593906403</x:v>
      </x:c>
      <x:c r="X72" s="18" t="str">
        <x:v>0.7887821793556213</x:v>
      </x:c>
      <x:c r="Y72" s="18" t="str">
        <x:v>0.7962210178375244</x:v>
      </x:c>
      <x:c r="Z72" s="18" t="str">
        <x:v>0.893858790397644</x:v>
      </x:c>
      <x:c r="AA72" s="18" t="str">
        <x:v>0.9794888496398926</x:v>
      </x:c>
      <x:c r="AB72" s="20" t="str">
        <x:v>105.67040000023553</x:v>
      </x:c>
      <x:c r="AC72" s="12" t="str">
        <x:v>overlays\disgust_021.png</x:v>
      </x:c>
      <x:c r="AD72" s="12" t="str"/>
      <x:c r="AE72" s="12" t="str"/>
      <x:c r="AF72" s="12" t="str">
        <x:v>good</x:v>
      </x:c>
      <x:c r="AG72" s="12" t="n">
        <x:v>1</x:v>
      </x:c>
      <x:c r="AH72" s="12" t="str">
        <x:v>good</x:v>
      </x:c>
      <x:c r="AI72" s="12" t="str">
        <x:v>good</x:v>
      </x:c>
      <x:c r="AJ72" s="12" t="str">
        <x:v>good</x:v>
      </x:c>
      <x:c r="AK72" s="12" t="str">
        <x:v>good</x:v>
      </x:c>
      <x:c r="AL72" s="12" t="str">
        <x:v>none</x:v>
      </x:c>
      <x:c r="AM72" s="14" t="str">
        <x:v>Clear and well-aligned facial landmarks with no major pose, crop, or occlusion issue.</x:v>
      </x:c>
    </x:row>
    <x:row r="73" ht="30" customHeight="1">
      <x:c r="A73" s="12" t="str">
        <x:v>disgust_022</x:v>
      </x:c>
      <x:c r="B73" s="12" t="str">
        <x:v>disgust</x:v>
      </x:c>
      <x:c r="C73" s="14" t="str">
        <x:v>disgust/Training_78245126.jpg</x:v>
      </x:c>
      <x:c r="D73" s="12" t="str">
        <x:v>4e2363f3892ea797b93a3a63089f82287e25fbd9a744fd07cf29a255bbf46c1f</x:v>
      </x:c>
      <x:c r="E73" s="12" t="str">
        <x:v>4e2363f3892ea797b93a3a63089f82287e25fbd9a744fd07cf29a255bbf46c1f</x:v>
      </x:c>
      <x:c r="F73" s="12" t="str">
        <x:v>True</x:v>
      </x:c>
      <x:c r="G73" s="12" t="str">
        <x:v>48</x:v>
      </x:c>
      <x:c r="H73" s="12" t="str">
        <x:v>48</x:v>
      </x:c>
      <x:c r="I73" s="12" t="str">
        <x:v>0.0</x:v>
      </x:c>
      <x:c r="J73" s="12" t="str">
        <x:v>0.0</x:v>
      </x:c>
      <x:c r="K73" s="12" t="str">
        <x:v>47.0</x:v>
      </x:c>
      <x:c r="L73" s="12" t="str">
        <x:v>47.0</x:v>
      </x:c>
      <x:c r="M73" s="12" t="str">
        <x:v>True</x:v>
      </x:c>
      <x:c r="N73" s="12" t="str">
        <x:v>106</x:v>
      </x:c>
      <x:c r="O73" s="12" t="str">
        <x:v>106</x:v>
      </x:c>
      <x:c r="P73" s="16" t="str">
        <x:v>1.0</x:v>
      </x:c>
      <x:c r="Q73" s="12" t="str">
        <x:v>84</x:v>
      </x:c>
      <x:c r="R73" s="16" t="str">
        <x:v>0.7924528301886793</x:v>
      </x:c>
      <x:c r="S73" s="12" t="str">
        <x:v>0.2</x:v>
      </x:c>
      <x:c r="T73" s="12" t="str">
        <x:v>106</x:v>
      </x:c>
      <x:c r="U73" s="16" t="str">
        <x:v>1.0</x:v>
      </x:c>
      <x:c r="V73" s="18" t="str">
        <x:v>0.2953070402145386</x:v>
      </x:c>
      <x:c r="W73" s="18" t="str">
        <x:v>0.4327905774116516</x:v>
      </x:c>
      <x:c r="X73" s="18" t="str">
        <x:v>0.5549306869506836</x:v>
      </x:c>
      <x:c r="Y73" s="18" t="str">
        <x:v>0.5557109713554382</x:v>
      </x:c>
      <x:c r="Z73" s="18" t="str">
        <x:v>0.6986900568008423</x:v>
      </x:c>
      <x:c r="AA73" s="18" t="str">
        <x:v>0.7558708190917969</x:v>
      </x:c>
      <x:c r="AB73" s="20" t="str">
        <x:v>102.97150000042166</x:v>
      </x:c>
      <x:c r="AC73" s="12" t="str">
        <x:v>overlays\disgust_022.png</x:v>
      </x:c>
      <x:c r="AD73" s="12" t="str"/>
      <x:c r="AE73" s="12" t="str"/>
      <x:c r="AF73" s="12" t="str">
        <x:v>acceptable</x:v>
      </x:c>
      <x:c r="AG73" s="12" t="n">
        <x:v>1</x:v>
      </x:c>
      <x:c r="AH73" s="12" t="str">
        <x:v>acceptable</x:v>
      </x:c>
      <x:c r="AI73" s="12" t="str">
        <x:v>acceptable</x:v>
      </x:c>
      <x:c r="AJ73" s="12" t="str">
        <x:v>acceptable</x:v>
      </x:c>
      <x:c r="AK73" s="12" t="str">
        <x:v>not_applicable</x:v>
      </x:c>
      <x:c r="AL73" s="12" t="str">
        <x:v>mild</x:v>
      </x:c>
      <x:c r="AM73" s="14" t="str">
        <x:v>Tight crop places several contour points outside the frame; central facial landmarks remain usable.</x:v>
      </x:c>
    </x:row>
    <x:row r="74" ht="30" customHeight="1">
      <x:c r="A74" s="12" t="str">
        <x:v>disgust_023</x:v>
      </x:c>
      <x:c r="B74" s="12" t="str">
        <x:v>disgust</x:v>
      </x:c>
      <x:c r="C74" s="14" t="str">
        <x:v>disgust/Training_77025552.jpg</x:v>
      </x:c>
      <x:c r="D74" s="12" t="str">
        <x:v>23d11cb155de2e338b366b10185a5a32d29fe520b74ba96d30d733727ba622cf</x:v>
      </x:c>
      <x:c r="E74" s="12" t="str">
        <x:v>23d11cb155de2e338b366b10185a5a32d29fe520b74ba96d30d733727ba622cf</x:v>
      </x:c>
      <x:c r="F74" s="12" t="str">
        <x:v>True</x:v>
      </x:c>
      <x:c r="G74" s="12" t="str">
        <x:v>48</x:v>
      </x:c>
      <x:c r="H74" s="12" t="str">
        <x:v>48</x:v>
      </x:c>
      <x:c r="I74" s="12" t="str">
        <x:v>0.0</x:v>
      </x:c>
      <x:c r="J74" s="12" t="str">
        <x:v>0.0</x:v>
      </x:c>
      <x:c r="K74" s="12" t="str">
        <x:v>47.0</x:v>
      </x:c>
      <x:c r="L74" s="12" t="str">
        <x:v>47.0</x:v>
      </x:c>
      <x:c r="M74" s="12" t="str">
        <x:v>True</x:v>
      </x:c>
      <x:c r="N74" s="12" t="str">
        <x:v>106</x:v>
      </x:c>
      <x:c r="O74" s="12" t="str">
        <x:v>106</x:v>
      </x:c>
      <x:c r="P74" s="16" t="str">
        <x:v>1.0</x:v>
      </x:c>
      <x:c r="Q74" s="12" t="str">
        <x:v>93</x:v>
      </x:c>
      <x:c r="R74" s="16" t="str">
        <x:v>0.8773584905660378</x:v>
      </x:c>
      <x:c r="S74" s="12" t="str">
        <x:v>0.2</x:v>
      </x:c>
      <x:c r="T74" s="12" t="str">
        <x:v>106</x:v>
      </x:c>
      <x:c r="U74" s="16" t="str">
        <x:v>1.0</x:v>
      </x:c>
      <x:c r="V74" s="18" t="str">
        <x:v>0.3777286410331726</x:v>
      </x:c>
      <x:c r="W74" s="18" t="str">
        <x:v>0.4317309409379959</x:v>
      </x:c>
      <x:c r="X74" s="18" t="str">
        <x:v>0.6140332221984863</x:v>
      </x:c>
      <x:c r="Y74" s="18" t="str">
        <x:v>0.5938166379928589</x:v>
      </x:c>
      <x:c r="Z74" s="18" t="str">
        <x:v>0.8688777983188629</x:v>
      </x:c>
      <x:c r="AA74" s="18" t="str">
        <x:v>0.9276488423347473</x:v>
      </x:c>
      <x:c r="AB74" s="20" t="str">
        <x:v>105.1091000008455</x:v>
      </x:c>
      <x:c r="AC74" s="12" t="str">
        <x:v>overlays\disgust_023.png</x:v>
      </x:c>
      <x:c r="AD74" s="12" t="str"/>
      <x:c r="AE74" s="12" t="str"/>
      <x:c r="AF74" s="12" t="str">
        <x:v>acceptable</x:v>
      </x:c>
      <x:c r="AG74" s="12" t="n">
        <x:v>1</x:v>
      </x:c>
      <x:c r="AH74" s="12" t="str">
        <x:v>acceptable</x:v>
      </x:c>
      <x:c r="AI74" s="12" t="str">
        <x:v>acceptable</x:v>
      </x:c>
      <x:c r="AJ74" s="12" t="str">
        <x:v>acceptable</x:v>
      </x:c>
      <x:c r="AK74" s="12" t="str">
        <x:v>not_applicable</x:v>
      </x:c>
      <x:c r="AL74" s="12" t="str">
        <x:v>mild</x:v>
      </x:c>
      <x:c r="AM74" s="14" t="str">
        <x:v>Large pose or profile; visible landmarks are useful, while hidden-side contour points are inferred.</x:v>
      </x:c>
    </x:row>
    <x:row r="75" ht="30" customHeight="1">
      <x:c r="A75" s="12" t="str">
        <x:v>disgust_024</x:v>
      </x:c>
      <x:c r="B75" s="12" t="str">
        <x:v>disgust</x:v>
      </x:c>
      <x:c r="C75" s="14" t="str">
        <x:v>disgust/Training_5242503.jpg</x:v>
      </x:c>
      <x:c r="D75" s="12" t="str">
        <x:v>3b3dbcde598731600d379739e7f6738763e2af89e23e09248120eeabfb629747</x:v>
      </x:c>
      <x:c r="E75" s="12" t="str">
        <x:v>3b3dbcde598731600d379739e7f6738763e2af89e23e09248120eeabfb629747</x:v>
      </x:c>
      <x:c r="F75" s="12" t="str">
        <x:v>True</x:v>
      </x:c>
      <x:c r="G75" s="12" t="str">
        <x:v>48</x:v>
      </x:c>
      <x:c r="H75" s="12" t="str">
        <x:v>48</x:v>
      </x:c>
      <x:c r="I75" s="12" t="str">
        <x:v>0.0</x:v>
      </x:c>
      <x:c r="J75" s="12" t="str">
        <x:v>0.0</x:v>
      </x:c>
      <x:c r="K75" s="12" t="str">
        <x:v>47.0</x:v>
      </x:c>
      <x:c r="L75" s="12" t="str">
        <x:v>47.0</x:v>
      </x:c>
      <x:c r="M75" s="12" t="str">
        <x:v>True</x:v>
      </x:c>
      <x:c r="N75" s="12" t="str">
        <x:v>106</x:v>
      </x:c>
      <x:c r="O75" s="12" t="str">
        <x:v>106</x:v>
      </x:c>
      <x:c r="P75" s="16" t="str">
        <x:v>1.0</x:v>
      </x:c>
      <x:c r="Q75" s="12" t="str">
        <x:v>86</x:v>
      </x:c>
      <x:c r="R75" s="16" t="str">
        <x:v>0.8113207547169812</x:v>
      </x:c>
      <x:c r="S75" s="12" t="str">
        <x:v>0.2</x:v>
      </x:c>
      <x:c r="T75" s="12" t="str">
        <x:v>106</x:v>
      </x:c>
      <x:c r="U75" s="16" t="str">
        <x:v>1.0</x:v>
      </x:c>
      <x:c r="V75" s="18" t="str">
        <x:v>0.495026558637619</x:v>
      </x:c>
      <x:c r="W75" s="18" t="str">
        <x:v>0.544884204864502</x:v>
      </x:c>
      <x:c r="X75" s="18" t="str">
        <x:v>0.6741722822189331</x:v>
      </x:c>
      <x:c r="Y75" s="18" t="str">
        <x:v>0.680781364440918</x:v>
      </x:c>
      <x:c r="Z75" s="18" t="str">
        <x:v>0.8051928281784058</x:v>
      </x:c>
      <x:c r="AA75" s="18" t="str">
        <x:v>0.8632476329803467</x:v>
      </x:c>
      <x:c r="AB75" s="20" t="str">
        <x:v>106.00450000129058</x:v>
      </x:c>
      <x:c r="AC75" s="12" t="str">
        <x:v>overlays\disgust_024.png</x:v>
      </x:c>
      <x:c r="AD75" s="12" t="str"/>
      <x:c r="AE75" s="12" t="str"/>
      <x:c r="AF75" s="12" t="str">
        <x:v>acceptable</x:v>
      </x:c>
      <x:c r="AG75" s="12" t="n">
        <x:v>1</x:v>
      </x:c>
      <x:c r="AH75" s="12" t="str">
        <x:v>acceptable</x:v>
      </x:c>
      <x:c r="AI75" s="12" t="str">
        <x:v>acceptable</x:v>
      </x:c>
      <x:c r="AJ75" s="12" t="str">
        <x:v>acceptable</x:v>
      </x:c>
      <x:c r="AK75" s="12" t="str">
        <x:v>not_applicable</x:v>
      </x:c>
      <x:c r="AL75" s="12" t="str">
        <x:v>mild</x:v>
      </x:c>
      <x:c r="AM75" s="14" t="str">
        <x:v>Tight crop places several contour points outside the frame; central facial landmarks remain usable.</x:v>
      </x:c>
    </x:row>
    <x:row r="76" ht="30" customHeight="1">
      <x:c r="A76" s="12" t="str">
        <x:v>disgust_025</x:v>
      </x:c>
      <x:c r="B76" s="12" t="str">
        <x:v>disgust</x:v>
      </x:c>
      <x:c r="C76" s="14" t="str">
        <x:v>disgust/Training_73889032.jpg</x:v>
      </x:c>
      <x:c r="D76" s="12" t="str">
        <x:v>00567c7d6e6a818b519975b54a0bee17eab150fda91b951220d6f92f836ee47d</x:v>
      </x:c>
      <x:c r="E76" s="12" t="str">
        <x:v>00567c7d6e6a818b519975b54a0bee17eab150fda91b951220d6f92f836ee47d</x:v>
      </x:c>
      <x:c r="F76" s="12" t="str">
        <x:v>True</x:v>
      </x:c>
      <x:c r="G76" s="12" t="str">
        <x:v>48</x:v>
      </x:c>
      <x:c r="H76" s="12" t="str">
        <x:v>48</x:v>
      </x:c>
      <x:c r="I76" s="12" t="str">
        <x:v>0.0</x:v>
      </x:c>
      <x:c r="J76" s="12" t="str">
        <x:v>0.0</x:v>
      </x:c>
      <x:c r="K76" s="12" t="str">
        <x:v>47.0</x:v>
      </x:c>
      <x:c r="L76" s="12" t="str">
        <x:v>47.0</x:v>
      </x:c>
      <x:c r="M76" s="12" t="str">
        <x:v>True</x:v>
      </x:c>
      <x:c r="N76" s="12" t="str">
        <x:v>106</x:v>
      </x:c>
      <x:c r="O76" s="12" t="str">
        <x:v>106</x:v>
      </x:c>
      <x:c r="P76" s="16" t="str">
        <x:v>1.0</x:v>
      </x:c>
      <x:c r="Q76" s="12" t="str">
        <x:v>95</x:v>
      </x:c>
      <x:c r="R76" s="16" t="str">
        <x:v>0.8962264150943396</x:v>
      </x:c>
      <x:c r="S76" s="12" t="str">
        <x:v>0.2</x:v>
      </x:c>
      <x:c r="T76" s="12" t="str">
        <x:v>106</x:v>
      </x:c>
      <x:c r="U76" s="16" t="str">
        <x:v>1.0</x:v>
      </x:c>
      <x:c r="V76" s="18" t="str">
        <x:v>0.362881064414978</x:v>
      </x:c>
      <x:c r="W76" s="18" t="str">
        <x:v>0.48528358340263367</x:v>
      </x:c>
      <x:c r="X76" s="18" t="str">
        <x:v>0.6413910388946533</x:v>
      </x:c>
      <x:c r="Y76" s="18" t="str">
        <x:v>0.6156774163246155</x:v>
      </x:c>
      <x:c r="Z76" s="18" t="str">
        <x:v>0.8504670262336731</x:v>
      </x:c>
      <x:c r="AA76" s="18" t="str">
        <x:v>0.9155194759368896</x:v>
      </x:c>
      <x:c r="AB76" s="20" t="str">
        <x:v>105.52370000004885</x:v>
      </x:c>
      <x:c r="AC76" s="12" t="str">
        <x:v>overlays\disgust_025.png</x:v>
      </x:c>
      <x:c r="AD76" s="12" t="str"/>
      <x:c r="AE76" s="12" t="str"/>
      <x:c r="AF76" s="12" t="str">
        <x:v>good</x:v>
      </x:c>
      <x:c r="AG76" s="12" t="n">
        <x:v>1</x:v>
      </x:c>
      <x:c r="AH76" s="12" t="str">
        <x:v>good</x:v>
      </x:c>
      <x:c r="AI76" s="12" t="str">
        <x:v>good</x:v>
      </x:c>
      <x:c r="AJ76" s="12" t="str">
        <x:v>good</x:v>
      </x:c>
      <x:c r="AK76" s="12" t="str">
        <x:v>good</x:v>
      </x:c>
      <x:c r="AL76" s="12" t="str">
        <x:v>none</x:v>
      </x:c>
      <x:c r="AM76" s="14" t="str">
        <x:v>Clear and well-aligned facial landmarks with no major pose, crop, or occlusion issue.</x:v>
      </x:c>
    </x:row>
    <x:row r="77" ht="30" customHeight="1">
      <x:c r="A77" s="12" t="str">
        <x:v>disgust_026</x:v>
      </x:c>
      <x:c r="B77" s="12" t="str">
        <x:v>disgust</x:v>
      </x:c>
      <x:c r="C77" s="14" t="str">
        <x:v>disgust/Training_31805016.jpg</x:v>
      </x:c>
      <x:c r="D77" s="12" t="str">
        <x:v>4e34a81bc8c3fed9b7f895df6535bb4675dbd7412ca0839164d1d0a23faf4174</x:v>
      </x:c>
      <x:c r="E77" s="12" t="str">
        <x:v>4e34a81bc8c3fed9b7f895df6535bb4675dbd7412ca0839164d1d0a23faf4174</x:v>
      </x:c>
      <x:c r="F77" s="12" t="str">
        <x:v>True</x:v>
      </x:c>
      <x:c r="G77" s="12" t="str">
        <x:v>48</x:v>
      </x:c>
      <x:c r="H77" s="12" t="str">
        <x:v>48</x:v>
      </x:c>
      <x:c r="I77" s="12" t="str">
        <x:v>0.0</x:v>
      </x:c>
      <x:c r="J77" s="12" t="str">
        <x:v>0.0</x:v>
      </x:c>
      <x:c r="K77" s="12" t="str">
        <x:v>47.0</x:v>
      </x:c>
      <x:c r="L77" s="12" t="str">
        <x:v>47.0</x:v>
      </x:c>
      <x:c r="M77" s="12" t="str">
        <x:v>True</x:v>
      </x:c>
      <x:c r="N77" s="12" t="str">
        <x:v>106</x:v>
      </x:c>
      <x:c r="O77" s="12" t="str">
        <x:v>106</x:v>
      </x:c>
      <x:c r="P77" s="16" t="str">
        <x:v>1.0</x:v>
      </x:c>
      <x:c r="Q77" s="12" t="str">
        <x:v>97</x:v>
      </x:c>
      <x:c r="R77" s="16" t="str">
        <x:v>0.9150943396226415</x:v>
      </x:c>
      <x:c r="S77" s="12" t="str">
        <x:v>0.2</x:v>
      </x:c>
      <x:c r="T77" s="12" t="str">
        <x:v>106</x:v>
      </x:c>
      <x:c r="U77" s="16" t="str">
        <x:v>1.0</x:v>
      </x:c>
      <x:c r="V77" s="18" t="str">
        <x:v>0.43001070618629456</x:v>
      </x:c>
      <x:c r="W77" s="18" t="str">
        <x:v>0.48887336254119873</x:v>
      </x:c>
      <x:c r="X77" s="18" t="str">
        <x:v>0.6620666980743408</x:v>
      </x:c>
      <x:c r="Y77" s="18" t="str">
        <x:v>0.6346983909606934</x:v>
      </x:c>
      <x:c r="Z77" s="18" t="str">
        <x:v>0.869383841753006</x:v>
      </x:c>
      <x:c r="AA77" s="18" t="str">
        <x:v>0.9844498634338379</x:v>
      </x:c>
      <x:c r="AB77" s="20" t="str">
        <x:v>104.65939999994589</x:v>
      </x:c>
      <x:c r="AC77" s="12" t="str">
        <x:v>overlays\disgust_026.png</x:v>
      </x:c>
      <x:c r="AD77" s="12" t="str"/>
      <x:c r="AE77" s="12" t="str"/>
      <x:c r="AF77" s="12" t="str">
        <x:v>good</x:v>
      </x:c>
      <x:c r="AG77" s="12" t="n">
        <x:v>1</x:v>
      </x:c>
      <x:c r="AH77" s="12" t="str">
        <x:v>good</x:v>
      </x:c>
      <x:c r="AI77" s="12" t="str">
        <x:v>good</x:v>
      </x:c>
      <x:c r="AJ77" s="12" t="str">
        <x:v>good</x:v>
      </x:c>
      <x:c r="AK77" s="12" t="str">
        <x:v>good</x:v>
      </x:c>
      <x:c r="AL77" s="12" t="str">
        <x:v>none</x:v>
      </x:c>
      <x:c r="AM77" s="14" t="str">
        <x:v>Clear and well-aligned facial landmarks with no major pose, crop, or occlusion issue.</x:v>
      </x:c>
    </x:row>
    <x:row r="78" ht="30" customHeight="1">
      <x:c r="A78" s="12" t="str">
        <x:v>disgust_027</x:v>
      </x:c>
      <x:c r="B78" s="12" t="str">
        <x:v>disgust</x:v>
      </x:c>
      <x:c r="C78" s="14" t="str">
        <x:v>disgust/Training_84874359.jpg</x:v>
      </x:c>
      <x:c r="D78" s="12" t="str">
        <x:v>4e34a81bc8c3fed9b7f895df6535bb4675dbd7412ca0839164d1d0a23faf4174</x:v>
      </x:c>
      <x:c r="E78" s="12" t="str">
        <x:v>4e34a81bc8c3fed9b7f895df6535bb4675dbd7412ca0839164d1d0a23faf4174</x:v>
      </x:c>
      <x:c r="F78" s="12" t="str">
        <x:v>True</x:v>
      </x:c>
      <x:c r="G78" s="12" t="str">
        <x:v>48</x:v>
      </x:c>
      <x:c r="H78" s="12" t="str">
        <x:v>48</x:v>
      </x:c>
      <x:c r="I78" s="12" t="str">
        <x:v>0.0</x:v>
      </x:c>
      <x:c r="J78" s="12" t="str">
        <x:v>0.0</x:v>
      </x:c>
      <x:c r="K78" s="12" t="str">
        <x:v>47.0</x:v>
      </x:c>
      <x:c r="L78" s="12" t="str">
        <x:v>47.0</x:v>
      </x:c>
      <x:c r="M78" s="12" t="str">
        <x:v>True</x:v>
      </x:c>
      <x:c r="N78" s="12" t="str">
        <x:v>106</x:v>
      </x:c>
      <x:c r="O78" s="12" t="str">
        <x:v>106</x:v>
      </x:c>
      <x:c r="P78" s="16" t="str">
        <x:v>1.0</x:v>
      </x:c>
      <x:c r="Q78" s="12" t="str">
        <x:v>97</x:v>
      </x:c>
      <x:c r="R78" s="16" t="str">
        <x:v>0.9150943396226415</x:v>
      </x:c>
      <x:c r="S78" s="12" t="str">
        <x:v>0.2</x:v>
      </x:c>
      <x:c r="T78" s="12" t="str">
        <x:v>106</x:v>
      </x:c>
      <x:c r="U78" s="16" t="str">
        <x:v>1.0</x:v>
      </x:c>
      <x:c r="V78" s="18" t="str">
        <x:v>0.43001070618629456</x:v>
      </x:c>
      <x:c r="W78" s="18" t="str">
        <x:v>0.48887336254119873</x:v>
      </x:c>
      <x:c r="X78" s="18" t="str">
        <x:v>0.6620666980743408</x:v>
      </x:c>
      <x:c r="Y78" s="18" t="str">
        <x:v>0.6346983909606934</x:v>
      </x:c>
      <x:c r="Z78" s="18" t="str">
        <x:v>0.869383841753006</x:v>
      </x:c>
      <x:c r="AA78" s="18" t="str">
        <x:v>0.9844498634338379</x:v>
      </x:c>
      <x:c r="AB78" s="20" t="str">
        <x:v>103.05520000110846</x:v>
      </x:c>
      <x:c r="AC78" s="12" t="str">
        <x:v>overlays\disgust_027.png</x:v>
      </x:c>
      <x:c r="AD78" s="12" t="str"/>
      <x:c r="AE78" s="12" t="str"/>
      <x:c r="AF78" s="12" t="str">
        <x:v>good</x:v>
      </x:c>
      <x:c r="AG78" s="12" t="n">
        <x:v>1</x:v>
      </x:c>
      <x:c r="AH78" s="12" t="str">
        <x:v>good</x:v>
      </x:c>
      <x:c r="AI78" s="12" t="str">
        <x:v>good</x:v>
      </x:c>
      <x:c r="AJ78" s="12" t="str">
        <x:v>good</x:v>
      </x:c>
      <x:c r="AK78" s="12" t="str">
        <x:v>good</x:v>
      </x:c>
      <x:c r="AL78" s="12" t="str">
        <x:v>none</x:v>
      </x:c>
      <x:c r="AM78" s="14" t="str">
        <x:v>Clear and well-aligned facial landmarks with no major pose, crop, or occlusion issue.</x:v>
      </x:c>
    </x:row>
    <x:row r="79" ht="30" customHeight="1">
      <x:c r="A79" s="12" t="str">
        <x:v>disgust_028</x:v>
      </x:c>
      <x:c r="B79" s="12" t="str">
        <x:v>disgust</x:v>
      </x:c>
      <x:c r="C79" s="14" t="str">
        <x:v>disgust/Training_1654496.jpg</x:v>
      </x:c>
      <x:c r="D79" s="12" t="str">
        <x:v>d445a50f0bc4064d3e00ac901c83604c3c3c4c90f1d884df196403fc892610ef</x:v>
      </x:c>
      <x:c r="E79" s="12" t="str">
        <x:v>d445a50f0bc4064d3e00ac901c83604c3c3c4c90f1d884df196403fc892610ef</x:v>
      </x:c>
      <x:c r="F79" s="12" t="str">
        <x:v>True</x:v>
      </x:c>
      <x:c r="G79" s="12" t="str">
        <x:v>48</x:v>
      </x:c>
      <x:c r="H79" s="12" t="str">
        <x:v>48</x:v>
      </x:c>
      <x:c r="I79" s="12" t="str">
        <x:v>0.0</x:v>
      </x:c>
      <x:c r="J79" s="12" t="str">
        <x:v>0.0</x:v>
      </x:c>
      <x:c r="K79" s="12" t="str">
        <x:v>47.0</x:v>
      </x:c>
      <x:c r="L79" s="12" t="str">
        <x:v>47.0</x:v>
      </x:c>
      <x:c r="M79" s="12" t="str">
        <x:v>True</x:v>
      </x:c>
      <x:c r="N79" s="12" t="str">
        <x:v>106</x:v>
      </x:c>
      <x:c r="O79" s="12" t="str">
        <x:v>106</x:v>
      </x:c>
      <x:c r="P79" s="16" t="str">
        <x:v>1.0</x:v>
      </x:c>
      <x:c r="Q79" s="12" t="str">
        <x:v>89</x:v>
      </x:c>
      <x:c r="R79" s="16" t="str">
        <x:v>0.839622641509434</x:v>
      </x:c>
      <x:c r="S79" s="12" t="str">
        <x:v>0.2</x:v>
      </x:c>
      <x:c r="T79" s="12" t="str">
        <x:v>106</x:v>
      </x:c>
      <x:c r="U79" s="16" t="str">
        <x:v>1.0</x:v>
      </x:c>
      <x:c r="V79" s="18" t="str">
        <x:v>0.24683552980422974</x:v>
      </x:c>
      <x:c r="W79" s="18" t="str">
        <x:v>0.36060279607772827</x:v>
      </x:c>
      <x:c r="X79" s="18" t="str">
        <x:v>0.5528876185417175</x:v>
      </x:c>
      <x:c r="Y79" s="18" t="str">
        <x:v>0.5563041567802429</x:v>
      </x:c>
      <x:c r="Z79" s="18" t="str">
        <x:v>0.7677345275878906</x:v>
      </x:c>
      <x:c r="AA79" s="18" t="str">
        <x:v>0.8365037441253662</x:v>
      </x:c>
      <x:c r="AB79" s="20" t="str">
        <x:v>115.85959999865736</x:v>
      </x:c>
      <x:c r="AC79" s="12" t="str">
        <x:v>overlays\disgust_028.png</x:v>
      </x:c>
      <x:c r="AD79" s="12" t="str"/>
      <x:c r="AE79" s="12" t="str"/>
      <x:c r="AF79" s="12" t="str">
        <x:v>acceptable</x:v>
      </x:c>
      <x:c r="AG79" s="12" t="n">
        <x:v>1</x:v>
      </x:c>
      <x:c r="AH79" s="12" t="str">
        <x:v>acceptable</x:v>
      </x:c>
      <x:c r="AI79" s="12" t="str">
        <x:v>acceptable</x:v>
      </x:c>
      <x:c r="AJ79" s="12" t="str">
        <x:v>acceptable</x:v>
      </x:c>
      <x:c r="AK79" s="12" t="str">
        <x:v>not_applicable</x:v>
      </x:c>
      <x:c r="AL79" s="12" t="str">
        <x:v>mild</x:v>
      </x:c>
      <x:c r="AM79" s="14" t="str">
        <x:v>Tight crop places several contour points outside the frame; central facial landmarks remain usable.</x:v>
      </x:c>
    </x:row>
    <x:row r="80" ht="30" customHeight="1">
      <x:c r="A80" s="12" t="str">
        <x:v>disgust_029</x:v>
      </x:c>
      <x:c r="B80" s="12" t="str">
        <x:v>disgust</x:v>
      </x:c>
      <x:c r="C80" s="14" t="str">
        <x:v>disgust/Training_14064382.jpg</x:v>
      </x:c>
      <x:c r="D80" s="12" t="str">
        <x:v>d3dba995b87a2d748c7abe5b449efe57284140951cea7761dfee25840b898c11</x:v>
      </x:c>
      <x:c r="E80" s="12" t="str">
        <x:v>d3dba995b87a2d748c7abe5b449efe57284140951cea7761dfee25840b898c11</x:v>
      </x:c>
      <x:c r="F80" s="12" t="str">
        <x:v>True</x:v>
      </x:c>
      <x:c r="G80" s="12" t="str">
        <x:v>48</x:v>
      </x:c>
      <x:c r="H80" s="12" t="str">
        <x:v>48</x:v>
      </x:c>
      <x:c r="I80" s="12" t="str">
        <x:v>0.0</x:v>
      </x:c>
      <x:c r="J80" s="12" t="str">
        <x:v>0.0</x:v>
      </x:c>
      <x:c r="K80" s="12" t="str">
        <x:v>47.0</x:v>
      </x:c>
      <x:c r="L80" s="12" t="str">
        <x:v>47.0</x:v>
      </x:c>
      <x:c r="M80" s="12" t="str">
        <x:v>True</x:v>
      </x:c>
      <x:c r="N80" s="12" t="str">
        <x:v>106</x:v>
      </x:c>
      <x:c r="O80" s="12" t="str">
        <x:v>106</x:v>
      </x:c>
      <x:c r="P80" s="16" t="str">
        <x:v>1.0</x:v>
      </x:c>
      <x:c r="Q80" s="12" t="str">
        <x:v>85</x:v>
      </x:c>
      <x:c r="R80" s="16" t="str">
        <x:v>0.8018867924528302</x:v>
      </x:c>
      <x:c r="S80" s="12" t="str">
        <x:v>0.2</x:v>
      </x:c>
      <x:c r="T80" s="12" t="str">
        <x:v>105</x:v>
      </x:c>
      <x:c r="U80" s="16" t="str">
        <x:v>0.9905660377358491</x:v>
      </x:c>
      <x:c r="V80" s="18" t="str">
        <x:v>0.1800248771905899</x:v>
      </x:c>
      <x:c r="W80" s="18" t="str">
        <x:v>0.3135478049516678</x:v>
      </x:c>
      <x:c r="X80" s="18" t="str">
        <x:v>0.5094442963600159</x:v>
      </x:c>
      <x:c r="Y80" s="18" t="str">
        <x:v>0.4930799603462219</x:v>
      </x:c>
      <x:c r="Z80" s="18" t="str">
        <x:v>0.7458784580230713</x:v>
      </x:c>
      <x:c r="AA80" s="18" t="str">
        <x:v>0.8323473930358887</x:v>
      </x:c>
      <x:c r="AB80" s="20" t="str">
        <x:v>107.52960000172607</x:v>
      </x:c>
      <x:c r="AC80" s="12" t="str">
        <x:v>overlays\disgust_029.png</x:v>
      </x:c>
      <x:c r="AD80" s="12" t="str"/>
      <x:c r="AE80" s="12" t="str"/>
      <x:c r="AF80" s="12" t="str">
        <x:v>acceptable</x:v>
      </x:c>
      <x:c r="AG80" s="12" t="n">
        <x:v>1</x:v>
      </x:c>
      <x:c r="AH80" s="12" t="str">
        <x:v>acceptable</x:v>
      </x:c>
      <x:c r="AI80" s="12" t="str">
        <x:v>acceptable</x:v>
      </x:c>
      <x:c r="AJ80" s="12" t="str">
        <x:v>acceptable</x:v>
      </x:c>
      <x:c r="AK80" s="12" t="str">
        <x:v>not_applicable</x:v>
      </x:c>
      <x:c r="AL80" s="12" t="str">
        <x:v>mild</x:v>
      </x:c>
      <x:c r="AM80" s="14" t="str">
        <x:v>Tight crop places several contour points outside the frame; central facial landmarks remain usable.</x:v>
      </x:c>
    </x:row>
    <x:row r="81" ht="30" customHeight="1">
      <x:c r="A81" s="12" t="str">
        <x:v>disgust_030</x:v>
      </x:c>
      <x:c r="B81" s="12" t="str">
        <x:v>disgust</x:v>
      </x:c>
      <x:c r="C81" s="14" t="str">
        <x:v>disgust/Training_80671795.jpg</x:v>
      </x:c>
      <x:c r="D81" s="12" t="str">
        <x:v>55dbff9769e3b520c45855d07cd6c1284d9a5a68cc24b19f93329fcfffb150d7</x:v>
      </x:c>
      <x:c r="E81" s="12" t="str">
        <x:v>55dbff9769e3b520c45855d07cd6c1284d9a5a68cc24b19f93329fcfffb150d7</x:v>
      </x:c>
      <x:c r="F81" s="12" t="str">
        <x:v>True</x:v>
      </x:c>
      <x:c r="G81" s="12" t="str">
        <x:v>48</x:v>
      </x:c>
      <x:c r="H81" s="12" t="str">
        <x:v>48</x:v>
      </x:c>
      <x:c r="I81" s="12" t="str">
        <x:v>0.0</x:v>
      </x:c>
      <x:c r="J81" s="12" t="str">
        <x:v>0.0</x:v>
      </x:c>
      <x:c r="K81" s="12" t="str">
        <x:v>47.0</x:v>
      </x:c>
      <x:c r="L81" s="12" t="str">
        <x:v>47.0</x:v>
      </x:c>
      <x:c r="M81" s="12" t="str">
        <x:v>True</x:v>
      </x:c>
      <x:c r="N81" s="12" t="str">
        <x:v>106</x:v>
      </x:c>
      <x:c r="O81" s="12" t="str">
        <x:v>106</x:v>
      </x:c>
      <x:c r="P81" s="16" t="str">
        <x:v>1.0</x:v>
      </x:c>
      <x:c r="Q81" s="12" t="str">
        <x:v>86</x:v>
      </x:c>
      <x:c r="R81" s="16" t="str">
        <x:v>0.8113207547169812</x:v>
      </x:c>
      <x:c r="S81" s="12" t="str">
        <x:v>0.2</x:v>
      </x:c>
      <x:c r="T81" s="12" t="str">
        <x:v>106</x:v>
      </x:c>
      <x:c r="U81" s="16" t="str">
        <x:v>1.0</x:v>
      </x:c>
      <x:c r="V81" s="18" t="str">
        <x:v>0.37339937686920166</x:v>
      </x:c>
      <x:c r="W81" s="18" t="str">
        <x:v>0.47564664483070374</x:v>
      </x:c>
      <x:c r="X81" s="18" t="str">
        <x:v>0.602471113204956</x:v>
      </x:c>
      <x:c r="Y81" s="18" t="str">
        <x:v>0.6134494543075562</x:v>
      </x:c>
      <x:c r="Z81" s="18" t="str">
        <x:v>0.7060514688491821</x:v>
      </x:c>
      <x:c r="AA81" s="18" t="str">
        <x:v>0.807344913482666</x:v>
      </x:c>
      <x:c r="AB81" s="20" t="str">
        <x:v>103.50260000268463</x:v>
      </x:c>
      <x:c r="AC81" s="12" t="str">
        <x:v>overlays\disgust_030.png</x:v>
      </x:c>
      <x:c r="AD81" s="12" t="str"/>
      <x:c r="AE81" s="12" t="str"/>
      <x:c r="AF81" s="12" t="str">
        <x:v>acceptable</x:v>
      </x:c>
      <x:c r="AG81" s="12" t="n">
        <x:v>1</x:v>
      </x:c>
      <x:c r="AH81" s="12" t="str">
        <x:v>acceptable</x:v>
      </x:c>
      <x:c r="AI81" s="12" t="str">
        <x:v>acceptable</x:v>
      </x:c>
      <x:c r="AJ81" s="12" t="str">
        <x:v>acceptable</x:v>
      </x:c>
      <x:c r="AK81" s="12" t="str">
        <x:v>not_applicable</x:v>
      </x:c>
      <x:c r="AL81" s="12" t="str">
        <x:v>mild</x:v>
      </x:c>
      <x:c r="AM81" s="14" t="str">
        <x:v>Tight crop places several contour points outside the frame; central facial landmarks remain usable.</x:v>
      </x:c>
    </x:row>
    <x:row r="82" ht="30" customHeight="1">
      <x:c r="A82" s="12" t="str">
        <x:v>disgust_031</x:v>
      </x:c>
      <x:c r="B82" s="12" t="str">
        <x:v>disgust</x:v>
      </x:c>
      <x:c r="C82" s="14" t="str">
        <x:v>disgust/Training_35846483.jpg</x:v>
      </x:c>
      <x:c r="D82" s="12" t="str">
        <x:v>23fbd9fbec608040ee17f06e2edc8a927957429cb70dbf8d55e50117c299c63c</x:v>
      </x:c>
      <x:c r="E82" s="12" t="str">
        <x:v>23fbd9fbec608040ee17f06e2edc8a927957429cb70dbf8d55e50117c299c63c</x:v>
      </x:c>
      <x:c r="F82" s="12" t="str">
        <x:v>True</x:v>
      </x:c>
      <x:c r="G82" s="12" t="str">
        <x:v>48</x:v>
      </x:c>
      <x:c r="H82" s="12" t="str">
        <x:v>48</x:v>
      </x:c>
      <x:c r="I82" s="12" t="str">
        <x:v>0.0</x:v>
      </x:c>
      <x:c r="J82" s="12" t="str">
        <x:v>0.0</x:v>
      </x:c>
      <x:c r="K82" s="12" t="str">
        <x:v>47.0</x:v>
      </x:c>
      <x:c r="L82" s="12" t="str">
        <x:v>47.0</x:v>
      </x:c>
      <x:c r="M82" s="12" t="str">
        <x:v>True</x:v>
      </x:c>
      <x:c r="N82" s="12" t="str">
        <x:v>106</x:v>
      </x:c>
      <x:c r="O82" s="12" t="str">
        <x:v>106</x:v>
      </x:c>
      <x:c r="P82" s="16" t="str">
        <x:v>1.0</x:v>
      </x:c>
      <x:c r="Q82" s="12" t="str">
        <x:v>84</x:v>
      </x:c>
      <x:c r="R82" s="16" t="str">
        <x:v>0.7924528301886793</x:v>
      </x:c>
      <x:c r="S82" s="12" t="str">
        <x:v>0.2</x:v>
      </x:c>
      <x:c r="T82" s="12" t="str">
        <x:v>106</x:v>
      </x:c>
      <x:c r="U82" s="16" t="str">
        <x:v>1.0</x:v>
      </x:c>
      <x:c r="V82" s="18" t="str">
        <x:v>0.24594035744667053</x:v>
      </x:c>
      <x:c r="W82" s="18" t="str">
        <x:v>0.33667322993278503</x:v>
      </x:c>
      <x:c r="X82" s="18" t="str">
        <x:v>0.5787078738212585</x:v>
      </x:c>
      <x:c r="Y82" s="18" t="str">
        <x:v>0.5615665316581726</x:v>
      </x:c>
      <x:c r="Z82" s="18" t="str">
        <x:v>0.8485435247421265</x:v>
      </x:c>
      <x:c r="AA82" s="18" t="str">
        <x:v>0.9093345403671265</x:v>
      </x:c>
      <x:c r="AB82" s="20" t="str">
        <x:v>106.75329999867245</x:v>
      </x:c>
      <x:c r="AC82" s="12" t="str">
        <x:v>overlays\disgust_031.png</x:v>
      </x:c>
      <x:c r="AD82" s="12" t="str"/>
      <x:c r="AE82" s="12" t="str"/>
      <x:c r="AF82" s="12" t="str">
        <x:v>acceptable</x:v>
      </x:c>
      <x:c r="AG82" s="12" t="n">
        <x:v>1</x:v>
      </x:c>
      <x:c r="AH82" s="12" t="str">
        <x:v>acceptable</x:v>
      </x:c>
      <x:c r="AI82" s="12" t="str">
        <x:v>acceptable</x:v>
      </x:c>
      <x:c r="AJ82" s="12" t="str">
        <x:v>acceptable</x:v>
      </x:c>
      <x:c r="AK82" s="12" t="str">
        <x:v>not_applicable</x:v>
      </x:c>
      <x:c r="AL82" s="12" t="str">
        <x:v>mild</x:v>
      </x:c>
      <x:c r="AM82" s="14" t="str">
        <x:v>Tight crop places several contour points outside the frame; central facial landmarks remain usable.</x:v>
      </x:c>
    </x:row>
    <x:row r="83" ht="30" customHeight="1">
      <x:c r="A83" s="12" t="str">
        <x:v>disgust_032</x:v>
      </x:c>
      <x:c r="B83" s="12" t="str">
        <x:v>disgust</x:v>
      </x:c>
      <x:c r="C83" s="14" t="str">
        <x:v>disgust/Training_92867053.jpg</x:v>
      </x:c>
      <x:c r="D83" s="12" t="str">
        <x:v>19de3bd7e9311fb695fc5b60ac70234113cad95a98faa755b7b36826b8572702</x:v>
      </x:c>
      <x:c r="E83" s="12" t="str">
        <x:v>19de3bd7e9311fb695fc5b60ac70234113cad95a98faa755b7b36826b8572702</x:v>
      </x:c>
      <x:c r="F83" s="12" t="str">
        <x:v>True</x:v>
      </x:c>
      <x:c r="G83" s="12" t="str">
        <x:v>48</x:v>
      </x:c>
      <x:c r="H83" s="12" t="str">
        <x:v>48</x:v>
      </x:c>
      <x:c r="I83" s="12" t="str">
        <x:v>0.0</x:v>
      </x:c>
      <x:c r="J83" s="12" t="str">
        <x:v>0.0</x:v>
      </x:c>
      <x:c r="K83" s="12" t="str">
        <x:v>47.0</x:v>
      </x:c>
      <x:c r="L83" s="12" t="str">
        <x:v>47.0</x:v>
      </x:c>
      <x:c r="M83" s="12" t="str">
        <x:v>True</x:v>
      </x:c>
      <x:c r="N83" s="12" t="str">
        <x:v>106</x:v>
      </x:c>
      <x:c r="O83" s="12" t="str">
        <x:v>106</x:v>
      </x:c>
      <x:c r="P83" s="16" t="str">
        <x:v>1.0</x:v>
      </x:c>
      <x:c r="Q83" s="12" t="str">
        <x:v>96</x:v>
      </x:c>
      <x:c r="R83" s="16" t="str">
        <x:v>0.9056603773584906</x:v>
      </x:c>
      <x:c r="S83" s="12" t="str">
        <x:v>0.2</x:v>
      </x:c>
      <x:c r="T83" s="12" t="str">
        <x:v>106</x:v>
      </x:c>
      <x:c r="U83" s="16" t="str">
        <x:v>1.0</x:v>
      </x:c>
      <x:c r="V83" s="18" t="str">
        <x:v>0.33207786083221436</x:v>
      </x:c>
      <x:c r="W83" s="18" t="str">
        <x:v>0.43068017065525055</x:v>
      </x:c>
      <x:c r="X83" s="18" t="str">
        <x:v>0.6298428177833557</x:v>
      </x:c>
      <x:c r="Y83" s="18" t="str">
        <x:v>0.6153573989868164</x:v>
      </x:c>
      <x:c r="Z83" s="18" t="str">
        <x:v>0.8471818566322327</x:v>
      </x:c>
      <x:c r="AA83" s="18" t="str">
        <x:v>0.9640470743179321</x:v>
      </x:c>
      <x:c r="AB83" s="20" t="str">
        <x:v>107.92339999898104</x:v>
      </x:c>
      <x:c r="AC83" s="12" t="str">
        <x:v>overlays\disgust_032.png</x:v>
      </x:c>
      <x:c r="AD83" s="12" t="str"/>
      <x:c r="AE83" s="12" t="str"/>
      <x:c r="AF83" s="12" t="str">
        <x:v>good</x:v>
      </x:c>
      <x:c r="AG83" s="12" t="n">
        <x:v>1</x:v>
      </x:c>
      <x:c r="AH83" s="12" t="str">
        <x:v>good</x:v>
      </x:c>
      <x:c r="AI83" s="12" t="str">
        <x:v>good</x:v>
      </x:c>
      <x:c r="AJ83" s="12" t="str">
        <x:v>good</x:v>
      </x:c>
      <x:c r="AK83" s="12" t="str">
        <x:v>good</x:v>
      </x:c>
      <x:c r="AL83" s="12" t="str">
        <x:v>none</x:v>
      </x:c>
      <x:c r="AM83" s="14" t="str">
        <x:v>Clear and well-aligned facial landmarks with no major pose, crop, or occlusion issue.</x:v>
      </x:c>
    </x:row>
    <x:row r="84" ht="30" customHeight="1">
      <x:c r="A84" s="12" t="str">
        <x:v>disgust_033</x:v>
      </x:c>
      <x:c r="B84" s="12" t="str">
        <x:v>disgust</x:v>
      </x:c>
      <x:c r="C84" s="14" t="str">
        <x:v>disgust/Training_43083070.jpg</x:v>
      </x:c>
      <x:c r="D84" s="12" t="str">
        <x:v>23c53b036456a877de2d788cdfaa06509ed9d36d0459cf9b9d4c557da17837a4</x:v>
      </x:c>
      <x:c r="E84" s="12" t="str">
        <x:v>23c53b036456a877de2d788cdfaa06509ed9d36d0459cf9b9d4c557da17837a4</x:v>
      </x:c>
      <x:c r="F84" s="12" t="str">
        <x:v>True</x:v>
      </x:c>
      <x:c r="G84" s="12" t="str">
        <x:v>48</x:v>
      </x:c>
      <x:c r="H84" s="12" t="str">
        <x:v>48</x:v>
      </x:c>
      <x:c r="I84" s="12" t="str">
        <x:v>0.0</x:v>
      </x:c>
      <x:c r="J84" s="12" t="str">
        <x:v>0.0</x:v>
      </x:c>
      <x:c r="K84" s="12" t="str">
        <x:v>47.0</x:v>
      </x:c>
      <x:c r="L84" s="12" t="str">
        <x:v>47.0</x:v>
      </x:c>
      <x:c r="M84" s="12" t="str">
        <x:v>True</x:v>
      </x:c>
      <x:c r="N84" s="12" t="str">
        <x:v>106</x:v>
      </x:c>
      <x:c r="O84" s="12" t="str">
        <x:v>106</x:v>
      </x:c>
      <x:c r="P84" s="16" t="str">
        <x:v>1.0</x:v>
      </x:c>
      <x:c r="Q84" s="12" t="str">
        <x:v>85</x:v>
      </x:c>
      <x:c r="R84" s="16" t="str">
        <x:v>0.8018867924528302</x:v>
      </x:c>
      <x:c r="S84" s="12" t="str">
        <x:v>0.2</x:v>
      </x:c>
      <x:c r="T84" s="12" t="str">
        <x:v>106</x:v>
      </x:c>
      <x:c r="U84" s="16" t="str">
        <x:v>1.0</x:v>
      </x:c>
      <x:c r="V84" s="18" t="str">
        <x:v>0.23260840773582458</x:v>
      </x:c>
      <x:c r="W84" s="18" t="str">
        <x:v>0.34724776446819305</x:v>
      </x:c>
      <x:c r="X84" s="18" t="str">
        <x:v>0.5387493968009949</x:v>
      </x:c>
      <x:c r="Y84" s="18" t="str">
        <x:v>0.5320970416069031</x:v>
      </x:c>
      <x:c r="Z84" s="18" t="str">
        <x:v>0.7643762826919556</x:v>
      </x:c>
      <x:c r="AA84" s="18" t="str">
        <x:v>0.8303787708282471</x:v>
      </x:c>
      <x:c r="AB84" s="20" t="str">
        <x:v>116.38120000134222</x:v>
      </x:c>
      <x:c r="AC84" s="12" t="str">
        <x:v>overlays\disgust_033.png</x:v>
      </x:c>
      <x:c r="AD84" s="12" t="str"/>
      <x:c r="AE84" s="12" t="str"/>
      <x:c r="AF84" s="12" t="str">
        <x:v>acceptable</x:v>
      </x:c>
      <x:c r="AG84" s="12" t="n">
        <x:v>1</x:v>
      </x:c>
      <x:c r="AH84" s="12" t="str">
        <x:v>acceptable</x:v>
      </x:c>
      <x:c r="AI84" s="12" t="str">
        <x:v>acceptable</x:v>
      </x:c>
      <x:c r="AJ84" s="12" t="str">
        <x:v>acceptable</x:v>
      </x:c>
      <x:c r="AK84" s="12" t="str">
        <x:v>not_applicable</x:v>
      </x:c>
      <x:c r="AL84" s="12" t="str">
        <x:v>mild</x:v>
      </x:c>
      <x:c r="AM84" s="14" t="str">
        <x:v>Tight crop places several contour points outside the frame; central facial landmarks remain usable.</x:v>
      </x:c>
    </x:row>
    <x:row r="85" ht="30" customHeight="1">
      <x:c r="A85" s="12" t="str">
        <x:v>disgust_034</x:v>
      </x:c>
      <x:c r="B85" s="12" t="str">
        <x:v>disgust</x:v>
      </x:c>
      <x:c r="C85" s="14" t="str">
        <x:v>disgust/Training_36831728.jpg</x:v>
      </x:c>
      <x:c r="D85" s="12" t="str">
        <x:v>7e108c5b7df945d89796e2dbafd4fff6767f666d62842248dbd9064fe2641fd6</x:v>
      </x:c>
      <x:c r="E85" s="12" t="str">
        <x:v>7e108c5b7df945d89796e2dbafd4fff6767f666d62842248dbd9064fe2641fd6</x:v>
      </x:c>
      <x:c r="F85" s="12" t="str">
        <x:v>True</x:v>
      </x:c>
      <x:c r="G85" s="12" t="str">
        <x:v>48</x:v>
      </x:c>
      <x:c r="H85" s="12" t="str">
        <x:v>48</x:v>
      </x:c>
      <x:c r="I85" s="12" t="str">
        <x:v>0.0</x:v>
      </x:c>
      <x:c r="J85" s="12" t="str">
        <x:v>0.0</x:v>
      </x:c>
      <x:c r="K85" s="12" t="str">
        <x:v>47.0</x:v>
      </x:c>
      <x:c r="L85" s="12" t="str">
        <x:v>47.0</x:v>
      </x:c>
      <x:c r="M85" s="12" t="str">
        <x:v>True</x:v>
      </x:c>
      <x:c r="N85" s="12" t="str">
        <x:v>106</x:v>
      </x:c>
      <x:c r="O85" s="12" t="str">
        <x:v>106</x:v>
      </x:c>
      <x:c r="P85" s="16" t="str">
        <x:v>1.0</x:v>
      </x:c>
      <x:c r="Q85" s="12" t="str">
        <x:v>95</x:v>
      </x:c>
      <x:c r="R85" s="16" t="str">
        <x:v>0.8962264150943396</x:v>
      </x:c>
      <x:c r="S85" s="12" t="str">
        <x:v>0.2</x:v>
      </x:c>
      <x:c r="T85" s="12" t="str">
        <x:v>106</x:v>
      </x:c>
      <x:c r="U85" s="16" t="str">
        <x:v>1.0</x:v>
      </x:c>
      <x:c r="V85" s="18" t="str">
        <x:v>0.40557318925857544</x:v>
      </x:c>
      <x:c r="W85" s="18" t="str">
        <x:v>0.496234655380249</x:v>
      </x:c>
      <x:c r="X85" s="18" t="str">
        <x:v>0.675451397895813</x:v>
      </x:c>
      <x:c r="Y85" s="18" t="str">
        <x:v>0.6482212543487549</x:v>
      </x:c>
      <x:c r="Z85" s="18" t="str">
        <x:v>0.9179497063159943</x:v>
      </x:c>
      <x:c r="AA85" s="18" t="str">
        <x:v>0.9771105051040649</x:v>
      </x:c>
      <x:c r="AB85" s="20" t="str">
        <x:v>114.66089999885298</x:v>
      </x:c>
      <x:c r="AC85" s="12" t="str">
        <x:v>overlays\disgust_034.png</x:v>
      </x:c>
      <x:c r="AD85" s="12" t="str"/>
      <x:c r="AE85" s="12" t="str"/>
      <x:c r="AF85" s="12" t="str">
        <x:v>good</x:v>
      </x:c>
      <x:c r="AG85" s="12" t="n">
        <x:v>1</x:v>
      </x:c>
      <x:c r="AH85" s="12" t="str">
        <x:v>good</x:v>
      </x:c>
      <x:c r="AI85" s="12" t="str">
        <x:v>good</x:v>
      </x:c>
      <x:c r="AJ85" s="12" t="str">
        <x:v>good</x:v>
      </x:c>
      <x:c r="AK85" s="12" t="str">
        <x:v>not_applicable</x:v>
      </x:c>
      <x:c r="AL85" s="12" t="str">
        <x:v>none</x:v>
      </x:c>
      <x:c r="AM85" s="14" t="str">
        <x:v>Clear and well-aligned facial landmarks with no major pose, crop, or occlusion issue.</x:v>
      </x:c>
    </x:row>
    <x:row r="86" ht="30" customHeight="1">
      <x:c r="A86" s="12" t="str">
        <x:v>disgust_035</x:v>
      </x:c>
      <x:c r="B86" s="12" t="str">
        <x:v>disgust</x:v>
      </x:c>
      <x:c r="C86" s="14" t="str">
        <x:v>disgust/Training_20767880.jpg</x:v>
      </x:c>
      <x:c r="D86" s="12" t="str">
        <x:v>a1232f4b247d2556e03d7443178e3ca2dcb282cd16170d1b00f0a8639ee536a6</x:v>
      </x:c>
      <x:c r="E86" s="12" t="str">
        <x:v>a1232f4b247d2556e03d7443178e3ca2dcb282cd16170d1b00f0a8639ee536a6</x:v>
      </x:c>
      <x:c r="F86" s="12" t="str">
        <x:v>True</x:v>
      </x:c>
      <x:c r="G86" s="12" t="str">
        <x:v>48</x:v>
      </x:c>
      <x:c r="H86" s="12" t="str">
        <x:v>48</x:v>
      </x:c>
      <x:c r="I86" s="12" t="str">
        <x:v>0.0</x:v>
      </x:c>
      <x:c r="J86" s="12" t="str">
        <x:v>0.0</x:v>
      </x:c>
      <x:c r="K86" s="12" t="str">
        <x:v>47.0</x:v>
      </x:c>
      <x:c r="L86" s="12" t="str">
        <x:v>47.0</x:v>
      </x:c>
      <x:c r="M86" s="12" t="str">
        <x:v>True</x:v>
      </x:c>
      <x:c r="N86" s="12" t="str">
        <x:v>106</x:v>
      </x:c>
      <x:c r="O86" s="12" t="str">
        <x:v>106</x:v>
      </x:c>
      <x:c r="P86" s="16" t="str">
        <x:v>1.0</x:v>
      </x:c>
      <x:c r="Q86" s="12" t="str">
        <x:v>88</x:v>
      </x:c>
      <x:c r="R86" s="16" t="str">
        <x:v>0.8301886792452831</x:v>
      </x:c>
      <x:c r="S86" s="12" t="str">
        <x:v>0.2</x:v>
      </x:c>
      <x:c r="T86" s="12" t="str">
        <x:v>106</x:v>
      </x:c>
      <x:c r="U86" s="16" t="str">
        <x:v>1.0</x:v>
      </x:c>
      <x:c r="V86" s="18" t="str">
        <x:v>0.3327021896839142</x:v>
      </x:c>
      <x:c r="W86" s="18" t="str">
        <x:v>0.44969451427459717</x:v>
      </x:c>
      <x:c r="X86" s="18" t="str">
        <x:v>0.5697568655014038</x:v>
      </x:c>
      <x:c r="Y86" s="18" t="str">
        <x:v>0.5579578280448914</x:v>
      </x:c>
      <x:c r="Z86" s="18" t="str">
        <x:v>0.7198135256767273</x:v>
      </x:c>
      <x:c r="AA86" s="18" t="str">
        <x:v>0.7985012531280518</x:v>
      </x:c>
      <x:c r="AB86" s="20" t="str">
        <x:v>110.69230000066455</x:v>
      </x:c>
      <x:c r="AC86" s="12" t="str">
        <x:v>overlays\disgust_035.png</x:v>
      </x:c>
      <x:c r="AD86" s="12" t="str"/>
      <x:c r="AE86" s="12" t="str"/>
      <x:c r="AF86" s="12" t="str">
        <x:v>acceptable</x:v>
      </x:c>
      <x:c r="AG86" s="12" t="n">
        <x:v>1</x:v>
      </x:c>
      <x:c r="AH86" s="12" t="str">
        <x:v>acceptable</x:v>
      </x:c>
      <x:c r="AI86" s="12" t="str">
        <x:v>acceptable</x:v>
      </x:c>
      <x:c r="AJ86" s="12" t="str">
        <x:v>acceptable</x:v>
      </x:c>
      <x:c r="AK86" s="12" t="str">
        <x:v>acceptable</x:v>
      </x:c>
      <x:c r="AL86" s="12" t="str">
        <x:v>mild</x:v>
      </x:c>
      <x:c r="AM86" s="14" t="str">
        <x:v>Tight crop places several contour points outside the frame; central facial landmarks remain usable.</x:v>
      </x:c>
    </x:row>
    <x:row r="87" ht="30" customHeight="1">
      <x:c r="A87" s="12" t="str">
        <x:v>disgust_036</x:v>
      </x:c>
      <x:c r="B87" s="12" t="str">
        <x:v>disgust</x:v>
      </x:c>
      <x:c r="C87" s="14" t="str">
        <x:v>disgust/Training_41474720.jpg</x:v>
      </x:c>
      <x:c r="D87" s="12" t="str">
        <x:v>36aabb1c3136a653fd5e4acec8ad93b113b0a5af06b32a6a3c26a9d39eeb2c21</x:v>
      </x:c>
      <x:c r="E87" s="12" t="str">
        <x:v>36aabb1c3136a653fd5e4acec8ad93b113b0a5af06b32a6a3c26a9d39eeb2c21</x:v>
      </x:c>
      <x:c r="F87" s="12" t="str">
        <x:v>True</x:v>
      </x:c>
      <x:c r="G87" s="12" t="str">
        <x:v>48</x:v>
      </x:c>
      <x:c r="H87" s="12" t="str">
        <x:v>48</x:v>
      </x:c>
      <x:c r="I87" s="12" t="str">
        <x:v>0.0</x:v>
      </x:c>
      <x:c r="J87" s="12" t="str">
        <x:v>0.0</x:v>
      </x:c>
      <x:c r="K87" s="12" t="str">
        <x:v>47.0</x:v>
      </x:c>
      <x:c r="L87" s="12" t="str">
        <x:v>47.0</x:v>
      </x:c>
      <x:c r="M87" s="12" t="str">
        <x:v>True</x:v>
      </x:c>
      <x:c r="N87" s="12" t="str">
        <x:v>106</x:v>
      </x:c>
      <x:c r="O87" s="12" t="str">
        <x:v>106</x:v>
      </x:c>
      <x:c r="P87" s="16" t="str">
        <x:v>1.0</x:v>
      </x:c>
      <x:c r="Q87" s="12" t="str">
        <x:v>74</x:v>
      </x:c>
      <x:c r="R87" s="16" t="str">
        <x:v>0.6981132075471698</x:v>
      </x:c>
      <x:c r="S87" s="12" t="str">
        <x:v>0.2</x:v>
      </x:c>
      <x:c r="T87" s="12" t="str">
        <x:v>106</x:v>
      </x:c>
      <x:c r="U87" s="16" t="str">
        <x:v>1.0</x:v>
      </x:c>
      <x:c r="V87" s="18" t="str">
        <x:v>0.3675526976585388</x:v>
      </x:c>
      <x:c r="W87" s="18" t="str">
        <x:v>0.4007851183414459</x:v>
      </x:c>
      <x:c r="X87" s="18" t="str">
        <x:v>0.5007201433181763</x:v>
      </x:c>
      <x:c r="Y87" s="18" t="str">
        <x:v>0.5132839679718018</x:v>
      </x:c>
      <x:c r="Z87" s="18" t="str">
        <x:v>0.5744161009788513</x:v>
      </x:c>
      <x:c r="AA87" s="18" t="str">
        <x:v>0.6873157620429993</x:v>
      </x:c>
      <x:c r="AB87" s="20" t="str">
        <x:v>102.23530000075698</x:v>
      </x:c>
      <x:c r="AC87" s="12" t="str">
        <x:v>overlays\disgust_036.png</x:v>
      </x:c>
      <x:c r="AD87" s="12" t="str"/>
      <x:c r="AE87" s="12" t="str"/>
      <x:c r="AF87" s="12" t="str">
        <x:v>acceptable</x:v>
      </x:c>
      <x:c r="AG87" s="12" t="n">
        <x:v>1</x:v>
      </x:c>
      <x:c r="AH87" s="12" t="str">
        <x:v>acceptable</x:v>
      </x:c>
      <x:c r="AI87" s="12" t="str">
        <x:v>acceptable</x:v>
      </x:c>
      <x:c r="AJ87" s="12" t="str">
        <x:v>acceptable</x:v>
      </x:c>
      <x:c r="AK87" s="12" t="str">
        <x:v>acceptable</x:v>
      </x:c>
      <x:c r="AL87" s="12" t="str">
        <x:v>mild</x:v>
      </x:c>
      <x:c r="AM87" s="14" t="str">
        <x:v>Tight crop places several contour points outside the frame; central facial landmarks remain usable.</x:v>
      </x:c>
    </x:row>
    <x:row r="88" ht="30" customHeight="1">
      <x:c r="A88" s="12" t="str">
        <x:v>disgust_037</x:v>
      </x:c>
      <x:c r="B88" s="12" t="str">
        <x:v>disgust</x:v>
      </x:c>
      <x:c r="C88" s="14" t="str">
        <x:v>disgust/Training_60674497.jpg</x:v>
      </x:c>
      <x:c r="D88" s="12" t="str">
        <x:v>3470e6fd431dcb9c76a3e066f4ac897832224cf01ff945cfca8652b30ccec233</x:v>
      </x:c>
      <x:c r="E88" s="12" t="str">
        <x:v>3470e6fd431dcb9c76a3e066f4ac897832224cf01ff945cfca8652b30ccec233</x:v>
      </x:c>
      <x:c r="F88" s="12" t="str">
        <x:v>True</x:v>
      </x:c>
      <x:c r="G88" s="12" t="str">
        <x:v>48</x:v>
      </x:c>
      <x:c r="H88" s="12" t="str">
        <x:v>48</x:v>
      </x:c>
      <x:c r="I88" s="12" t="str">
        <x:v>0.0</x:v>
      </x:c>
      <x:c r="J88" s="12" t="str">
        <x:v>0.0</x:v>
      </x:c>
      <x:c r="K88" s="12" t="str">
        <x:v>47.0</x:v>
      </x:c>
      <x:c r="L88" s="12" t="str">
        <x:v>47.0</x:v>
      </x:c>
      <x:c r="M88" s="12" t="str">
        <x:v>True</x:v>
      </x:c>
      <x:c r="N88" s="12" t="str">
        <x:v>106</x:v>
      </x:c>
      <x:c r="O88" s="12" t="str">
        <x:v>106</x:v>
      </x:c>
      <x:c r="P88" s="16" t="str">
        <x:v>1.0</x:v>
      </x:c>
      <x:c r="Q88" s="12" t="str">
        <x:v>103</x:v>
      </x:c>
      <x:c r="R88" s="16" t="str">
        <x:v>0.9716981132075472</x:v>
      </x:c>
      <x:c r="S88" s="12" t="str">
        <x:v>0.2</x:v>
      </x:c>
      <x:c r="T88" s="12" t="str">
        <x:v>106</x:v>
      </x:c>
      <x:c r="U88" s="16" t="str">
        <x:v>1.0</x:v>
      </x:c>
      <x:c r="V88" s="18" t="str">
        <x:v>0.4789382517337799</x:v>
      </x:c>
      <x:c r="W88" s="18" t="str">
        <x:v>0.5670098662376404</x:v>
      </x:c>
      <x:c r="X88" s="18" t="str">
        <x:v>0.6866750717163086</x:v>
      </x:c>
      <x:c r="Y88" s="18" t="str">
        <x:v>0.6672723889350891</x:v>
      </x:c>
      <x:c r="Z88" s="18" t="str">
        <x:v>0.836742103099823</x:v>
      </x:c>
      <x:c r="AA88" s="18" t="str">
        <x:v>0.9188863039016724</x:v>
      </x:c>
      <x:c r="AB88" s="20" t="str">
        <x:v>107.88740000134567</x:v>
      </x:c>
      <x:c r="AC88" s="12" t="str">
        <x:v>overlays\disgust_037.png</x:v>
      </x:c>
      <x:c r="AD88" s="12" t="str"/>
      <x:c r="AE88" s="12" t="str"/>
      <x:c r="AF88" s="12" t="str">
        <x:v>good</x:v>
      </x:c>
      <x:c r="AG88" s="12" t="n">
        <x:v>1</x:v>
      </x:c>
      <x:c r="AH88" s="12" t="str">
        <x:v>good</x:v>
      </x:c>
      <x:c r="AI88" s="12" t="str">
        <x:v>good</x:v>
      </x:c>
      <x:c r="AJ88" s="12" t="str">
        <x:v>good</x:v>
      </x:c>
      <x:c r="AK88" s="12" t="str">
        <x:v>not_applicable</x:v>
      </x:c>
      <x:c r="AL88" s="12" t="str">
        <x:v>none</x:v>
      </x:c>
      <x:c r="AM88" s="14" t="str">
        <x:v>Clear and well-aligned facial landmarks with no major pose, crop, or occlusion issue.</x:v>
      </x:c>
    </x:row>
    <x:row r="89" ht="30" customHeight="1">
      <x:c r="A89" s="12" t="str">
        <x:v>disgust_038</x:v>
      </x:c>
      <x:c r="B89" s="12" t="str">
        <x:v>disgust</x:v>
      </x:c>
      <x:c r="C89" s="14" t="str">
        <x:v>disgust/Training_79051820.jpg</x:v>
      </x:c>
      <x:c r="D89" s="12" t="str">
        <x:v>431c794e1507966f8b6b3dbb8b261978f074b43ba869492992967bb01f0113c1</x:v>
      </x:c>
      <x:c r="E89" s="12" t="str">
        <x:v>431c794e1507966f8b6b3dbb8b261978f074b43ba869492992967bb01f0113c1</x:v>
      </x:c>
      <x:c r="F89" s="12" t="str">
        <x:v>True</x:v>
      </x:c>
      <x:c r="G89" s="12" t="str">
        <x:v>48</x:v>
      </x:c>
      <x:c r="H89" s="12" t="str">
        <x:v>48</x:v>
      </x:c>
      <x:c r="I89" s="12" t="str">
        <x:v>0.0</x:v>
      </x:c>
      <x:c r="J89" s="12" t="str">
        <x:v>0.0</x:v>
      </x:c>
      <x:c r="K89" s="12" t="str">
        <x:v>47.0</x:v>
      </x:c>
      <x:c r="L89" s="12" t="str">
        <x:v>47.0</x:v>
      </x:c>
      <x:c r="M89" s="12" t="str">
        <x:v>True</x:v>
      </x:c>
      <x:c r="N89" s="12" t="str">
        <x:v>106</x:v>
      </x:c>
      <x:c r="O89" s="12" t="str">
        <x:v>106</x:v>
      </x:c>
      <x:c r="P89" s="16" t="str">
        <x:v>1.0</x:v>
      </x:c>
      <x:c r="Q89" s="12" t="str">
        <x:v>80</x:v>
      </x:c>
      <x:c r="R89" s="16" t="str">
        <x:v>0.7547169811320755</x:v>
      </x:c>
      <x:c r="S89" s="12" t="str">
        <x:v>0.2</x:v>
      </x:c>
      <x:c r="T89" s="12" t="str">
        <x:v>106</x:v>
      </x:c>
      <x:c r="U89" s="16" t="str">
        <x:v>1.0</x:v>
      </x:c>
      <x:c r="V89" s="18" t="str">
        <x:v>0.26404082775115967</x:v>
      </x:c>
      <x:c r="W89" s="18" t="str">
        <x:v>0.360415056347847</x:v>
      </x:c>
      <x:c r="X89" s="18" t="str">
        <x:v>0.5079347491264343</x:v>
      </x:c>
      <x:c r="Y89" s="18" t="str">
        <x:v>0.47564202547073364</x:v>
      </x:c>
      <x:c r="Z89" s="18" t="str">
        <x:v>0.6968505382537842</x:v>
      </x:c>
      <x:c r="AA89" s="18" t="str">
        <x:v>0.7615277767181396</x:v>
      </x:c>
      <x:c r="AB89" s="20" t="str">
        <x:v>106.68620000069495</x:v>
      </x:c>
      <x:c r="AC89" s="12" t="str">
        <x:v>overlays\disgust_038.png</x:v>
      </x:c>
      <x:c r="AD89" s="12" t="str"/>
      <x:c r="AE89" s="12" t="str"/>
      <x:c r="AF89" s="12" t="str">
        <x:v>acceptable</x:v>
      </x:c>
      <x:c r="AG89" s="12" t="n">
        <x:v>1</x:v>
      </x:c>
      <x:c r="AH89" s="12" t="str">
        <x:v>acceptable</x:v>
      </x:c>
      <x:c r="AI89" s="12" t="str">
        <x:v>acceptable</x:v>
      </x:c>
      <x:c r="AJ89" s="12" t="str">
        <x:v>acceptable</x:v>
      </x:c>
      <x:c r="AK89" s="12" t="str">
        <x:v>not_applicable</x:v>
      </x:c>
      <x:c r="AL89" s="12" t="str">
        <x:v>mild</x:v>
      </x:c>
      <x:c r="AM89" s="14" t="str">
        <x:v>Tight crop places several contour points outside the frame; central facial landmarks remain usable.</x:v>
      </x:c>
    </x:row>
    <x:row r="90" ht="30" customHeight="1">
      <x:c r="A90" s="12" t="str">
        <x:v>disgust_039</x:v>
      </x:c>
      <x:c r="B90" s="12" t="str">
        <x:v>disgust</x:v>
      </x:c>
      <x:c r="C90" s="14" t="str">
        <x:v>disgust/Training_98416381.jpg</x:v>
      </x:c>
      <x:c r="D90" s="12" t="str">
        <x:v>35cb7bb930e8c84342135c3fb3288bd9f3468069e3468f4f8614d4bbc7c8eb61</x:v>
      </x:c>
      <x:c r="E90" s="12" t="str">
        <x:v>35cb7bb930e8c84342135c3fb3288bd9f3468069e3468f4f8614d4bbc7c8eb61</x:v>
      </x:c>
      <x:c r="F90" s="12" t="str">
        <x:v>True</x:v>
      </x:c>
      <x:c r="G90" s="12" t="str">
        <x:v>48</x:v>
      </x:c>
      <x:c r="H90" s="12" t="str">
        <x:v>48</x:v>
      </x:c>
      <x:c r="I90" s="12" t="str">
        <x:v>0.0</x:v>
      </x:c>
      <x:c r="J90" s="12" t="str">
        <x:v>0.0</x:v>
      </x:c>
      <x:c r="K90" s="12" t="str">
        <x:v>47.0</x:v>
      </x:c>
      <x:c r="L90" s="12" t="str">
        <x:v>47.0</x:v>
      </x:c>
      <x:c r="M90" s="12" t="str">
        <x:v>True</x:v>
      </x:c>
      <x:c r="N90" s="12" t="str">
        <x:v>106</x:v>
      </x:c>
      <x:c r="O90" s="12" t="str">
        <x:v>106</x:v>
      </x:c>
      <x:c r="P90" s="16" t="str">
        <x:v>1.0</x:v>
      </x:c>
      <x:c r="Q90" s="12" t="str">
        <x:v>74</x:v>
      </x:c>
      <x:c r="R90" s="16" t="str">
        <x:v>0.6981132075471698</x:v>
      </x:c>
      <x:c r="S90" s="12" t="str">
        <x:v>0.2</x:v>
      </x:c>
      <x:c r="T90" s="12" t="str">
        <x:v>106</x:v>
      </x:c>
      <x:c r="U90" s="16" t="str">
        <x:v>1.0</x:v>
      </x:c>
      <x:c r="V90" s="18" t="str">
        <x:v>0.300445556640625</x:v>
      </x:c>
      <x:c r="W90" s="18" t="str">
        <x:v>0.500642716884613</x:v>
      </x:c>
      <x:c r="X90" s="18" t="str">
        <x:v>0.6603375673294067</x:v>
      </x:c>
      <x:c r="Y90" s="18" t="str">
        <x:v>0.6860805749893188</x:v>
      </x:c>
      <x:c r="Z90" s="18" t="str">
        <x:v>0.801091879606247</x:v>
      </x:c>
      <x:c r="AA90" s="18" t="str">
        <x:v>0.8744837641716003</x:v>
      </x:c>
      <x:c r="AB90" s="20" t="str">
        <x:v>104.0026000009675</x:v>
      </x:c>
      <x:c r="AC90" s="12" t="str">
        <x:v>overlays\disgust_039.png</x:v>
      </x:c>
      <x:c r="AD90" s="12" t="str"/>
      <x:c r="AE90" s="12" t="str"/>
      <x:c r="AF90" s="12" t="str">
        <x:v>acceptable</x:v>
      </x:c>
      <x:c r="AG90" s="12" t="n">
        <x:v>1</x:v>
      </x:c>
      <x:c r="AH90" s="12" t="str">
        <x:v>acceptable</x:v>
      </x:c>
      <x:c r="AI90" s="12" t="str">
        <x:v>acceptable</x:v>
      </x:c>
      <x:c r="AJ90" s="12" t="str">
        <x:v>acceptable</x:v>
      </x:c>
      <x:c r="AK90" s="12" t="str">
        <x:v>acceptable</x:v>
      </x:c>
      <x:c r="AL90" s="12" t="str">
        <x:v>mild</x:v>
      </x:c>
      <x:c r="AM90" s="14" t="str">
        <x:v>Tight crop places several contour points outside the frame; central facial landmarks remain usable.</x:v>
      </x:c>
    </x:row>
    <x:row r="91" ht="30" customHeight="1">
      <x:c r="A91" s="12" t="str">
        <x:v>disgust_040</x:v>
      </x:c>
      <x:c r="B91" s="12" t="str">
        <x:v>disgust</x:v>
      </x:c>
      <x:c r="C91" s="14" t="str">
        <x:v>disgust/Training_52480931.jpg</x:v>
      </x:c>
      <x:c r="D91" s="12" t="str">
        <x:v>678428f7e58c4b0fe36ec1aeea146ef35a9d118cab24ed60f9f2b6e88bfb5b6a</x:v>
      </x:c>
      <x:c r="E91" s="12" t="str">
        <x:v>678428f7e58c4b0fe36ec1aeea146ef35a9d118cab24ed60f9f2b6e88bfb5b6a</x:v>
      </x:c>
      <x:c r="F91" s="12" t="str">
        <x:v>True</x:v>
      </x:c>
      <x:c r="G91" s="12" t="str">
        <x:v>48</x:v>
      </x:c>
      <x:c r="H91" s="12" t="str">
        <x:v>48</x:v>
      </x:c>
      <x:c r="I91" s="12" t="str">
        <x:v>0.0</x:v>
      </x:c>
      <x:c r="J91" s="12" t="str">
        <x:v>0.0</x:v>
      </x:c>
      <x:c r="K91" s="12" t="str">
        <x:v>47.0</x:v>
      </x:c>
      <x:c r="L91" s="12" t="str">
        <x:v>47.0</x:v>
      </x:c>
      <x:c r="M91" s="12" t="str">
        <x:v>True</x:v>
      </x:c>
      <x:c r="N91" s="12" t="str">
        <x:v>106</x:v>
      </x:c>
      <x:c r="O91" s="12" t="str">
        <x:v>106</x:v>
      </x:c>
      <x:c r="P91" s="16" t="str">
        <x:v>1.0</x:v>
      </x:c>
      <x:c r="Q91" s="12" t="str">
        <x:v>89</x:v>
      </x:c>
      <x:c r="R91" s="16" t="str">
        <x:v>0.839622641509434</x:v>
      </x:c>
      <x:c r="S91" s="12" t="str">
        <x:v>0.2</x:v>
      </x:c>
      <x:c r="T91" s="12" t="str">
        <x:v>106</x:v>
      </x:c>
      <x:c r="U91" s="16" t="str">
        <x:v>1.0</x:v>
      </x:c>
      <x:c r="V91" s="18" t="str">
        <x:v>0.4980522692203522</x:v>
      </x:c>
      <x:c r="W91" s="18" t="str">
        <x:v>0.5601224303245544</x:v>
      </x:c>
      <x:c r="X91" s="18" t="str">
        <x:v>0.6871316432952881</x:v>
      </x:c>
      <x:c r="Y91" s="18" t="str">
        <x:v>0.6871581673622131</x:v>
      </x:c>
      <x:c r="Z91" s="18" t="str">
        <x:v>0.8047480583190918</x:v>
      </x:c>
      <x:c r="AA91" s="18" t="str">
        <x:v>0.9142760634422302</x:v>
      </x:c>
      <x:c r="AB91" s="20" t="str">
        <x:v>105.36449999926845</x:v>
      </x:c>
      <x:c r="AC91" s="12" t="str">
        <x:v>overlays\disgust_040.png</x:v>
      </x:c>
      <x:c r="AD91" s="12" t="str"/>
      <x:c r="AE91" s="12" t="str"/>
      <x:c r="AF91" s="12" t="str">
        <x:v>acceptable</x:v>
      </x:c>
      <x:c r="AG91" s="12" t="n">
        <x:v>1</x:v>
      </x:c>
      <x:c r="AH91" s="12" t="str">
        <x:v>acceptable</x:v>
      </x:c>
      <x:c r="AI91" s="12" t="str">
        <x:v>acceptable</x:v>
      </x:c>
      <x:c r="AJ91" s="12" t="str">
        <x:v>acceptable</x:v>
      </x:c>
      <x:c r="AK91" s="12" t="str">
        <x:v>not_applicable</x:v>
      </x:c>
      <x:c r="AL91" s="12" t="str">
        <x:v>mild</x:v>
      </x:c>
      <x:c r="AM91" s="14" t="str">
        <x:v>Large pose or profile; visible landmarks are useful, while hidden-side contour points are inferred.</x:v>
      </x:c>
    </x:row>
    <x:row r="92" ht="30" customHeight="1">
      <x:c r="A92" s="12" t="str">
        <x:v>disgust_041</x:v>
      </x:c>
      <x:c r="B92" s="12" t="str">
        <x:v>disgust</x:v>
      </x:c>
      <x:c r="C92" s="14" t="str">
        <x:v>disgust/Training_28804902.jpg</x:v>
      </x:c>
      <x:c r="D92" s="12" t="str">
        <x:v>514a0787af993a7006547b7a1871df119b49feeef0849b0054fbde28d2cea529</x:v>
      </x:c>
      <x:c r="E92" s="12" t="str">
        <x:v>514a0787af993a7006547b7a1871df119b49feeef0849b0054fbde28d2cea529</x:v>
      </x:c>
      <x:c r="F92" s="12" t="str">
        <x:v>True</x:v>
      </x:c>
      <x:c r="G92" s="12" t="str">
        <x:v>48</x:v>
      </x:c>
      <x:c r="H92" s="12" t="str">
        <x:v>48</x:v>
      </x:c>
      <x:c r="I92" s="12" t="str">
        <x:v>0.0</x:v>
      </x:c>
      <x:c r="J92" s="12" t="str">
        <x:v>0.0</x:v>
      </x:c>
      <x:c r="K92" s="12" t="str">
        <x:v>47.0</x:v>
      </x:c>
      <x:c r="L92" s="12" t="str">
        <x:v>47.0</x:v>
      </x:c>
      <x:c r="M92" s="12" t="str">
        <x:v>True</x:v>
      </x:c>
      <x:c r="N92" s="12" t="str">
        <x:v>106</x:v>
      </x:c>
      <x:c r="O92" s="12" t="str">
        <x:v>106</x:v>
      </x:c>
      <x:c r="P92" s="16" t="str">
        <x:v>1.0</x:v>
      </x:c>
      <x:c r="Q92" s="12" t="str">
        <x:v>92</x:v>
      </x:c>
      <x:c r="R92" s="16" t="str">
        <x:v>0.8679245283018868</x:v>
      </x:c>
      <x:c r="S92" s="12" t="str">
        <x:v>0.2</x:v>
      </x:c>
      <x:c r="T92" s="12" t="str">
        <x:v>106</x:v>
      </x:c>
      <x:c r="U92" s="16" t="str">
        <x:v>1.0</x:v>
      </x:c>
      <x:c r="V92" s="18" t="str">
        <x:v>0.2904196083545685</x:v>
      </x:c>
      <x:c r="W92" s="18" t="str">
        <x:v>0.3536284267902374</x:v>
      </x:c>
      <x:c r="X92" s="18" t="str">
        <x:v>0.6055717468261719</x:v>
      </x:c>
      <x:c r="Y92" s="18" t="str">
        <x:v>0.5883761644363403</x:v>
      </x:c>
      <x:c r="Z92" s="18" t="str">
        <x:v>0.8394520878791809</x:v>
      </x:c>
      <x:c r="AA92" s="18" t="str">
        <x:v>0.9841490983963013</x:v>
      </x:c>
      <x:c r="AB92" s="20" t="str">
        <x:v>105.52020000250195</x:v>
      </x:c>
      <x:c r="AC92" s="12" t="str">
        <x:v>overlays\disgust_041.png</x:v>
      </x:c>
      <x:c r="AD92" s="12" t="str"/>
      <x:c r="AE92" s="12" t="str"/>
      <x:c r="AF92" s="12" t="str">
        <x:v>acceptable</x:v>
      </x:c>
      <x:c r="AG92" s="12" t="n">
        <x:v>1</x:v>
      </x:c>
      <x:c r="AH92" s="12" t="str">
        <x:v>acceptable</x:v>
      </x:c>
      <x:c r="AI92" s="12" t="str">
        <x:v>acceptable</x:v>
      </x:c>
      <x:c r="AJ92" s="12" t="str">
        <x:v>acceptable</x:v>
      </x:c>
      <x:c r="AK92" s="12" t="str">
        <x:v>acceptable</x:v>
      </x:c>
      <x:c r="AL92" s="12" t="str">
        <x:v>mild</x:v>
      </x:c>
      <x:c r="AM92" s="14" t="str">
        <x:v>Moderate pose, crop, or image degradation causes minor landmark uncertainty; the result remains usable.</x:v>
      </x:c>
    </x:row>
    <x:row r="93" ht="30" customHeight="1">
      <x:c r="A93" s="12" t="str">
        <x:v>disgust_042</x:v>
      </x:c>
      <x:c r="B93" s="12" t="str">
        <x:v>disgust</x:v>
      </x:c>
      <x:c r="C93" s="14" t="str">
        <x:v>disgust/Training_52850336.jpg</x:v>
      </x:c>
      <x:c r="D93" s="12" t="str">
        <x:v>763a1647b4b2317700c3be99b20264f83f6bbea2bb6f2c3585ae9d1a7c6479e1</x:v>
      </x:c>
      <x:c r="E93" s="12" t="str">
        <x:v>763a1647b4b2317700c3be99b20264f83f6bbea2bb6f2c3585ae9d1a7c6479e1</x:v>
      </x:c>
      <x:c r="F93" s="12" t="str">
        <x:v>True</x:v>
      </x:c>
      <x:c r="G93" s="12" t="str">
        <x:v>48</x:v>
      </x:c>
      <x:c r="H93" s="12" t="str">
        <x:v>48</x:v>
      </x:c>
      <x:c r="I93" s="12" t="str">
        <x:v>0.0</x:v>
      </x:c>
      <x:c r="J93" s="12" t="str">
        <x:v>0.0</x:v>
      </x:c>
      <x:c r="K93" s="12" t="str">
        <x:v>47.0</x:v>
      </x:c>
      <x:c r="L93" s="12" t="str">
        <x:v>47.0</x:v>
      </x:c>
      <x:c r="M93" s="12" t="str">
        <x:v>True</x:v>
      </x:c>
      <x:c r="N93" s="12" t="str">
        <x:v>106</x:v>
      </x:c>
      <x:c r="O93" s="12" t="str">
        <x:v>106</x:v>
      </x:c>
      <x:c r="P93" s="16" t="str">
        <x:v>1.0</x:v>
      </x:c>
      <x:c r="Q93" s="12" t="str">
        <x:v>83</x:v>
      </x:c>
      <x:c r="R93" s="16" t="str">
        <x:v>0.7830188679245284</x:v>
      </x:c>
      <x:c r="S93" s="12" t="str">
        <x:v>0.2</x:v>
      </x:c>
      <x:c r="T93" s="12" t="str">
        <x:v>106</x:v>
      </x:c>
      <x:c r="U93" s="16" t="str">
        <x:v>1.0</x:v>
      </x:c>
      <x:c r="V93" s="18" t="str">
        <x:v>0.38772520422935486</x:v>
      </x:c>
      <x:c r="W93" s="18" t="str">
        <x:v>0.48551349341869354</x:v>
      </x:c>
      <x:c r="X93" s="18" t="str">
        <x:v>0.5905946493148804</x:v>
      </x:c>
      <x:c r="Y93" s="18" t="str">
        <x:v>0.5714528560638428</x:v>
      </x:c>
      <x:c r="Z93" s="18" t="str">
        <x:v>0.7320855259895325</x:v>
      </x:c>
      <x:c r="AA93" s="18" t="str">
        <x:v>0.8105664253234863</x:v>
      </x:c>
      <x:c r="AB93" s="20" t="str">
        <x:v>105.50990000047022</x:v>
      </x:c>
      <x:c r="AC93" s="12" t="str">
        <x:v>overlays\disgust_042.png</x:v>
      </x:c>
      <x:c r="AD93" s="12" t="str"/>
      <x:c r="AE93" s="12" t="str"/>
      <x:c r="AF93" s="12" t="str">
        <x:v>acceptable</x:v>
      </x:c>
      <x:c r="AG93" s="12" t="n">
        <x:v>1</x:v>
      </x:c>
      <x:c r="AH93" s="12" t="str">
        <x:v>acceptable</x:v>
      </x:c>
      <x:c r="AI93" s="12" t="str">
        <x:v>acceptable</x:v>
      </x:c>
      <x:c r="AJ93" s="12" t="str">
        <x:v>acceptable</x:v>
      </x:c>
      <x:c r="AK93" s="12" t="str">
        <x:v>acceptable</x:v>
      </x:c>
      <x:c r="AL93" s="12" t="str">
        <x:v>mild</x:v>
      </x:c>
      <x:c r="AM93" s="14" t="str">
        <x:v>Tight crop places several contour points outside the frame; central facial landmarks remain usable.</x:v>
      </x:c>
    </x:row>
    <x:row r="94" ht="30" customHeight="1">
      <x:c r="A94" s="12" t="str">
        <x:v>disgust_043</x:v>
      </x:c>
      <x:c r="B94" s="12" t="str">
        <x:v>disgust</x:v>
      </x:c>
      <x:c r="C94" s="14" t="str">
        <x:v>disgust/Training_52027906.jpg</x:v>
      </x:c>
      <x:c r="D94" s="12" t="str">
        <x:v>5825f9897682bbc3b11a74d46e9f4f60a62de45263cb87c4ff75a01449c05924</x:v>
      </x:c>
      <x:c r="E94" s="12" t="str">
        <x:v>5825f9897682bbc3b11a74d46e9f4f60a62de45263cb87c4ff75a01449c05924</x:v>
      </x:c>
      <x:c r="F94" s="12" t="str">
        <x:v>True</x:v>
      </x:c>
      <x:c r="G94" s="12" t="str">
        <x:v>48</x:v>
      </x:c>
      <x:c r="H94" s="12" t="str">
        <x:v>48</x:v>
      </x:c>
      <x:c r="I94" s="12" t="str">
        <x:v>0.0</x:v>
      </x:c>
      <x:c r="J94" s="12" t="str">
        <x:v>0.0</x:v>
      </x:c>
      <x:c r="K94" s="12" t="str">
        <x:v>47.0</x:v>
      </x:c>
      <x:c r="L94" s="12" t="str">
        <x:v>47.0</x:v>
      </x:c>
      <x:c r="M94" s="12" t="str">
        <x:v>True</x:v>
      </x:c>
      <x:c r="N94" s="12" t="str">
        <x:v>106</x:v>
      </x:c>
      <x:c r="O94" s="12" t="str">
        <x:v>106</x:v>
      </x:c>
      <x:c r="P94" s="16" t="str">
        <x:v>1.0</x:v>
      </x:c>
      <x:c r="Q94" s="12" t="str">
        <x:v>97</x:v>
      </x:c>
      <x:c r="R94" s="16" t="str">
        <x:v>0.9150943396226415</x:v>
      </x:c>
      <x:c r="S94" s="12" t="str">
        <x:v>0.2</x:v>
      </x:c>
      <x:c r="T94" s="12" t="str">
        <x:v>106</x:v>
      </x:c>
      <x:c r="U94" s="16" t="str">
        <x:v>1.0</x:v>
      </x:c>
      <x:c r="V94" s="18" t="str">
        <x:v>0.505460798740387</x:v>
      </x:c>
      <x:c r="W94" s="18" t="str">
        <x:v>0.5534409284591675</x:v>
      </x:c>
      <x:c r="X94" s="18" t="str">
        <x:v>0.6463106274604797</x:v>
      </x:c>
      <x:c r="Y94" s="18" t="str">
        <x:v>0.6312732696533203</x:v>
      </x:c>
      <x:c r="Z94" s="18" t="str">
        <x:v>0.7620821595191956</x:v>
      </x:c>
      <x:c r="AA94" s="18" t="str">
        <x:v>0.8194226622581482</x:v>
      </x:c>
      <x:c r="AB94" s="20" t="str">
        <x:v>121.2271000003966</x:v>
      </x:c>
      <x:c r="AC94" s="12" t="str">
        <x:v>overlays\disgust_043.png</x:v>
      </x:c>
      <x:c r="AD94" s="12" t="str"/>
      <x:c r="AE94" s="12" t="str"/>
      <x:c r="AF94" s="12" t="str">
        <x:v>acceptable</x:v>
      </x:c>
      <x:c r="AG94" s="12" t="n">
        <x:v>1</x:v>
      </x:c>
      <x:c r="AH94" s="12" t="str">
        <x:v>acceptable</x:v>
      </x:c>
      <x:c r="AI94" s="12" t="str">
        <x:v>acceptable</x:v>
      </x:c>
      <x:c r="AJ94" s="12" t="str">
        <x:v>acceptable</x:v>
      </x:c>
      <x:c r="AK94" s="12" t="str">
        <x:v>not_applicable</x:v>
      </x:c>
      <x:c r="AL94" s="12" t="str">
        <x:v>mild</x:v>
      </x:c>
      <x:c r="AM94" s="14" t="str">
        <x:v>Moderate pose, crop, or image degradation causes minor landmark uncertainty; the result remains usable.</x:v>
      </x:c>
    </x:row>
    <x:row r="95" ht="30" customHeight="1">
      <x:c r="A95" s="12" t="str">
        <x:v>disgust_044</x:v>
      </x:c>
      <x:c r="B95" s="12" t="str">
        <x:v>disgust</x:v>
      </x:c>
      <x:c r="C95" s="14" t="str">
        <x:v>disgust/Training_33653190.jpg</x:v>
      </x:c>
      <x:c r="D95" s="12" t="str">
        <x:v>1b2afe1063c7beedb5165cc4932c070073b6a968f39352afdd55ca8d53e1ae55</x:v>
      </x:c>
      <x:c r="E95" s="12" t="str">
        <x:v>1b2afe1063c7beedb5165cc4932c070073b6a968f39352afdd55ca8d53e1ae55</x:v>
      </x:c>
      <x:c r="F95" s="12" t="str">
        <x:v>True</x:v>
      </x:c>
      <x:c r="G95" s="12" t="str">
        <x:v>48</x:v>
      </x:c>
      <x:c r="H95" s="12" t="str">
        <x:v>48</x:v>
      </x:c>
      <x:c r="I95" s="12" t="str">
        <x:v>0.0</x:v>
      </x:c>
      <x:c r="J95" s="12" t="str">
        <x:v>0.0</x:v>
      </x:c>
      <x:c r="K95" s="12" t="str">
        <x:v>47.0</x:v>
      </x:c>
      <x:c r="L95" s="12" t="str">
        <x:v>47.0</x:v>
      </x:c>
      <x:c r="M95" s="12" t="str">
        <x:v>True</x:v>
      </x:c>
      <x:c r="N95" s="12" t="str">
        <x:v>106</x:v>
      </x:c>
      <x:c r="O95" s="12" t="str">
        <x:v>106</x:v>
      </x:c>
      <x:c r="P95" s="16" t="str">
        <x:v>1.0</x:v>
      </x:c>
      <x:c r="Q95" s="12" t="str">
        <x:v>100</x:v>
      </x:c>
      <x:c r="R95" s="16" t="str">
        <x:v>0.9433962264150944</x:v>
      </x:c>
      <x:c r="S95" s="12" t="str">
        <x:v>0.2</x:v>
      </x:c>
      <x:c r="T95" s="12" t="str">
        <x:v>106</x:v>
      </x:c>
      <x:c r="U95" s="16" t="str">
        <x:v>1.0</x:v>
      </x:c>
      <x:c r="V95" s="18" t="str">
        <x:v>0.3295729160308838</x:v>
      </x:c>
      <x:c r="W95" s="18" t="str">
        <x:v>0.4743213653564453</x:v>
      </x:c>
      <x:c r="X95" s="18" t="str">
        <x:v>0.6901037693023682</x:v>
      </x:c>
      <x:c r="Y95" s="18" t="str">
        <x:v>0.6686630845069885</x:v>
      </x:c>
      <x:c r="Z95" s="18" t="str">
        <x:v>0.9724955558776855</x:v>
      </x:c>
      <x:c r="AA95" s="18" t="str">
        <x:v>1.0449697971343994</x:v>
      </x:c>
      <x:c r="AB95" s="20" t="str">
        <x:v>106.81269999986398</x:v>
      </x:c>
      <x:c r="AC95" s="12" t="str">
        <x:v>overlays\disgust_044.png</x:v>
      </x:c>
      <x:c r="AD95" s="12" t="str"/>
      <x:c r="AE95" s="12" t="str"/>
      <x:c r="AF95" s="12" t="str">
        <x:v>good</x:v>
      </x:c>
      <x:c r="AG95" s="12" t="n">
        <x:v>1</x:v>
      </x:c>
      <x:c r="AH95" s="12" t="str">
        <x:v>good</x:v>
      </x:c>
      <x:c r="AI95" s="12" t="str">
        <x:v>good</x:v>
      </x:c>
      <x:c r="AJ95" s="12" t="str">
        <x:v>good</x:v>
      </x:c>
      <x:c r="AK95" s="12" t="str">
        <x:v>not_applicable</x:v>
      </x:c>
      <x:c r="AL95" s="12" t="str">
        <x:v>none</x:v>
      </x:c>
      <x:c r="AM95" s="14" t="str">
        <x:v>Clear and well-aligned facial landmarks with no major pose, crop, or occlusion issue.</x:v>
      </x:c>
    </x:row>
    <x:row r="96" ht="30" customHeight="1">
      <x:c r="A96" s="12" t="str">
        <x:v>disgust_045</x:v>
      </x:c>
      <x:c r="B96" s="12" t="str">
        <x:v>disgust</x:v>
      </x:c>
      <x:c r="C96" s="14" t="str">
        <x:v>disgust/Training_81772924.jpg</x:v>
      </x:c>
      <x:c r="D96" s="12" t="str">
        <x:v>dde5a74c2d169ff64379c972fb25b54f5cf9966e3be9f335dda3bcbe40747802</x:v>
      </x:c>
      <x:c r="E96" s="12" t="str">
        <x:v>dde5a74c2d169ff64379c972fb25b54f5cf9966e3be9f335dda3bcbe40747802</x:v>
      </x:c>
      <x:c r="F96" s="12" t="str">
        <x:v>True</x:v>
      </x:c>
      <x:c r="G96" s="12" t="str">
        <x:v>48</x:v>
      </x:c>
      <x:c r="H96" s="12" t="str">
        <x:v>48</x:v>
      </x:c>
      <x:c r="I96" s="12" t="str">
        <x:v>0.0</x:v>
      </x:c>
      <x:c r="J96" s="12" t="str">
        <x:v>0.0</x:v>
      </x:c>
      <x:c r="K96" s="12" t="str">
        <x:v>47.0</x:v>
      </x:c>
      <x:c r="L96" s="12" t="str">
        <x:v>47.0</x:v>
      </x:c>
      <x:c r="M96" s="12" t="str">
        <x:v>True</x:v>
      </x:c>
      <x:c r="N96" s="12" t="str">
        <x:v>106</x:v>
      </x:c>
      <x:c r="O96" s="12" t="str">
        <x:v>106</x:v>
      </x:c>
      <x:c r="P96" s="16" t="str">
        <x:v>1.0</x:v>
      </x:c>
      <x:c r="Q96" s="12" t="str">
        <x:v>99</x:v>
      </x:c>
      <x:c r="R96" s="16" t="str">
        <x:v>0.9339622641509434</x:v>
      </x:c>
      <x:c r="S96" s="12" t="str">
        <x:v>0.2</x:v>
      </x:c>
      <x:c r="T96" s="12" t="str">
        <x:v>106</x:v>
      </x:c>
      <x:c r="U96" s="16" t="str">
        <x:v>1.0</x:v>
      </x:c>
      <x:c r="V96" s="18" t="str">
        <x:v>0.270355224609375</x:v>
      </x:c>
      <x:c r="W96" s="18" t="str">
        <x:v>0.39951759576797485</x:v>
      </x:c>
      <x:c r="X96" s="18" t="str">
        <x:v>0.5854192972183228</x:v>
      </x:c>
      <x:c r="Y96" s="18" t="str">
        <x:v>0.5833772420883179</x:v>
      </x:c>
      <x:c r="Z96" s="18" t="str">
        <x:v>0.7977739572525024</x:v>
      </x:c>
      <x:c r="AA96" s="18" t="str">
        <x:v>0.8869622349739075</x:v>
      </x:c>
      <x:c r="AB96" s="20" t="str">
        <x:v>102.4649999999383</x:v>
      </x:c>
      <x:c r="AC96" s="12" t="str">
        <x:v>overlays\disgust_045.png</x:v>
      </x:c>
      <x:c r="AD96" s="12" t="str"/>
      <x:c r="AE96" s="12" t="str"/>
      <x:c r="AF96" s="12" t="str">
        <x:v>good</x:v>
      </x:c>
      <x:c r="AG96" s="12" t="n">
        <x:v>1</x:v>
      </x:c>
      <x:c r="AH96" s="12" t="str">
        <x:v>good</x:v>
      </x:c>
      <x:c r="AI96" s="12" t="str">
        <x:v>good</x:v>
      </x:c>
      <x:c r="AJ96" s="12" t="str">
        <x:v>good</x:v>
      </x:c>
      <x:c r="AK96" s="12" t="str">
        <x:v>good</x:v>
      </x:c>
      <x:c r="AL96" s="12" t="str">
        <x:v>none</x:v>
      </x:c>
      <x:c r="AM96" s="14" t="str">
        <x:v>Clear and well-aligned facial landmarks with no major pose, crop, or occlusion issue.</x:v>
      </x:c>
    </x:row>
    <x:row r="97" ht="30" customHeight="1">
      <x:c r="A97" s="12" t="str">
        <x:v>disgust_046</x:v>
      </x:c>
      <x:c r="B97" s="12" t="str">
        <x:v>disgust</x:v>
      </x:c>
      <x:c r="C97" s="14" t="str">
        <x:v>disgust/Training_40146926.jpg</x:v>
      </x:c>
      <x:c r="D97" s="12" t="str">
        <x:v>84c465acb12cb757149777fa73ef1a6c8067cc343eddc68fde844d8d296d4ca1</x:v>
      </x:c>
      <x:c r="E97" s="12" t="str">
        <x:v>84c465acb12cb757149777fa73ef1a6c8067cc343eddc68fde844d8d296d4ca1</x:v>
      </x:c>
      <x:c r="F97" s="12" t="str">
        <x:v>True</x:v>
      </x:c>
      <x:c r="G97" s="12" t="str">
        <x:v>48</x:v>
      </x:c>
      <x:c r="H97" s="12" t="str">
        <x:v>48</x:v>
      </x:c>
      <x:c r="I97" s="12" t="str">
        <x:v>0.0</x:v>
      </x:c>
      <x:c r="J97" s="12" t="str">
        <x:v>0.0</x:v>
      </x:c>
      <x:c r="K97" s="12" t="str">
        <x:v>47.0</x:v>
      </x:c>
      <x:c r="L97" s="12" t="str">
        <x:v>47.0</x:v>
      </x:c>
      <x:c r="M97" s="12" t="str">
        <x:v>True</x:v>
      </x:c>
      <x:c r="N97" s="12" t="str">
        <x:v>106</x:v>
      </x:c>
      <x:c r="O97" s="12" t="str">
        <x:v>106</x:v>
      </x:c>
      <x:c r="P97" s="16" t="str">
        <x:v>1.0</x:v>
      </x:c>
      <x:c r="Q97" s="12" t="str">
        <x:v>88</x:v>
      </x:c>
      <x:c r="R97" s="16" t="str">
        <x:v>0.8301886792452831</x:v>
      </x:c>
      <x:c r="S97" s="12" t="str">
        <x:v>0.2</x:v>
      </x:c>
      <x:c r="T97" s="12" t="str">
        <x:v>106</x:v>
      </x:c>
      <x:c r="U97" s="16" t="str">
        <x:v>1.0</x:v>
      </x:c>
      <x:c r="V97" s="18" t="str">
        <x:v>0.4218928813934326</x:v>
      </x:c>
      <x:c r="W97" s="18" t="str">
        <x:v>0.46037714183330536</x:v>
      </x:c>
      <x:c r="X97" s="18" t="str">
        <x:v>0.6017867922782898</x:v>
      </x:c>
      <x:c r="Y97" s="18" t="str">
        <x:v>0.5893737077713013</x:v>
      </x:c>
      <x:c r="Z97" s="18" t="str">
        <x:v>0.7633429169654846</x:v>
      </x:c>
      <x:c r="AA97" s="18" t="str">
        <x:v>0.8400533199310303</x:v>
      </x:c>
      <x:c r="AB97" s="20" t="str">
        <x:v>103.53290000057314</x:v>
      </x:c>
      <x:c r="AC97" s="12" t="str">
        <x:v>overlays\disgust_046.png</x:v>
      </x:c>
      <x:c r="AD97" s="12" t="str"/>
      <x:c r="AE97" s="12" t="str"/>
      <x:c r="AF97" s="12" t="str">
        <x:v>acceptable</x:v>
      </x:c>
      <x:c r="AG97" s="12" t="n">
        <x:v>1</x:v>
      </x:c>
      <x:c r="AH97" s="12" t="str">
        <x:v>acceptable</x:v>
      </x:c>
      <x:c r="AI97" s="12" t="str">
        <x:v>acceptable</x:v>
      </x:c>
      <x:c r="AJ97" s="12" t="str">
        <x:v>acceptable</x:v>
      </x:c>
      <x:c r="AK97" s="12" t="str">
        <x:v>not_applicable</x:v>
      </x:c>
      <x:c r="AL97" s="12" t="str">
        <x:v>mild</x:v>
      </x:c>
      <x:c r="AM97" s="14" t="str">
        <x:v>Tight crop places several contour points outside the frame; central facial landmarks remain usable.</x:v>
      </x:c>
    </x:row>
    <x:row r="98" ht="30" customHeight="1">
      <x:c r="A98" s="12" t="str">
        <x:v>disgust_047</x:v>
      </x:c>
      <x:c r="B98" s="12" t="str">
        <x:v>disgust</x:v>
      </x:c>
      <x:c r="C98" s="14" t="str">
        <x:v>disgust/Training_84702718.jpg</x:v>
      </x:c>
      <x:c r="D98" s="12" t="str">
        <x:v>05cc498d8afa60904169908f3263f0b66ddf161fc6e891841884e9e56b7a2edc</x:v>
      </x:c>
      <x:c r="E98" s="12" t="str">
        <x:v>05cc498d8afa60904169908f3263f0b66ddf161fc6e891841884e9e56b7a2edc</x:v>
      </x:c>
      <x:c r="F98" s="12" t="str">
        <x:v>True</x:v>
      </x:c>
      <x:c r="G98" s="12" t="str">
        <x:v>48</x:v>
      </x:c>
      <x:c r="H98" s="12" t="str">
        <x:v>48</x:v>
      </x:c>
      <x:c r="I98" s="12" t="str">
        <x:v>0.0</x:v>
      </x:c>
      <x:c r="J98" s="12" t="str">
        <x:v>0.0</x:v>
      </x:c>
      <x:c r="K98" s="12" t="str">
        <x:v>47.0</x:v>
      </x:c>
      <x:c r="L98" s="12" t="str">
        <x:v>47.0</x:v>
      </x:c>
      <x:c r="M98" s="12" t="str">
        <x:v>True</x:v>
      </x:c>
      <x:c r="N98" s="12" t="str">
        <x:v>106</x:v>
      </x:c>
      <x:c r="O98" s="12" t="str">
        <x:v>106</x:v>
      </x:c>
      <x:c r="P98" s="16" t="str">
        <x:v>1.0</x:v>
      </x:c>
      <x:c r="Q98" s="12" t="str">
        <x:v>100</x:v>
      </x:c>
      <x:c r="R98" s="16" t="str">
        <x:v>0.9433962264150944</x:v>
      </x:c>
      <x:c r="S98" s="12" t="str">
        <x:v>0.2</x:v>
      </x:c>
      <x:c r="T98" s="12" t="str">
        <x:v>106</x:v>
      </x:c>
      <x:c r="U98" s="16" t="str">
        <x:v>1.0</x:v>
      </x:c>
      <x:c r="V98" s="18" t="str">
        <x:v>0.3538098931312561</x:v>
      </x:c>
      <x:c r="W98" s="18" t="str">
        <x:v>0.4052569717168808</x:v>
      </x:c>
      <x:c r="X98" s="18" t="str">
        <x:v>0.5580956935882568</x:v>
      </x:c>
      <x:c r="Y98" s="18" t="str">
        <x:v>0.5879369974136353</x:v>
      </x:c>
      <x:c r="Z98" s="18" t="str">
        <x:v>0.6534283757209778</x:v>
      </x:c>
      <x:c r="AA98" s="18" t="str">
        <x:v>0.7879624366760254</x:v>
      </x:c>
      <x:c r="AB98" s="20" t="str">
        <x:v>106.3557999987097</x:v>
      </x:c>
      <x:c r="AC98" s="12" t="str">
        <x:v>overlays\disgust_047.png</x:v>
      </x:c>
      <x:c r="AD98" s="12" t="str"/>
      <x:c r="AE98" s="12" t="str"/>
      <x:c r="AF98" s="12" t="str">
        <x:v>acceptable</x:v>
      </x:c>
      <x:c r="AG98" s="12" t="n">
        <x:v>1</x:v>
      </x:c>
      <x:c r="AH98" s="12" t="str">
        <x:v>acceptable</x:v>
      </x:c>
      <x:c r="AI98" s="12" t="str">
        <x:v>acceptable</x:v>
      </x:c>
      <x:c r="AJ98" s="12" t="str">
        <x:v>acceptable</x:v>
      </x:c>
      <x:c r="AK98" s="12" t="str">
        <x:v>acceptable</x:v>
      </x:c>
      <x:c r="AL98" s="12" t="str">
        <x:v>mild</x:v>
      </x:c>
      <x:c r="AM98" s="14" t="str">
        <x:v>Large pose or profile; visible landmarks are useful, while hidden-side contour points are inferred.</x:v>
      </x:c>
    </x:row>
    <x:row r="99" ht="30" customHeight="1">
      <x:c r="A99" s="12" t="str">
        <x:v>disgust_048</x:v>
      </x:c>
      <x:c r="B99" s="12" t="str">
        <x:v>disgust</x:v>
      </x:c>
      <x:c r="C99" s="14" t="str">
        <x:v>disgust/Training_82298698.jpg</x:v>
      </x:c>
      <x:c r="D99" s="12" t="str">
        <x:v>1f6c11f4cc7a5c67ebb5805b40219602c8841c32f8d330af566bd1ce750c0210</x:v>
      </x:c>
      <x:c r="E99" s="12" t="str">
        <x:v>1f6c11f4cc7a5c67ebb5805b40219602c8841c32f8d330af566bd1ce750c0210</x:v>
      </x:c>
      <x:c r="F99" s="12" t="str">
        <x:v>True</x:v>
      </x:c>
      <x:c r="G99" s="12" t="str">
        <x:v>48</x:v>
      </x:c>
      <x:c r="H99" s="12" t="str">
        <x:v>48</x:v>
      </x:c>
      <x:c r="I99" s="12" t="str">
        <x:v>0.0</x:v>
      </x:c>
      <x:c r="J99" s="12" t="str">
        <x:v>0.0</x:v>
      </x:c>
      <x:c r="K99" s="12" t="str">
        <x:v>47.0</x:v>
      </x:c>
      <x:c r="L99" s="12" t="str">
        <x:v>47.0</x:v>
      </x:c>
      <x:c r="M99" s="12" t="str">
        <x:v>True</x:v>
      </x:c>
      <x:c r="N99" s="12" t="str">
        <x:v>106</x:v>
      </x:c>
      <x:c r="O99" s="12" t="str">
        <x:v>106</x:v>
      </x:c>
      <x:c r="P99" s="16" t="str">
        <x:v>1.0</x:v>
      </x:c>
      <x:c r="Q99" s="12" t="str">
        <x:v>91</x:v>
      </x:c>
      <x:c r="R99" s="16" t="str">
        <x:v>0.8584905660377359</x:v>
      </x:c>
      <x:c r="S99" s="12" t="str">
        <x:v>0.2</x:v>
      </x:c>
      <x:c r="T99" s="12" t="str">
        <x:v>106</x:v>
      </x:c>
      <x:c r="U99" s="16" t="str">
        <x:v>1.0</x:v>
      </x:c>
      <x:c r="V99" s="18" t="str">
        <x:v>0.4509216547012329</x:v>
      </x:c>
      <x:c r="W99" s="18" t="str">
        <x:v>0.5170199573040009</x:v>
      </x:c>
      <x:c r="X99" s="18" t="str">
        <x:v>0.6687535047531128</x:v>
      </x:c>
      <x:c r="Y99" s="18" t="str">
        <x:v>0.6544117331504822</x:v>
      </x:c>
      <x:c r="Z99" s="18" t="str">
        <x:v>0.8389530777931213</x:v>
      </x:c>
      <x:c r="AA99" s="18" t="str">
        <x:v>0.9509330987930298</x:v>
      </x:c>
      <x:c r="AB99" s="20" t="str">
        <x:v>103.96010000113165</x:v>
      </x:c>
      <x:c r="AC99" s="12" t="str">
        <x:v>overlays\disgust_048.png</x:v>
      </x:c>
      <x:c r="AD99" s="12" t="str"/>
      <x:c r="AE99" s="12" t="str"/>
      <x:c r="AF99" s="12" t="str">
        <x:v>acceptable</x:v>
      </x:c>
      <x:c r="AG99" s="12" t="n">
        <x:v>1</x:v>
      </x:c>
      <x:c r="AH99" s="12" t="str">
        <x:v>acceptable</x:v>
      </x:c>
      <x:c r="AI99" s="12" t="str">
        <x:v>acceptable</x:v>
      </x:c>
      <x:c r="AJ99" s="12" t="str">
        <x:v>acceptable</x:v>
      </x:c>
      <x:c r="AK99" s="12" t="str">
        <x:v>not_applicable</x:v>
      </x:c>
      <x:c r="AL99" s="12" t="str">
        <x:v>mild</x:v>
      </x:c>
      <x:c r="AM99" s="14" t="str">
        <x:v>Large pose or profile; visible landmarks are useful, while hidden-side contour points are inferred.</x:v>
      </x:c>
    </x:row>
    <x:row r="100" ht="30" customHeight="1">
      <x:c r="A100" s="12" t="str">
        <x:v>disgust_049</x:v>
      </x:c>
      <x:c r="B100" s="12" t="str">
        <x:v>disgust</x:v>
      </x:c>
      <x:c r="C100" s="14" t="str">
        <x:v>disgust/Training_79721044.jpg</x:v>
      </x:c>
      <x:c r="D100" s="12" t="str">
        <x:v>217254bf1d3a0e65d70d62c31ebdba4690d5d0c8d2d34e77f11c8f1457cd8dd3</x:v>
      </x:c>
      <x:c r="E100" s="12" t="str">
        <x:v>217254bf1d3a0e65d70d62c31ebdba4690d5d0c8d2d34e77f11c8f1457cd8dd3</x:v>
      </x:c>
      <x:c r="F100" s="12" t="str">
        <x:v>True</x:v>
      </x:c>
      <x:c r="G100" s="12" t="str">
        <x:v>48</x:v>
      </x:c>
      <x:c r="H100" s="12" t="str">
        <x:v>48</x:v>
      </x:c>
      <x:c r="I100" s="12" t="str">
        <x:v>0.0</x:v>
      </x:c>
      <x:c r="J100" s="12" t="str">
        <x:v>0.0</x:v>
      </x:c>
      <x:c r="K100" s="12" t="str">
        <x:v>47.0</x:v>
      </x:c>
      <x:c r="L100" s="12" t="str">
        <x:v>47.0</x:v>
      </x:c>
      <x:c r="M100" s="12" t="str">
        <x:v>True</x:v>
      </x:c>
      <x:c r="N100" s="12" t="str">
        <x:v>106</x:v>
      </x:c>
      <x:c r="O100" s="12" t="str">
        <x:v>106</x:v>
      </x:c>
      <x:c r="P100" s="16" t="str">
        <x:v>1.0</x:v>
      </x:c>
      <x:c r="Q100" s="12" t="str">
        <x:v>88</x:v>
      </x:c>
      <x:c r="R100" s="16" t="str">
        <x:v>0.8301886792452831</x:v>
      </x:c>
      <x:c r="S100" s="12" t="str">
        <x:v>0.2</x:v>
      </x:c>
      <x:c r="T100" s="12" t="str">
        <x:v>106</x:v>
      </x:c>
      <x:c r="U100" s="16" t="str">
        <x:v>1.0</x:v>
      </x:c>
      <x:c r="V100" s="18" t="str">
        <x:v>0.22819814085960388</x:v>
      </x:c>
      <x:c r="W100" s="18" t="str">
        <x:v>0.3821060359477997</x:v>
      </x:c>
      <x:c r="X100" s="18" t="str">
        <x:v>0.6223390698432922</x:v>
      </x:c>
      <x:c r="Y100" s="18" t="str">
        <x:v>0.574647068977356</x:v>
      </x:c>
      <x:c r="Z100" s="18" t="str">
        <x:v>0.8875979781150818</x:v>
      </x:c>
      <x:c r="AA100" s="18" t="str">
        <x:v>0.955459713935852</x:v>
      </x:c>
      <x:c r="AB100" s="20" t="str">
        <x:v>102.24500000185799</x:v>
      </x:c>
      <x:c r="AC100" s="12" t="str">
        <x:v>overlays\disgust_049.png</x:v>
      </x:c>
      <x:c r="AD100" s="12" t="str"/>
      <x:c r="AE100" s="12" t="str"/>
      <x:c r="AF100" s="12" t="str">
        <x:v>acceptable</x:v>
      </x:c>
      <x:c r="AG100" s="12" t="n">
        <x:v>1</x:v>
      </x:c>
      <x:c r="AH100" s="12" t="str">
        <x:v>acceptable</x:v>
      </x:c>
      <x:c r="AI100" s="12" t="str">
        <x:v>acceptable</x:v>
      </x:c>
      <x:c r="AJ100" s="12" t="str">
        <x:v>acceptable</x:v>
      </x:c>
      <x:c r="AK100" s="12" t="str">
        <x:v>not_applicable</x:v>
      </x:c>
      <x:c r="AL100" s="12" t="str">
        <x:v>mild</x:v>
      </x:c>
      <x:c r="AM100" s="14" t="str">
        <x:v>Tight crop places several contour points outside the frame; central facial landmarks remain usable.</x:v>
      </x:c>
    </x:row>
    <x:row r="101" ht="30" customHeight="1">
      <x:c r="A101" s="12" t="str">
        <x:v>disgust_050</x:v>
      </x:c>
      <x:c r="B101" s="12" t="str">
        <x:v>disgust</x:v>
      </x:c>
      <x:c r="C101" s="14" t="str">
        <x:v>disgust/Training_16806541.jpg</x:v>
      </x:c>
      <x:c r="D101" s="12" t="str">
        <x:v>afd89cbd075c785b518897d8dce5687941702876028171e68e1dd288ecd92029</x:v>
      </x:c>
      <x:c r="E101" s="12" t="str">
        <x:v>afd89cbd075c785b518897d8dce5687941702876028171e68e1dd288ecd92029</x:v>
      </x:c>
      <x:c r="F101" s="12" t="str">
        <x:v>True</x:v>
      </x:c>
      <x:c r="G101" s="12" t="str">
        <x:v>48</x:v>
      </x:c>
      <x:c r="H101" s="12" t="str">
        <x:v>48</x:v>
      </x:c>
      <x:c r="I101" s="12" t="str">
        <x:v>0.0</x:v>
      </x:c>
      <x:c r="J101" s="12" t="str">
        <x:v>0.0</x:v>
      </x:c>
      <x:c r="K101" s="12" t="str">
        <x:v>47.0</x:v>
      </x:c>
      <x:c r="L101" s="12" t="str">
        <x:v>47.0</x:v>
      </x:c>
      <x:c r="M101" s="12" t="str">
        <x:v>True</x:v>
      </x:c>
      <x:c r="N101" s="12" t="str">
        <x:v>106</x:v>
      </x:c>
      <x:c r="O101" s="12" t="str">
        <x:v>106</x:v>
      </x:c>
      <x:c r="P101" s="16" t="str">
        <x:v>1.0</x:v>
      </x:c>
      <x:c r="Q101" s="12" t="str">
        <x:v>100</x:v>
      </x:c>
      <x:c r="R101" s="16" t="str">
        <x:v>0.9433962264150944</x:v>
      </x:c>
      <x:c r="S101" s="12" t="str">
        <x:v>0.2</x:v>
      </x:c>
      <x:c r="T101" s="12" t="str">
        <x:v>106</x:v>
      </x:c>
      <x:c r="U101" s="16" t="str">
        <x:v>1.0</x:v>
      </x:c>
      <x:c r="V101" s="18" t="str">
        <x:v>0.5502058267593384</x:v>
      </x:c>
      <x:c r="W101" s="18" t="str">
        <x:v>0.5920634865760803</x:v>
      </x:c>
      <x:c r="X101" s="18" t="str">
        <x:v>0.7010932564735413</x:v>
      </x:c>
      <x:c r="Y101" s="18" t="str">
        <x:v>0.7047184705734253</x:v>
      </x:c>
      <x:c r="Z101" s="18" t="str">
        <x:v>0.7830484211444855</x:v>
      </x:c>
      <x:c r="AA101" s="18" t="str">
        <x:v>0.8944186568260193</x:v>
      </x:c>
      <x:c r="AB101" s="20" t="str">
        <x:v>101.61499999958323</x:v>
      </x:c>
      <x:c r="AC101" s="12" t="str">
        <x:v>overlays\disgust_050.png</x:v>
      </x:c>
      <x:c r="AD101" s="12" t="str"/>
      <x:c r="AE101" s="12" t="str"/>
      <x:c r="AF101" s="12" t="str">
        <x:v>acceptable</x:v>
      </x:c>
      <x:c r="AG101" s="12" t="n">
        <x:v>1</x:v>
      </x:c>
      <x:c r="AH101" s="12" t="str">
        <x:v>acceptable</x:v>
      </x:c>
      <x:c r="AI101" s="12" t="str">
        <x:v>acceptable</x:v>
      </x:c>
      <x:c r="AJ101" s="12" t="str">
        <x:v>acceptable</x:v>
      </x:c>
      <x:c r="AK101" s="12" t="str">
        <x:v>acceptable</x:v>
      </x:c>
      <x:c r="AL101" s="12" t="str">
        <x:v>mild</x:v>
      </x:c>
      <x:c r="AM101" s="14" t="str">
        <x:v>Large pose or profile; visible landmarks are useful, while hidden-side contour points are inferred.</x:v>
      </x:c>
    </x:row>
    <x:row r="102" ht="30" customHeight="1">
      <x:c r="A102" s="12" t="str">
        <x:v>fear_001</x:v>
      </x:c>
      <x:c r="B102" s="12" t="str">
        <x:v>fear</x:v>
      </x:c>
      <x:c r="C102" s="14" t="str">
        <x:v>fear/Training_41514601.jpg</x:v>
      </x:c>
      <x:c r="D102" s="12" t="str">
        <x:v>ad4f2d19f55d34c698c97b8a1bec65eb641af0236eb7b2f2423f54b3b3503a4e</x:v>
      </x:c>
      <x:c r="E102" s="12" t="str">
        <x:v>ad4f2d19f55d34c698c97b8a1bec65eb641af0236eb7b2f2423f54b3b3503a4e</x:v>
      </x:c>
      <x:c r="F102" s="12" t="str">
        <x:v>True</x:v>
      </x:c>
      <x:c r="G102" s="12" t="str">
        <x:v>48</x:v>
      </x:c>
      <x:c r="H102" s="12" t="str">
        <x:v>48</x:v>
      </x:c>
      <x:c r="I102" s="12" t="str">
        <x:v>0.0</x:v>
      </x:c>
      <x:c r="J102" s="12" t="str">
        <x:v>0.0</x:v>
      </x:c>
      <x:c r="K102" s="12" t="str">
        <x:v>47.0</x:v>
      </x:c>
      <x:c r="L102" s="12" t="str">
        <x:v>47.0</x:v>
      </x:c>
      <x:c r="M102" s="12" t="str">
        <x:v>True</x:v>
      </x:c>
      <x:c r="N102" s="12" t="str">
        <x:v>106</x:v>
      </x:c>
      <x:c r="O102" s="12" t="str">
        <x:v>106</x:v>
      </x:c>
      <x:c r="P102" s="16" t="str">
        <x:v>1.0</x:v>
      </x:c>
      <x:c r="Q102" s="12" t="str">
        <x:v>98</x:v>
      </x:c>
      <x:c r="R102" s="16" t="str">
        <x:v>0.9245283018867925</x:v>
      </x:c>
      <x:c r="S102" s="12" t="str">
        <x:v>0.2</x:v>
      </x:c>
      <x:c r="T102" s="12" t="str">
        <x:v>106</x:v>
      </x:c>
      <x:c r="U102" s="16" t="str">
        <x:v>1.0</x:v>
      </x:c>
      <x:c r="V102" s="18" t="str">
        <x:v>0.3899068534374237</x:v>
      </x:c>
      <x:c r="W102" s="18" t="str">
        <x:v>0.5010582506656647</x:v>
      </x:c>
      <x:c r="X102" s="18" t="str">
        <x:v>0.6242995858192444</x:v>
      </x:c>
      <x:c r="Y102" s="18" t="str">
        <x:v>0.5832029581069946</x:v>
      </x:c>
      <x:c r="Z102" s="18" t="str">
        <x:v>0.8078246712684631</x:v>
      </x:c>
      <x:c r="AA102" s="18" t="str">
        <x:v>0.8795381784439087</x:v>
      </x:c>
      <x:c r="AB102" s="20" t="str">
        <x:v>105.29590000078315</x:v>
      </x:c>
      <x:c r="AC102" s="12" t="str">
        <x:v>overlays\fear_001.png</x:v>
      </x:c>
      <x:c r="AD102" s="12" t="str"/>
      <x:c r="AE102" s="12" t="str"/>
      <x:c r="AF102" s="12" t="str">
        <x:v>good</x:v>
      </x:c>
      <x:c r="AG102" s="12" t="n">
        <x:v>1</x:v>
      </x:c>
      <x:c r="AH102" s="12" t="str">
        <x:v>good</x:v>
      </x:c>
      <x:c r="AI102" s="12" t="str">
        <x:v>good</x:v>
      </x:c>
      <x:c r="AJ102" s="12" t="str">
        <x:v>good</x:v>
      </x:c>
      <x:c r="AK102" s="12" t="str">
        <x:v>good</x:v>
      </x:c>
      <x:c r="AL102" s="12" t="str">
        <x:v>none</x:v>
      </x:c>
      <x:c r="AM102" s="14" t="str">
        <x:v>Clear and well-aligned facial landmarks with no major pose, crop, or occlusion issue.</x:v>
      </x:c>
    </x:row>
    <x:row r="103" ht="30" customHeight="1">
      <x:c r="A103" s="12" t="str">
        <x:v>fear_002</x:v>
      </x:c>
      <x:c r="B103" s="12" t="str">
        <x:v>fear</x:v>
      </x:c>
      <x:c r="C103" s="14" t="str">
        <x:v>fear/Training_54981345.jpg</x:v>
      </x:c>
      <x:c r="D103" s="12" t="str">
        <x:v>9b1c845282ceee33e21b8995cea83d0c123188409012bd7ea0b8e05615e47cc0</x:v>
      </x:c>
      <x:c r="E103" s="12" t="str">
        <x:v>9b1c845282ceee33e21b8995cea83d0c123188409012bd7ea0b8e05615e47cc0</x:v>
      </x:c>
      <x:c r="F103" s="12" t="str">
        <x:v>True</x:v>
      </x:c>
      <x:c r="G103" s="12" t="str">
        <x:v>48</x:v>
      </x:c>
      <x:c r="H103" s="12" t="str">
        <x:v>48</x:v>
      </x:c>
      <x:c r="I103" s="12" t="str">
        <x:v>0.0</x:v>
      </x:c>
      <x:c r="J103" s="12" t="str">
        <x:v>0.0</x:v>
      </x:c>
      <x:c r="K103" s="12" t="str">
        <x:v>47.0</x:v>
      </x:c>
      <x:c r="L103" s="12" t="str">
        <x:v>47.0</x:v>
      </x:c>
      <x:c r="M103" s="12" t="str">
        <x:v>True</x:v>
      </x:c>
      <x:c r="N103" s="12" t="str">
        <x:v>106</x:v>
      </x:c>
      <x:c r="O103" s="12" t="str">
        <x:v>106</x:v>
      </x:c>
      <x:c r="P103" s="16" t="str">
        <x:v>1.0</x:v>
      </x:c>
      <x:c r="Q103" s="12" t="str">
        <x:v>103</x:v>
      </x:c>
      <x:c r="R103" s="16" t="str">
        <x:v>0.9716981132075472</x:v>
      </x:c>
      <x:c r="S103" s="12" t="str">
        <x:v>0.2</x:v>
      </x:c>
      <x:c r="T103" s="12" t="str">
        <x:v>99</x:v>
      </x:c>
      <x:c r="U103" s="16" t="str">
        <x:v>0.9339622641509434</x:v>
      </x:c>
      <x:c r="V103" s="18" t="str">
        <x:v>0.08114956319332123</x:v>
      </x:c>
      <x:c r="W103" s="18" t="str">
        <x:v>0.2654712647199631</x:v>
      </x:c>
      <x:c r="X103" s="18" t="str">
        <x:v>0.4904569089412689</x:v>
      </x:c>
      <x:c r="Y103" s="18" t="str">
        <x:v>0.5084515810012817</x:v>
      </x:c>
      <x:c r="Z103" s="18" t="str">
        <x:v>0.6868399977684021</x:v>
      </x:c>
      <x:c r="AA103" s="18" t="str">
        <x:v>0.7652004957199097</x:v>
      </x:c>
      <x:c r="AB103" s="20" t="str">
        <x:v>105.49109999919892</x:v>
      </x:c>
      <x:c r="AC103" s="12" t="str">
        <x:v>overlays\fear_002.png</x:v>
      </x:c>
      <x:c r="AD103" s="12" t="str"/>
      <x:c r="AE103" s="12" t="str"/>
      <x:c r="AF103" s="12" t="str">
        <x:v>acceptable</x:v>
      </x:c>
      <x:c r="AG103" s="12" t="n">
        <x:v>1</x:v>
      </x:c>
      <x:c r="AH103" s="12" t="str">
        <x:v>occluded</x:v>
      </x:c>
      <x:c r="AI103" s="12" t="str">
        <x:v>occluded</x:v>
      </x:c>
      <x:c r="AJ103" s="12" t="str">
        <x:v>acceptable</x:v>
      </x:c>
      <x:c r="AK103" s="12" t="str">
        <x:v>not_applicable</x:v>
      </x:c>
      <x:c r="AL103" s="12" t="str">
        <x:v>mild</x:v>
      </x:c>
      <x:c r="AM103" s="14" t="str">
        <x:v>Occlusion affects part of the face; visible landmarks remain usable, but hidden points are inferred.</x:v>
      </x:c>
    </x:row>
    <x:row r="104" ht="30" customHeight="1">
      <x:c r="A104" s="12" t="str">
        <x:v>fear_003</x:v>
      </x:c>
      <x:c r="B104" s="12" t="str">
        <x:v>fear</x:v>
      </x:c>
      <x:c r="C104" s="14" t="str">
        <x:v>fear/Training_40388327.jpg</x:v>
      </x:c>
      <x:c r="D104" s="12" t="str">
        <x:v>b5cda9fc1c569069b586fa5230d9314884975f7f85bc919bafd1935e826ce832</x:v>
      </x:c>
      <x:c r="E104" s="12" t="str">
        <x:v>b5cda9fc1c569069b586fa5230d9314884975f7f85bc919bafd1935e826ce832</x:v>
      </x:c>
      <x:c r="F104" s="12" t="str">
        <x:v>True</x:v>
      </x:c>
      <x:c r="G104" s="12" t="str">
        <x:v>48</x:v>
      </x:c>
      <x:c r="H104" s="12" t="str">
        <x:v>48</x:v>
      </x:c>
      <x:c r="I104" s="12" t="str">
        <x:v>0.0</x:v>
      </x:c>
      <x:c r="J104" s="12" t="str">
        <x:v>0.0</x:v>
      </x:c>
      <x:c r="K104" s="12" t="str">
        <x:v>47.0</x:v>
      </x:c>
      <x:c r="L104" s="12" t="str">
        <x:v>47.0</x:v>
      </x:c>
      <x:c r="M104" s="12" t="str">
        <x:v>True</x:v>
      </x:c>
      <x:c r="N104" s="12" t="str">
        <x:v>106</x:v>
      </x:c>
      <x:c r="O104" s="12" t="str">
        <x:v>106</x:v>
      </x:c>
      <x:c r="P104" s="16" t="str">
        <x:v>1.0</x:v>
      </x:c>
      <x:c r="Q104" s="12" t="str">
        <x:v>85</x:v>
      </x:c>
      <x:c r="R104" s="16" t="str">
        <x:v>0.8018867924528302</x:v>
      </x:c>
      <x:c r="S104" s="12" t="str">
        <x:v>0.2</x:v>
      </x:c>
      <x:c r="T104" s="12" t="str">
        <x:v>106</x:v>
      </x:c>
      <x:c r="U104" s="16" t="str">
        <x:v>1.0</x:v>
      </x:c>
      <x:c r="V104" s="18" t="str">
        <x:v>0.26863035559654236</x:v>
      </x:c>
      <x:c r="W104" s="18" t="str">
        <x:v>0.37767012417316437</x:v>
      </x:c>
      <x:c r="X104" s="18" t="str">
        <x:v>0.6097603440284729</x:v>
      </x:c>
      <x:c r="Y104" s="18" t="str">
        <x:v>0.5943661332130432</x:v>
      </x:c>
      <x:c r="Z104" s="18" t="str">
        <x:v>0.824455201625824</x:v>
      </x:c>
      <x:c r="AA104" s="18" t="str">
        <x:v>0.9210096597671509</x:v>
      </x:c>
      <x:c r="AB104" s="20" t="str">
        <x:v>97.5073000008706</x:v>
      </x:c>
      <x:c r="AC104" s="12" t="str">
        <x:v>overlays\fear_003.png</x:v>
      </x:c>
      <x:c r="AD104" s="12" t="str"/>
      <x:c r="AE104" s="12" t="str"/>
      <x:c r="AF104" s="12" t="str">
        <x:v>acceptable</x:v>
      </x:c>
      <x:c r="AG104" s="12" t="n">
        <x:v>1</x:v>
      </x:c>
      <x:c r="AH104" s="12" t="str">
        <x:v>acceptable</x:v>
      </x:c>
      <x:c r="AI104" s="12" t="str">
        <x:v>acceptable</x:v>
      </x:c>
      <x:c r="AJ104" s="12" t="str">
        <x:v>acceptable</x:v>
      </x:c>
      <x:c r="AK104" s="12" t="str">
        <x:v>not_applicable</x:v>
      </x:c>
      <x:c r="AL104" s="12" t="str">
        <x:v>mild</x:v>
      </x:c>
      <x:c r="AM104" s="14" t="str">
        <x:v>Tight crop places several contour points outside the frame; central facial landmarks remain usable.</x:v>
      </x:c>
    </x:row>
    <x:row r="105" ht="30" customHeight="1">
      <x:c r="A105" s="12" t="str">
        <x:v>fear_004</x:v>
      </x:c>
      <x:c r="B105" s="12" t="str">
        <x:v>fear</x:v>
      </x:c>
      <x:c r="C105" s="14" t="str">
        <x:v>fear/Training_93653810.jpg</x:v>
      </x:c>
      <x:c r="D105" s="12" t="str">
        <x:v>969e50d07373399c151e135e8eb592ba09af55c8ac0dd6b7b1a1855fac123190</x:v>
      </x:c>
      <x:c r="E105" s="12" t="str">
        <x:v>969e50d07373399c151e135e8eb592ba09af55c8ac0dd6b7b1a1855fac123190</x:v>
      </x:c>
      <x:c r="F105" s="12" t="str">
        <x:v>True</x:v>
      </x:c>
      <x:c r="G105" s="12" t="str">
        <x:v>48</x:v>
      </x:c>
      <x:c r="H105" s="12" t="str">
        <x:v>48</x:v>
      </x:c>
      <x:c r="I105" s="12" t="str">
        <x:v>0.0</x:v>
      </x:c>
      <x:c r="J105" s="12" t="str">
        <x:v>0.0</x:v>
      </x:c>
      <x:c r="K105" s="12" t="str">
        <x:v>47.0</x:v>
      </x:c>
      <x:c r="L105" s="12" t="str">
        <x:v>47.0</x:v>
      </x:c>
      <x:c r="M105" s="12" t="str">
        <x:v>True</x:v>
      </x:c>
      <x:c r="N105" s="12" t="str">
        <x:v>106</x:v>
      </x:c>
      <x:c r="O105" s="12" t="str">
        <x:v>106</x:v>
      </x:c>
      <x:c r="P105" s="16" t="str">
        <x:v>1.0</x:v>
      </x:c>
      <x:c r="Q105" s="12" t="str">
        <x:v>91</x:v>
      </x:c>
      <x:c r="R105" s="16" t="str">
        <x:v>0.8584905660377359</x:v>
      </x:c>
      <x:c r="S105" s="12" t="str">
        <x:v>0.2</x:v>
      </x:c>
      <x:c r="T105" s="12" t="str">
        <x:v>106</x:v>
      </x:c>
      <x:c r="U105" s="16" t="str">
        <x:v>1.0</x:v>
      </x:c>
      <x:c r="V105" s="18" t="str">
        <x:v>0.47657299041748047</x:v>
      </x:c>
      <x:c r="W105" s="18" t="str">
        <x:v>0.5573800802230835</x:v>
      </x:c>
      <x:c r="X105" s="18" t="str">
        <x:v>0.6949036717414856</x:v>
      </x:c>
      <x:c r="Y105" s="18" t="str">
        <x:v>0.6850380897521973</x:v>
      </x:c>
      <x:c r="Z105" s="18" t="str">
        <x:v>0.8652682304382324</x:v>
      </x:c>
      <x:c r="AA105" s="18" t="str">
        <x:v>0.9798240661621094</x:v>
      </x:c>
      <x:c r="AB105" s="20" t="str">
        <x:v>100.2727999984927</x:v>
      </x:c>
      <x:c r="AC105" s="12" t="str">
        <x:v>overlays\fear_004.png</x:v>
      </x:c>
      <x:c r="AD105" s="12" t="str"/>
      <x:c r="AE105" s="12" t="str"/>
      <x:c r="AF105" s="12" t="str">
        <x:v>acceptable</x:v>
      </x:c>
      <x:c r="AG105" s="12" t="n">
        <x:v>1</x:v>
      </x:c>
      <x:c r="AH105" s="12" t="str">
        <x:v>acceptable</x:v>
      </x:c>
      <x:c r="AI105" s="12" t="str">
        <x:v>acceptable</x:v>
      </x:c>
      <x:c r="AJ105" s="12" t="str">
        <x:v>acceptable</x:v>
      </x:c>
      <x:c r="AK105" s="12" t="str">
        <x:v>not_applicable</x:v>
      </x:c>
      <x:c r="AL105" s="12" t="str">
        <x:v>mild</x:v>
      </x:c>
      <x:c r="AM105" s="14" t="str">
        <x:v>Moderate pose, crop, or image degradation causes minor landmark uncertainty; the result remains usable.</x:v>
      </x:c>
    </x:row>
    <x:row r="106" ht="30" customHeight="1">
      <x:c r="A106" s="12" t="str">
        <x:v>fear_005</x:v>
      </x:c>
      <x:c r="B106" s="12" t="str">
        <x:v>fear</x:v>
      </x:c>
      <x:c r="C106" s="14" t="str">
        <x:v>fear/Training_78770702.jpg</x:v>
      </x:c>
      <x:c r="D106" s="12" t="str">
        <x:v>6b32373668ba6ef052016c85420552833fca59df1f25514a700545add2c989b5</x:v>
      </x:c>
      <x:c r="E106" s="12" t="str">
        <x:v>6b32373668ba6ef052016c85420552833fca59df1f25514a700545add2c989b5</x:v>
      </x:c>
      <x:c r="F106" s="12" t="str">
        <x:v>True</x:v>
      </x:c>
      <x:c r="G106" s="12" t="str">
        <x:v>48</x:v>
      </x:c>
      <x:c r="H106" s="12" t="str">
        <x:v>48</x:v>
      </x:c>
      <x:c r="I106" s="12" t="str">
        <x:v>0.0</x:v>
      </x:c>
      <x:c r="J106" s="12" t="str">
        <x:v>0.0</x:v>
      </x:c>
      <x:c r="K106" s="12" t="str">
        <x:v>47.0</x:v>
      </x:c>
      <x:c r="L106" s="12" t="str">
        <x:v>47.0</x:v>
      </x:c>
      <x:c r="M106" s="12" t="str">
        <x:v>True</x:v>
      </x:c>
      <x:c r="N106" s="12" t="str">
        <x:v>106</x:v>
      </x:c>
      <x:c r="O106" s="12" t="str">
        <x:v>106</x:v>
      </x:c>
      <x:c r="P106" s="16" t="str">
        <x:v>1.0</x:v>
      </x:c>
      <x:c r="Q106" s="12" t="str">
        <x:v>104</x:v>
      </x:c>
      <x:c r="R106" s="16" t="str">
        <x:v>0.9811320754716981</x:v>
      </x:c>
      <x:c r="S106" s="12" t="str">
        <x:v>0.2</x:v>
      </x:c>
      <x:c r="T106" s="12" t="str">
        <x:v>106</x:v>
      </x:c>
      <x:c r="U106" s="16" t="str">
        <x:v>1.0</x:v>
      </x:c>
      <x:c r="V106" s="18" t="str">
        <x:v>0.5505619049072266</x:v>
      </x:c>
      <x:c r="W106" s="18" t="str">
        <x:v>0.6248287260532379</x:v>
      </x:c>
      <x:c r="X106" s="18" t="str">
        <x:v>0.7431314587593079</x:v>
      </x:c>
      <x:c r="Y106" s="18" t="str">
        <x:v>0.733931839466095</x:v>
      </x:c>
      <x:c r="Z106" s="18" t="str">
        <x:v>0.915198802947998</x:v>
      </x:c>
      <x:c r="AA106" s="18" t="str">
        <x:v>0.9844696521759033</x:v>
      </x:c>
      <x:c r="AB106" s="20" t="str">
        <x:v>102.64040000038221</x:v>
      </x:c>
      <x:c r="AC106" s="12" t="str">
        <x:v>overlays\fear_005.png</x:v>
      </x:c>
      <x:c r="AD106" s="12" t="str"/>
      <x:c r="AE106" s="12" t="str"/>
      <x:c r="AF106" s="12" t="str">
        <x:v>good</x:v>
      </x:c>
      <x:c r="AG106" s="12" t="n">
        <x:v>1</x:v>
      </x:c>
      <x:c r="AH106" s="12" t="str">
        <x:v>good</x:v>
      </x:c>
      <x:c r="AI106" s="12" t="str">
        <x:v>good</x:v>
      </x:c>
      <x:c r="AJ106" s="12" t="str">
        <x:v>good</x:v>
      </x:c>
      <x:c r="AK106" s="12" t="str">
        <x:v>not_applicable</x:v>
      </x:c>
      <x:c r="AL106" s="12" t="str">
        <x:v>none</x:v>
      </x:c>
      <x:c r="AM106" s="14" t="str">
        <x:v>Clear and well-aligned facial landmarks with no major pose, crop, or occlusion issue.</x:v>
      </x:c>
    </x:row>
    <x:row r="107" ht="30" customHeight="1">
      <x:c r="A107" s="12" t="str">
        <x:v>fear_006</x:v>
      </x:c>
      <x:c r="B107" s="12" t="str">
        <x:v>fear</x:v>
      </x:c>
      <x:c r="C107" s="14" t="str">
        <x:v>fear/Training_59584482.jpg</x:v>
      </x:c>
      <x:c r="D107" s="12" t="str">
        <x:v>b54726390ced334a73b413c3efac011d10fe04eeeca99a54e77342fd61a3faf4</x:v>
      </x:c>
      <x:c r="E107" s="12" t="str">
        <x:v>b54726390ced334a73b413c3efac011d10fe04eeeca99a54e77342fd61a3faf4</x:v>
      </x:c>
      <x:c r="F107" s="12" t="str">
        <x:v>True</x:v>
      </x:c>
      <x:c r="G107" s="12" t="str">
        <x:v>48</x:v>
      </x:c>
      <x:c r="H107" s="12" t="str">
        <x:v>48</x:v>
      </x:c>
      <x:c r="I107" s="12" t="str">
        <x:v>0.0</x:v>
      </x:c>
      <x:c r="J107" s="12" t="str">
        <x:v>0.0</x:v>
      </x:c>
      <x:c r="K107" s="12" t="str">
        <x:v>47.0</x:v>
      </x:c>
      <x:c r="L107" s="12" t="str">
        <x:v>47.0</x:v>
      </x:c>
      <x:c r="M107" s="12" t="str">
        <x:v>True</x:v>
      </x:c>
      <x:c r="N107" s="12" t="str">
        <x:v>106</x:v>
      </x:c>
      <x:c r="O107" s="12" t="str">
        <x:v>106</x:v>
      </x:c>
      <x:c r="P107" s="16" t="str">
        <x:v>1.0</x:v>
      </x:c>
      <x:c r="Q107" s="12" t="str">
        <x:v>84</x:v>
      </x:c>
      <x:c r="R107" s="16" t="str">
        <x:v>0.7924528301886793</x:v>
      </x:c>
      <x:c r="S107" s="12" t="str">
        <x:v>0.2</x:v>
      </x:c>
      <x:c r="T107" s="12" t="str">
        <x:v>106</x:v>
      </x:c>
      <x:c r="U107" s="16" t="str">
        <x:v>1.0</x:v>
      </x:c>
      <x:c r="V107" s="18" t="str">
        <x:v>0.2631189227104187</x:v>
      </x:c>
      <x:c r="W107" s="18" t="str">
        <x:v>0.37176723778247833</x:v>
      </x:c>
      <x:c r="X107" s="18" t="str">
        <x:v>0.5484794974327087</x:v>
      </x:c>
      <x:c r="Y107" s="18" t="str">
        <x:v>0.534423828125</x:v>
      </x:c>
      <x:c r="Z107" s="18" t="str">
        <x:v>0.7995685338973999</x:v>
      </x:c>
      <x:c r="AA107" s="18" t="str">
        <x:v>0.8556933403015137</x:v>
      </x:c>
      <x:c r="AB107" s="20" t="str">
        <x:v>106.23819999818807</x:v>
      </x:c>
      <x:c r="AC107" s="12" t="str">
        <x:v>overlays\fear_006.png</x:v>
      </x:c>
      <x:c r="AD107" s="12" t="str"/>
      <x:c r="AE107" s="12" t="str"/>
      <x:c r="AF107" s="12" t="str">
        <x:v>acceptable</x:v>
      </x:c>
      <x:c r="AG107" s="12" t="n">
        <x:v>1</x:v>
      </x:c>
      <x:c r="AH107" s="12" t="str">
        <x:v>acceptable</x:v>
      </x:c>
      <x:c r="AI107" s="12" t="str">
        <x:v>acceptable</x:v>
      </x:c>
      <x:c r="AJ107" s="12" t="str">
        <x:v>acceptable</x:v>
      </x:c>
      <x:c r="AK107" s="12" t="str">
        <x:v>not_applicable</x:v>
      </x:c>
      <x:c r="AL107" s="12" t="str">
        <x:v>mild</x:v>
      </x:c>
      <x:c r="AM107" s="14" t="str">
        <x:v>Tight crop places several contour points outside the frame; central facial landmarks remain usable.</x:v>
      </x:c>
    </x:row>
    <x:row r="108" ht="30" customHeight="1">
      <x:c r="A108" s="12" t="str">
        <x:v>fear_007</x:v>
      </x:c>
      <x:c r="B108" s="12" t="str">
        <x:v>fear</x:v>
      </x:c>
      <x:c r="C108" s="14" t="str">
        <x:v>fear/Training_49959890.jpg</x:v>
      </x:c>
      <x:c r="D108" s="12" t="str">
        <x:v>36d69e449e121e94b4df46fb0bc22bd7b01bff33bb487727da6e29a081356986</x:v>
      </x:c>
      <x:c r="E108" s="12" t="str">
        <x:v>36d69e449e121e94b4df46fb0bc22bd7b01bff33bb487727da6e29a081356986</x:v>
      </x:c>
      <x:c r="F108" s="12" t="str">
        <x:v>True</x:v>
      </x:c>
      <x:c r="G108" s="12" t="str">
        <x:v>48</x:v>
      </x:c>
      <x:c r="H108" s="12" t="str">
        <x:v>48</x:v>
      </x:c>
      <x:c r="I108" s="12" t="str">
        <x:v>0.0</x:v>
      </x:c>
      <x:c r="J108" s="12" t="str">
        <x:v>0.0</x:v>
      </x:c>
      <x:c r="K108" s="12" t="str">
        <x:v>47.0</x:v>
      </x:c>
      <x:c r="L108" s="12" t="str">
        <x:v>47.0</x:v>
      </x:c>
      <x:c r="M108" s="12" t="str">
        <x:v>True</x:v>
      </x:c>
      <x:c r="N108" s="12" t="str">
        <x:v>106</x:v>
      </x:c>
      <x:c r="O108" s="12" t="str">
        <x:v>106</x:v>
      </x:c>
      <x:c r="P108" s="16" t="str">
        <x:v>1.0</x:v>
      </x:c>
      <x:c r="Q108" s="12" t="str">
        <x:v>102</x:v>
      </x:c>
      <x:c r="R108" s="16" t="str">
        <x:v>0.9622641509433962</x:v>
      </x:c>
      <x:c r="S108" s="12" t="str">
        <x:v>0.2</x:v>
      </x:c>
      <x:c r="T108" s="12" t="str">
        <x:v>106</x:v>
      </x:c>
      <x:c r="U108" s="16" t="str">
        <x:v>1.0</x:v>
      </x:c>
      <x:c r="V108" s="18" t="str">
        <x:v>0.5509113073348999</x:v>
      </x:c>
      <x:c r="W108" s="18" t="str">
        <x:v>0.6562735438346863</x:v>
      </x:c>
      <x:c r="X108" s="18" t="str">
        <x:v>0.7926262021064758</x:v>
      </x:c>
      <x:c r="Y108" s="18" t="str">
        <x:v>0.8174033164978027</x:v>
      </x:c>
      <x:c r="Z108" s="18" t="str">
        <x:v>0.889813631772995</x:v>
      </x:c>
      <x:c r="AA108" s="18" t="str">
        <x:v>0.9837887287139893</x:v>
      </x:c>
      <x:c r="AB108" s="20" t="str">
        <x:v>106.91550000046846</x:v>
      </x:c>
      <x:c r="AC108" s="12" t="str">
        <x:v>overlays\fear_007.png</x:v>
      </x:c>
      <x:c r="AD108" s="12" t="str"/>
      <x:c r="AE108" s="12" t="str"/>
      <x:c r="AF108" s="12" t="str">
        <x:v>acceptable</x:v>
      </x:c>
      <x:c r="AG108" s="12" t="n">
        <x:v>1</x:v>
      </x:c>
      <x:c r="AH108" s="12" t="str">
        <x:v>acceptable</x:v>
      </x:c>
      <x:c r="AI108" s="12" t="str">
        <x:v>acceptable</x:v>
      </x:c>
      <x:c r="AJ108" s="12" t="str">
        <x:v>acceptable</x:v>
      </x:c>
      <x:c r="AK108" s="12" t="str">
        <x:v>not_applicable</x:v>
      </x:c>
      <x:c r="AL108" s="12" t="str">
        <x:v>mild</x:v>
      </x:c>
      <x:c r="AM108" s="14" t="str">
        <x:v>Large pose or profile; visible landmarks are useful, while hidden-side contour points are inferred.</x:v>
      </x:c>
    </x:row>
    <x:row r="109" ht="30" customHeight="1">
      <x:c r="A109" s="12" t="str">
        <x:v>fear_008</x:v>
      </x:c>
      <x:c r="B109" s="12" t="str">
        <x:v>fear</x:v>
      </x:c>
      <x:c r="C109" s="14" t="str">
        <x:v>fear/Training_69092745.jpg</x:v>
      </x:c>
      <x:c r="D109" s="12" t="str">
        <x:v>76aac466c97b5521a37a3dcbd7df7461e7831fe4abec299521099f93ae754cfb</x:v>
      </x:c>
      <x:c r="E109" s="12" t="str">
        <x:v>76aac466c97b5521a37a3dcbd7df7461e7831fe4abec299521099f93ae754cfb</x:v>
      </x:c>
      <x:c r="F109" s="12" t="str">
        <x:v>True</x:v>
      </x:c>
      <x:c r="G109" s="12" t="str">
        <x:v>48</x:v>
      </x:c>
      <x:c r="H109" s="12" t="str">
        <x:v>48</x:v>
      </x:c>
      <x:c r="I109" s="12" t="str">
        <x:v>0.0</x:v>
      </x:c>
      <x:c r="J109" s="12" t="str">
        <x:v>0.0</x:v>
      </x:c>
      <x:c r="K109" s="12" t="str">
        <x:v>47.0</x:v>
      </x:c>
      <x:c r="L109" s="12" t="str">
        <x:v>47.0</x:v>
      </x:c>
      <x:c r="M109" s="12" t="str">
        <x:v>True</x:v>
      </x:c>
      <x:c r="N109" s="12" t="str">
        <x:v>106</x:v>
      </x:c>
      <x:c r="O109" s="12" t="str">
        <x:v>106</x:v>
      </x:c>
      <x:c r="P109" s="16" t="str">
        <x:v>1.0</x:v>
      </x:c>
      <x:c r="Q109" s="12" t="str">
        <x:v>102</x:v>
      </x:c>
      <x:c r="R109" s="16" t="str">
        <x:v>0.9622641509433962</x:v>
      </x:c>
      <x:c r="S109" s="12" t="str">
        <x:v>0.2</x:v>
      </x:c>
      <x:c r="T109" s="12" t="str">
        <x:v>106</x:v>
      </x:c>
      <x:c r="U109" s="16" t="str">
        <x:v>1.0</x:v>
      </x:c>
      <x:c r="V109" s="18" t="str">
        <x:v>0.37619712948799133</x:v>
      </x:c>
      <x:c r="W109" s="18" t="str">
        <x:v>0.48999515175819397</x:v>
      </x:c>
      <x:c r="X109" s="18" t="str">
        <x:v>0.6297430396080017</x:v>
      </x:c>
      <x:c r="Y109" s="18" t="str">
        <x:v>0.6052367687225342</x:v>
      </x:c>
      <x:c r="Z109" s="18" t="str">
        <x:v>0.8278552889823914</x:v>
      </x:c>
      <x:c r="AA109" s="18" t="str">
        <x:v>0.9069567918777466</x:v>
      </x:c>
      <x:c r="AB109" s="20" t="str">
        <x:v>122.18350000330247</x:v>
      </x:c>
      <x:c r="AC109" s="12" t="str">
        <x:v>overlays\fear_008.png</x:v>
      </x:c>
      <x:c r="AD109" s="12" t="str"/>
      <x:c r="AE109" s="12" t="str"/>
      <x:c r="AF109" s="12" t="str">
        <x:v>good</x:v>
      </x:c>
      <x:c r="AG109" s="12" t="n">
        <x:v>1</x:v>
      </x:c>
      <x:c r="AH109" s="12" t="str">
        <x:v>good</x:v>
      </x:c>
      <x:c r="AI109" s="12" t="str">
        <x:v>good</x:v>
      </x:c>
      <x:c r="AJ109" s="12" t="str">
        <x:v>good</x:v>
      </x:c>
      <x:c r="AK109" s="12" t="str">
        <x:v>good</x:v>
      </x:c>
      <x:c r="AL109" s="12" t="str">
        <x:v>none</x:v>
      </x:c>
      <x:c r="AM109" s="14" t="str">
        <x:v>Clear and well-aligned facial landmarks with no major pose, crop, or occlusion issue.</x:v>
      </x:c>
    </x:row>
    <x:row r="110" ht="30" customHeight="1">
      <x:c r="A110" s="12" t="str">
        <x:v>fear_009</x:v>
      </x:c>
      <x:c r="B110" s="12" t="str">
        <x:v>fear</x:v>
      </x:c>
      <x:c r="C110" s="14" t="str">
        <x:v>fear/Training_20834485.jpg</x:v>
      </x:c>
      <x:c r="D110" s="12" t="str">
        <x:v>9827b3a02145fade9cad02e1cc6c29b937e058e557404bbd5bfd5c24ed9eac0a</x:v>
      </x:c>
      <x:c r="E110" s="12" t="str">
        <x:v>9827b3a02145fade9cad02e1cc6c29b937e058e557404bbd5bfd5c24ed9eac0a</x:v>
      </x:c>
      <x:c r="F110" s="12" t="str">
        <x:v>True</x:v>
      </x:c>
      <x:c r="G110" s="12" t="str">
        <x:v>48</x:v>
      </x:c>
      <x:c r="H110" s="12" t="str">
        <x:v>48</x:v>
      </x:c>
      <x:c r="I110" s="12" t="str">
        <x:v>0.0</x:v>
      </x:c>
      <x:c r="J110" s="12" t="str">
        <x:v>0.0</x:v>
      </x:c>
      <x:c r="K110" s="12" t="str">
        <x:v>47.0</x:v>
      </x:c>
      <x:c r="L110" s="12" t="str">
        <x:v>47.0</x:v>
      </x:c>
      <x:c r="M110" s="12" t="str">
        <x:v>True</x:v>
      </x:c>
      <x:c r="N110" s="12" t="str">
        <x:v>106</x:v>
      </x:c>
      <x:c r="O110" s="12" t="str">
        <x:v>106</x:v>
      </x:c>
      <x:c r="P110" s="16" t="str">
        <x:v>1.0</x:v>
      </x:c>
      <x:c r="Q110" s="12" t="str">
        <x:v>96</x:v>
      </x:c>
      <x:c r="R110" s="16" t="str">
        <x:v>0.9056603773584906</x:v>
      </x:c>
      <x:c r="S110" s="12" t="str">
        <x:v>0.2</x:v>
      </x:c>
      <x:c r="T110" s="12" t="str">
        <x:v>106</x:v>
      </x:c>
      <x:c r="U110" s="16" t="str">
        <x:v>1.0</x:v>
      </x:c>
      <x:c r="V110" s="18" t="str">
        <x:v>0.275246798992157</x:v>
      </x:c>
      <x:c r="W110" s="18" t="str">
        <x:v>0.40450771152973175</x:v>
      </x:c>
      <x:c r="X110" s="18" t="str">
        <x:v>0.5703011155128479</x:v>
      </x:c>
      <x:c r="Y110" s="18" t="str">
        <x:v>0.5474929809570312</x:v>
      </x:c>
      <x:c r="Z110" s="18" t="str">
        <x:v>0.7864095270633698</x:v>
      </x:c>
      <x:c r="AA110" s="18" t="str">
        <x:v>0.869753897190094</x:v>
      </x:c>
      <x:c r="AB110" s="20" t="str">
        <x:v>106.17830000046524</x:v>
      </x:c>
      <x:c r="AC110" s="12" t="str">
        <x:v>overlays\fear_009.png</x:v>
      </x:c>
      <x:c r="AD110" s="12" t="str"/>
      <x:c r="AE110" s="12" t="str"/>
      <x:c r="AF110" s="12" t="str">
        <x:v>good</x:v>
      </x:c>
      <x:c r="AG110" s="12" t="n">
        <x:v>1</x:v>
      </x:c>
      <x:c r="AH110" s="12" t="str">
        <x:v>good</x:v>
      </x:c>
      <x:c r="AI110" s="12" t="str">
        <x:v>good</x:v>
      </x:c>
      <x:c r="AJ110" s="12" t="str">
        <x:v>good</x:v>
      </x:c>
      <x:c r="AK110" s="12" t="str">
        <x:v>good</x:v>
      </x:c>
      <x:c r="AL110" s="12" t="str">
        <x:v>none</x:v>
      </x:c>
      <x:c r="AM110" s="14" t="str">
        <x:v>Clear and well-aligned facial landmarks with no major pose, crop, or occlusion issue.</x:v>
      </x:c>
    </x:row>
    <x:row r="111" ht="30" customHeight="1">
      <x:c r="A111" s="12" t="str">
        <x:v>fear_010</x:v>
      </x:c>
      <x:c r="B111" s="12" t="str">
        <x:v>fear</x:v>
      </x:c>
      <x:c r="C111" s="14" t="str">
        <x:v>fear/Training_52199927.jpg</x:v>
      </x:c>
      <x:c r="D111" s="12" t="str">
        <x:v>e4d89008a4edcd773aa94da6a89c8227b0368af8f9d25a60be93b96e373bf7fa</x:v>
      </x:c>
      <x:c r="E111" s="12" t="str">
        <x:v>e4d89008a4edcd773aa94da6a89c8227b0368af8f9d25a60be93b96e373bf7fa</x:v>
      </x:c>
      <x:c r="F111" s="12" t="str">
        <x:v>True</x:v>
      </x:c>
      <x:c r="G111" s="12" t="str">
        <x:v>48</x:v>
      </x:c>
      <x:c r="H111" s="12" t="str">
        <x:v>48</x:v>
      </x:c>
      <x:c r="I111" s="12" t="str">
        <x:v>0.0</x:v>
      </x:c>
      <x:c r="J111" s="12" t="str">
        <x:v>0.0</x:v>
      </x:c>
      <x:c r="K111" s="12" t="str">
        <x:v>47.0</x:v>
      </x:c>
      <x:c r="L111" s="12" t="str">
        <x:v>47.0</x:v>
      </x:c>
      <x:c r="M111" s="12" t="str">
        <x:v>True</x:v>
      </x:c>
      <x:c r="N111" s="12" t="str">
        <x:v>106</x:v>
      </x:c>
      <x:c r="O111" s="12" t="str">
        <x:v>106</x:v>
      </x:c>
      <x:c r="P111" s="16" t="str">
        <x:v>1.0</x:v>
      </x:c>
      <x:c r="Q111" s="12" t="str">
        <x:v>99</x:v>
      </x:c>
      <x:c r="R111" s="16" t="str">
        <x:v>0.9339622641509434</x:v>
      </x:c>
      <x:c r="S111" s="12" t="str">
        <x:v>0.2</x:v>
      </x:c>
      <x:c r="T111" s="12" t="str">
        <x:v>106</x:v>
      </x:c>
      <x:c r="U111" s="16" t="str">
        <x:v>1.0</x:v>
      </x:c>
      <x:c r="V111" s="18" t="str">
        <x:v>0.3789084553718567</x:v>
      </x:c>
      <x:c r="W111" s="18" t="str">
        <x:v>0.4688073396682739</x:v>
      </x:c>
      <x:c r="X111" s="18" t="str">
        <x:v>0.6431313157081604</x:v>
      </x:c>
      <x:c r="Y111" s="18" t="str">
        <x:v>0.6305142641067505</x:v>
      </x:c>
      <x:c r="Z111" s="18" t="str">
        <x:v>0.8555320203304291</x:v>
      </x:c>
      <x:c r="AA111" s="18" t="str">
        <x:v>0.9152634739875793</x:v>
      </x:c>
      <x:c r="AB111" s="20" t="str">
        <x:v>101.17239999817684</x:v>
      </x:c>
      <x:c r="AC111" s="12" t="str">
        <x:v>overlays\fear_010.png</x:v>
      </x:c>
      <x:c r="AD111" s="12" t="str"/>
      <x:c r="AE111" s="12" t="str"/>
      <x:c r="AF111" s="12" t="str">
        <x:v>good</x:v>
      </x:c>
      <x:c r="AG111" s="12" t="n">
        <x:v>1</x:v>
      </x:c>
      <x:c r="AH111" s="12" t="str">
        <x:v>good</x:v>
      </x:c>
      <x:c r="AI111" s="12" t="str">
        <x:v>good</x:v>
      </x:c>
      <x:c r="AJ111" s="12" t="str">
        <x:v>good</x:v>
      </x:c>
      <x:c r="AK111" s="12" t="str">
        <x:v>good</x:v>
      </x:c>
      <x:c r="AL111" s="12" t="str">
        <x:v>none</x:v>
      </x:c>
      <x:c r="AM111" s="14" t="str">
        <x:v>Clear and well-aligned facial landmarks with no major pose, crop, or occlusion issue.</x:v>
      </x:c>
    </x:row>
    <x:row r="112" ht="30" customHeight="1">
      <x:c r="A112" s="12" t="str">
        <x:v>fear_011</x:v>
      </x:c>
      <x:c r="B112" s="12" t="str">
        <x:v>fear</x:v>
      </x:c>
      <x:c r="C112" s="14" t="str">
        <x:v>fear/Training_16231642.jpg</x:v>
      </x:c>
      <x:c r="D112" s="12" t="str">
        <x:v>7f5df962b947265f50d1c95a7625be6f44c72efe23053bc526c7ee7e4852c837</x:v>
      </x:c>
      <x:c r="E112" s="12" t="str">
        <x:v>7f5df962b947265f50d1c95a7625be6f44c72efe23053bc526c7ee7e4852c837</x:v>
      </x:c>
      <x:c r="F112" s="12" t="str">
        <x:v>True</x:v>
      </x:c>
      <x:c r="G112" s="12" t="str">
        <x:v>48</x:v>
      </x:c>
      <x:c r="H112" s="12" t="str">
        <x:v>48</x:v>
      </x:c>
      <x:c r="I112" s="12" t="str">
        <x:v>0.0</x:v>
      </x:c>
      <x:c r="J112" s="12" t="str">
        <x:v>0.0</x:v>
      </x:c>
      <x:c r="K112" s="12" t="str">
        <x:v>47.0</x:v>
      </x:c>
      <x:c r="L112" s="12" t="str">
        <x:v>47.0</x:v>
      </x:c>
      <x:c r="M112" s="12" t="str">
        <x:v>True</x:v>
      </x:c>
      <x:c r="N112" s="12" t="str">
        <x:v>106</x:v>
      </x:c>
      <x:c r="O112" s="12" t="str">
        <x:v>106</x:v>
      </x:c>
      <x:c r="P112" s="16" t="str">
        <x:v>1.0</x:v>
      </x:c>
      <x:c r="Q112" s="12" t="str">
        <x:v>84</x:v>
      </x:c>
      <x:c r="R112" s="16" t="str">
        <x:v>0.7924528301886793</x:v>
      </x:c>
      <x:c r="S112" s="12" t="str">
        <x:v>0.2</x:v>
      </x:c>
      <x:c r="T112" s="12" t="str">
        <x:v>106</x:v>
      </x:c>
      <x:c r="U112" s="16" t="str">
        <x:v>1.0</x:v>
      </x:c>
      <x:c r="V112" s="18" t="str">
        <x:v>0.2551077604293823</x:v>
      </x:c>
      <x:c r="W112" s="18" t="str">
        <x:v>0.3547886908054352</x:v>
      </x:c>
      <x:c r="X112" s="18" t="str">
        <x:v>0.5420774817466736</x:v>
      </x:c>
      <x:c r="Y112" s="18" t="str">
        <x:v>0.5126998424530029</x:v>
      </x:c>
      <x:c r="Z112" s="18" t="str">
        <x:v>0.7964236736297607</x:v>
      </x:c>
      <x:c r="AA112" s="18" t="str">
        <x:v>0.8695589900016785</x:v>
      </x:c>
      <x:c r="AB112" s="20" t="str">
        <x:v>107.85799999939627</x:v>
      </x:c>
      <x:c r="AC112" s="12" t="str">
        <x:v>overlays\fear_011.png</x:v>
      </x:c>
      <x:c r="AD112" s="12" t="str"/>
      <x:c r="AE112" s="12" t="str"/>
      <x:c r="AF112" s="12" t="str">
        <x:v>acceptable</x:v>
      </x:c>
      <x:c r="AG112" s="12" t="n">
        <x:v>1</x:v>
      </x:c>
      <x:c r="AH112" s="12" t="str">
        <x:v>acceptable</x:v>
      </x:c>
      <x:c r="AI112" s="12" t="str">
        <x:v>acceptable</x:v>
      </x:c>
      <x:c r="AJ112" s="12" t="str">
        <x:v>acceptable</x:v>
      </x:c>
      <x:c r="AK112" s="12" t="str">
        <x:v>acceptable</x:v>
      </x:c>
      <x:c r="AL112" s="12" t="str">
        <x:v>mild</x:v>
      </x:c>
      <x:c r="AM112" s="14" t="str">
        <x:v>Tight crop places several contour points outside the frame; central facial landmarks remain usable.</x:v>
      </x:c>
    </x:row>
    <x:row r="113" ht="30" customHeight="1">
      <x:c r="A113" s="12" t="str">
        <x:v>fear_012</x:v>
      </x:c>
      <x:c r="B113" s="12" t="str">
        <x:v>fear</x:v>
      </x:c>
      <x:c r="C113" s="14" t="str">
        <x:v>fear/Training_67492683.jpg</x:v>
      </x:c>
      <x:c r="D113" s="12" t="str">
        <x:v>d97ae38d48d3e95ece916994f854c074b6677874a5042b53ecdf6049cb29716a</x:v>
      </x:c>
      <x:c r="E113" s="12" t="str">
        <x:v>d97ae38d48d3e95ece916994f854c074b6677874a5042b53ecdf6049cb29716a</x:v>
      </x:c>
      <x:c r="F113" s="12" t="str">
        <x:v>True</x:v>
      </x:c>
      <x:c r="G113" s="12" t="str">
        <x:v>48</x:v>
      </x:c>
      <x:c r="H113" s="12" t="str">
        <x:v>48</x:v>
      </x:c>
      <x:c r="I113" s="12" t="str">
        <x:v>0.0</x:v>
      </x:c>
      <x:c r="J113" s="12" t="str">
        <x:v>0.0</x:v>
      </x:c>
      <x:c r="K113" s="12" t="str">
        <x:v>47.0</x:v>
      </x:c>
      <x:c r="L113" s="12" t="str">
        <x:v>47.0</x:v>
      </x:c>
      <x:c r="M113" s="12" t="str">
        <x:v>True</x:v>
      </x:c>
      <x:c r="N113" s="12" t="str">
        <x:v>106</x:v>
      </x:c>
      <x:c r="O113" s="12" t="str">
        <x:v>106</x:v>
      </x:c>
      <x:c r="P113" s="16" t="str">
        <x:v>1.0</x:v>
      </x:c>
      <x:c r="Q113" s="12" t="str">
        <x:v>89</x:v>
      </x:c>
      <x:c r="R113" s="16" t="str">
        <x:v>0.839622641509434</x:v>
      </x:c>
      <x:c r="S113" s="12" t="str">
        <x:v>0.2</x:v>
      </x:c>
      <x:c r="T113" s="12" t="str">
        <x:v>106</x:v>
      </x:c>
      <x:c r="U113" s="16" t="str">
        <x:v>1.0</x:v>
      </x:c>
      <x:c r="V113" s="18" t="str">
        <x:v>0.5426886081695557</x:v>
      </x:c>
      <x:c r="W113" s="18" t="str">
        <x:v>0.6083471179008484</x:v>
      </x:c>
      <x:c r="X113" s="18" t="str">
        <x:v>0.7791528701782227</x:v>
      </x:c>
      <x:c r="Y113" s="18" t="str">
        <x:v>0.8002140522003174</x:v>
      </x:c>
      <x:c r="Z113" s="18" t="str">
        <x:v>0.9058623313903809</x:v>
      </x:c>
      <x:c r="AA113" s="18" t="str">
        <x:v>0.9834338426589966</x:v>
      </x:c>
      <x:c r="AB113" s="20" t="str">
        <x:v>105.18779999983963</x:v>
      </x:c>
      <x:c r="AC113" s="12" t="str">
        <x:v>overlays\fear_012.png</x:v>
      </x:c>
      <x:c r="AD113" s="12" t="str"/>
      <x:c r="AE113" s="12" t="str"/>
      <x:c r="AF113" s="12" t="str">
        <x:v>acceptable</x:v>
      </x:c>
      <x:c r="AG113" s="12" t="n">
        <x:v>1</x:v>
      </x:c>
      <x:c r="AH113" s="12" t="str">
        <x:v>acceptable</x:v>
      </x:c>
      <x:c r="AI113" s="12" t="str">
        <x:v>acceptable</x:v>
      </x:c>
      <x:c r="AJ113" s="12" t="str">
        <x:v>acceptable</x:v>
      </x:c>
      <x:c r="AK113" s="12" t="str">
        <x:v>acceptable</x:v>
      </x:c>
      <x:c r="AL113" s="12" t="str">
        <x:v>mild</x:v>
      </x:c>
      <x:c r="AM113" s="14" t="str">
        <x:v>Tight crop places several contour points outside the frame; central facial landmarks remain usable.</x:v>
      </x:c>
    </x:row>
    <x:row r="114" ht="30" customHeight="1">
      <x:c r="A114" s="12" t="str">
        <x:v>fear_013</x:v>
      </x:c>
      <x:c r="B114" s="12" t="str">
        <x:v>fear</x:v>
      </x:c>
      <x:c r="C114" s="14" t="str">
        <x:v>fear/Training_83161199.jpg</x:v>
      </x:c>
      <x:c r="D114" s="12" t="str">
        <x:v>b1b8aed85dbc8133ae1719856713b576c9d7be99a67f736f99fe5bb1cb74f4ac</x:v>
      </x:c>
      <x:c r="E114" s="12" t="str">
        <x:v>b1b8aed85dbc8133ae1719856713b576c9d7be99a67f736f99fe5bb1cb74f4ac</x:v>
      </x:c>
      <x:c r="F114" s="12" t="str">
        <x:v>True</x:v>
      </x:c>
      <x:c r="G114" s="12" t="str">
        <x:v>48</x:v>
      </x:c>
      <x:c r="H114" s="12" t="str">
        <x:v>48</x:v>
      </x:c>
      <x:c r="I114" s="12" t="str">
        <x:v>0.0</x:v>
      </x:c>
      <x:c r="J114" s="12" t="str">
        <x:v>0.0</x:v>
      </x:c>
      <x:c r="K114" s="12" t="str">
        <x:v>47.0</x:v>
      </x:c>
      <x:c r="L114" s="12" t="str">
        <x:v>47.0</x:v>
      </x:c>
      <x:c r="M114" s="12" t="str">
        <x:v>True</x:v>
      </x:c>
      <x:c r="N114" s="12" t="str">
        <x:v>106</x:v>
      </x:c>
      <x:c r="O114" s="12" t="str">
        <x:v>106</x:v>
      </x:c>
      <x:c r="P114" s="16" t="str">
        <x:v>1.0</x:v>
      </x:c>
      <x:c r="Q114" s="12" t="str">
        <x:v>106</x:v>
      </x:c>
      <x:c r="R114" s="16" t="str">
        <x:v>1.0</x:v>
      </x:c>
      <x:c r="S114" s="12" t="str">
        <x:v>0.2</x:v>
      </x:c>
      <x:c r="T114" s="12" t="str">
        <x:v>106</x:v>
      </x:c>
      <x:c r="U114" s="16" t="str">
        <x:v>1.0</x:v>
      </x:c>
      <x:c r="V114" s="18" t="str">
        <x:v>0.4789436459541321</x:v>
      </x:c>
      <x:c r="W114" s="18" t="str">
        <x:v>0.6610865294933319</x:v>
      </x:c>
      <x:c r="X114" s="18" t="str">
        <x:v>0.8240079283714294</x:v>
      </x:c>
      <x:c r="Y114" s="18" t="str">
        <x:v>0.8549332618713379</x:v>
      </x:c>
      <x:c r="Z114" s="18" t="str">
        <x:v>0.9671938717365265</x:v>
      </x:c>
      <x:c r="AA114" s="18" t="str">
        <x:v>1.0099103450775146</x:v>
      </x:c>
      <x:c r="AB114" s="20" t="str">
        <x:v>104.46619999856921</x:v>
      </x:c>
      <x:c r="AC114" s="12" t="str">
        <x:v>overlays\fear_013.png</x:v>
      </x:c>
      <x:c r="AD114" s="12" t="str"/>
      <x:c r="AE114" s="12" t="str"/>
      <x:c r="AF114" s="12" t="str">
        <x:v>acceptable</x:v>
      </x:c>
      <x:c r="AG114" s="12" t="n">
        <x:v>1</x:v>
      </x:c>
      <x:c r="AH114" s="12" t="str">
        <x:v>occluded</x:v>
      </x:c>
      <x:c r="AI114" s="12" t="str">
        <x:v>occluded</x:v>
      </x:c>
      <x:c r="AJ114" s="12" t="str">
        <x:v>acceptable</x:v>
      </x:c>
      <x:c r="AK114" s="12" t="str">
        <x:v>not_applicable</x:v>
      </x:c>
      <x:c r="AL114" s="12" t="str">
        <x:v>mild</x:v>
      </x:c>
      <x:c r="AM114" s="14" t="str">
        <x:v>Occlusion affects part of the face; visible landmarks remain usable, but hidden points are inferred.</x:v>
      </x:c>
    </x:row>
    <x:row r="115" ht="30" customHeight="1">
      <x:c r="A115" s="12" t="str">
        <x:v>fear_014</x:v>
      </x:c>
      <x:c r="B115" s="12" t="str">
        <x:v>fear</x:v>
      </x:c>
      <x:c r="C115" s="14" t="str">
        <x:v>fear/Training_59097049.jpg</x:v>
      </x:c>
      <x:c r="D115" s="12" t="str">
        <x:v>d1923a4c4c08a655bc00a2b6b898c593d86b9286dc7d282615c5a095aee287ef</x:v>
      </x:c>
      <x:c r="E115" s="12" t="str">
        <x:v>d1923a4c4c08a655bc00a2b6b898c593d86b9286dc7d282615c5a095aee287ef</x:v>
      </x:c>
      <x:c r="F115" s="12" t="str">
        <x:v>True</x:v>
      </x:c>
      <x:c r="G115" s="12" t="str">
        <x:v>48</x:v>
      </x:c>
      <x:c r="H115" s="12" t="str">
        <x:v>48</x:v>
      </x:c>
      <x:c r="I115" s="12" t="str">
        <x:v>0.0</x:v>
      </x:c>
      <x:c r="J115" s="12" t="str">
        <x:v>0.0</x:v>
      </x:c>
      <x:c r="K115" s="12" t="str">
        <x:v>47.0</x:v>
      </x:c>
      <x:c r="L115" s="12" t="str">
        <x:v>47.0</x:v>
      </x:c>
      <x:c r="M115" s="12" t="str">
        <x:v>True</x:v>
      </x:c>
      <x:c r="N115" s="12" t="str">
        <x:v>106</x:v>
      </x:c>
      <x:c r="O115" s="12" t="str">
        <x:v>106</x:v>
      </x:c>
      <x:c r="P115" s="16" t="str">
        <x:v>1.0</x:v>
      </x:c>
      <x:c r="Q115" s="12" t="str">
        <x:v>94</x:v>
      </x:c>
      <x:c r="R115" s="16" t="str">
        <x:v>0.8867924528301887</x:v>
      </x:c>
      <x:c r="S115" s="12" t="str">
        <x:v>0.2</x:v>
      </x:c>
      <x:c r="T115" s="12" t="str">
        <x:v>106</x:v>
      </x:c>
      <x:c r="U115" s="16" t="str">
        <x:v>1.0</x:v>
      </x:c>
      <x:c r="V115" s="18" t="str">
        <x:v>0.24720747768878937</x:v>
      </x:c>
      <x:c r="W115" s="18" t="str">
        <x:v>0.4166891574859619</x:v>
      </x:c>
      <x:c r="X115" s="18" t="str">
        <x:v>0.599756121635437</x:v>
      </x:c>
      <x:c r="Y115" s="18" t="str">
        <x:v>0.6112427711486816</x:v>
      </x:c>
      <x:c r="Z115" s="18" t="str">
        <x:v>0.7780859470367432</x:v>
      </x:c>
      <x:c r="AA115" s="18" t="str">
        <x:v>0.8355214595794678</x:v>
      </x:c>
      <x:c r="AB115" s="20" t="str">
        <x:v>108.25250000198139</x:v>
      </x:c>
      <x:c r="AC115" s="12" t="str">
        <x:v>overlays\fear_014.png</x:v>
      </x:c>
      <x:c r="AD115" s="12" t="str"/>
      <x:c r="AE115" s="12" t="str"/>
      <x:c r="AF115" s="12" t="str">
        <x:v>acceptable</x:v>
      </x:c>
      <x:c r="AG115" s="12" t="n">
        <x:v>1</x:v>
      </x:c>
      <x:c r="AH115" s="12" t="str">
        <x:v>acceptable</x:v>
      </x:c>
      <x:c r="AI115" s="12" t="str">
        <x:v>acceptable</x:v>
      </x:c>
      <x:c r="AJ115" s="12" t="str">
        <x:v>acceptable</x:v>
      </x:c>
      <x:c r="AK115" s="12" t="str">
        <x:v>not_applicable</x:v>
      </x:c>
      <x:c r="AL115" s="12" t="str">
        <x:v>mild</x:v>
      </x:c>
      <x:c r="AM115" s="14" t="str">
        <x:v>Large pose or profile; visible landmarks are useful, while hidden-side contour points are inferred.</x:v>
      </x:c>
    </x:row>
    <x:row r="116" ht="30" customHeight="1">
      <x:c r="A116" s="12" t="str">
        <x:v>fear_015</x:v>
      </x:c>
      <x:c r="B116" s="12" t="str">
        <x:v>fear</x:v>
      </x:c>
      <x:c r="C116" s="14" t="str">
        <x:v>fear/Training_22692248.jpg</x:v>
      </x:c>
      <x:c r="D116" s="12" t="str">
        <x:v>75316cd16b98afc54e5b94f5bbf7c0c18e11a32354897ee78a478b5f4bb8aa2c</x:v>
      </x:c>
      <x:c r="E116" s="12" t="str">
        <x:v>75316cd16b98afc54e5b94f5bbf7c0c18e11a32354897ee78a478b5f4bb8aa2c</x:v>
      </x:c>
      <x:c r="F116" s="12" t="str">
        <x:v>True</x:v>
      </x:c>
      <x:c r="G116" s="12" t="str">
        <x:v>48</x:v>
      </x:c>
      <x:c r="H116" s="12" t="str">
        <x:v>48</x:v>
      </x:c>
      <x:c r="I116" s="12" t="str">
        <x:v>0.0</x:v>
      </x:c>
      <x:c r="J116" s="12" t="str">
        <x:v>0.0</x:v>
      </x:c>
      <x:c r="K116" s="12" t="str">
        <x:v>47.0</x:v>
      </x:c>
      <x:c r="L116" s="12" t="str">
        <x:v>47.0</x:v>
      </x:c>
      <x:c r="M116" s="12" t="str">
        <x:v>True</x:v>
      </x:c>
      <x:c r="N116" s="12" t="str">
        <x:v>106</x:v>
      </x:c>
      <x:c r="O116" s="12" t="str">
        <x:v>106</x:v>
      </x:c>
      <x:c r="P116" s="16" t="str">
        <x:v>1.0</x:v>
      </x:c>
      <x:c r="Q116" s="12" t="str">
        <x:v>104</x:v>
      </x:c>
      <x:c r="R116" s="16" t="str">
        <x:v>0.9811320754716981</x:v>
      </x:c>
      <x:c r="S116" s="12" t="str">
        <x:v>0.2</x:v>
      </x:c>
      <x:c r="T116" s="12" t="str">
        <x:v>106</x:v>
      </x:c>
      <x:c r="U116" s="16" t="str">
        <x:v>1.0</x:v>
      </x:c>
      <x:c r="V116" s="18" t="str">
        <x:v>0.5179544687271118</x:v>
      </x:c>
      <x:c r="W116" s="18" t="str">
        <x:v>0.5675242841243744</x:v>
      </x:c>
      <x:c r="X116" s="18" t="str">
        <x:v>0.6887534260749817</x:v>
      </x:c>
      <x:c r="Y116" s="18" t="str">
        <x:v>0.6616024971008301</x:v>
      </x:c>
      <x:c r="Z116" s="18" t="str">
        <x:v>0.8507375717163086</x:v>
      </x:c>
      <x:c r="AA116" s="18" t="str">
        <x:v>0.9443895816802979</x:v>
      </x:c>
      <x:c r="AB116" s="20" t="str">
        <x:v>104.26240000015241</x:v>
      </x:c>
      <x:c r="AC116" s="12" t="str">
        <x:v>overlays\fear_015.png</x:v>
      </x:c>
      <x:c r="AD116" s="12" t="str"/>
      <x:c r="AE116" s="12" t="str"/>
      <x:c r="AF116" s="12" t="str">
        <x:v>acceptable</x:v>
      </x:c>
      <x:c r="AG116" s="12" t="n">
        <x:v>1</x:v>
      </x:c>
      <x:c r="AH116" s="12" t="str">
        <x:v>acceptable</x:v>
      </x:c>
      <x:c r="AI116" s="12" t="str">
        <x:v>acceptable</x:v>
      </x:c>
      <x:c r="AJ116" s="12" t="str">
        <x:v>acceptable</x:v>
      </x:c>
      <x:c r="AK116" s="12" t="str">
        <x:v>acceptable</x:v>
      </x:c>
      <x:c r="AL116" s="12" t="str">
        <x:v>mild</x:v>
      </x:c>
      <x:c r="AM116" s="14" t="str">
        <x:v>Moderate pose, crop, or image degradation causes minor landmark uncertainty; the result remains usable.</x:v>
      </x:c>
    </x:row>
    <x:row r="117" ht="30" customHeight="1">
      <x:c r="A117" s="12" t="str">
        <x:v>fear_016</x:v>
      </x:c>
      <x:c r="B117" s="12" t="str">
        <x:v>fear</x:v>
      </x:c>
      <x:c r="C117" s="14" t="str">
        <x:v>fear/Training_48666964.jpg</x:v>
      </x:c>
      <x:c r="D117" s="12" t="str">
        <x:v>f75a84c5850b8e77d90530c339b4c5565a0cd9035e3f8ee54df9f52b5524f98f</x:v>
      </x:c>
      <x:c r="E117" s="12" t="str">
        <x:v>f75a84c5850b8e77d90530c339b4c5565a0cd9035e3f8ee54df9f52b5524f98f</x:v>
      </x:c>
      <x:c r="F117" s="12" t="str">
        <x:v>True</x:v>
      </x:c>
      <x:c r="G117" s="12" t="str">
        <x:v>48</x:v>
      </x:c>
      <x:c r="H117" s="12" t="str">
        <x:v>48</x:v>
      </x:c>
      <x:c r="I117" s="12" t="str">
        <x:v>0.0</x:v>
      </x:c>
      <x:c r="J117" s="12" t="str">
        <x:v>0.0</x:v>
      </x:c>
      <x:c r="K117" s="12" t="str">
        <x:v>47.0</x:v>
      </x:c>
      <x:c r="L117" s="12" t="str">
        <x:v>47.0</x:v>
      </x:c>
      <x:c r="M117" s="12" t="str">
        <x:v>True</x:v>
      </x:c>
      <x:c r="N117" s="12" t="str">
        <x:v>106</x:v>
      </x:c>
      <x:c r="O117" s="12" t="str">
        <x:v>106</x:v>
      </x:c>
      <x:c r="P117" s="16" t="str">
        <x:v>1.0</x:v>
      </x:c>
      <x:c r="Q117" s="12" t="str">
        <x:v>84</x:v>
      </x:c>
      <x:c r="R117" s="16" t="str">
        <x:v>0.7924528301886793</x:v>
      </x:c>
      <x:c r="S117" s="12" t="str">
        <x:v>0.2</x:v>
      </x:c>
      <x:c r="T117" s="12" t="str">
        <x:v>106</x:v>
      </x:c>
      <x:c r="U117" s="16" t="str">
        <x:v>1.0</x:v>
      </x:c>
      <x:c r="V117" s="18" t="str">
        <x:v>0.3073338270187378</x:v>
      </x:c>
      <x:c r="W117" s="18" t="str">
        <x:v>0.4023219645023346</x:v>
      </x:c>
      <x:c r="X117" s="18" t="str">
        <x:v>0.582591712474823</x:v>
      </x:c>
      <x:c r="Y117" s="18" t="str">
        <x:v>0.5661921501159668</x:v>
      </x:c>
      <x:c r="Z117" s="18" t="str">
        <x:v>0.7934239208698273</x:v>
      </x:c>
      <x:c r="AA117" s="18" t="str">
        <x:v>0.8548164367675781</x:v>
      </x:c>
      <x:c r="AB117" s="20" t="str">
        <x:v>99.99270000116667</x:v>
      </x:c>
      <x:c r="AC117" s="12" t="str">
        <x:v>overlays\fear_016.png</x:v>
      </x:c>
      <x:c r="AD117" s="12" t="str"/>
      <x:c r="AE117" s="12" t="str"/>
      <x:c r="AF117" s="12" t="str">
        <x:v>acceptable</x:v>
      </x:c>
      <x:c r="AG117" s="12" t="n">
        <x:v>1</x:v>
      </x:c>
      <x:c r="AH117" s="12" t="str">
        <x:v>acceptable</x:v>
      </x:c>
      <x:c r="AI117" s="12" t="str">
        <x:v>acceptable</x:v>
      </x:c>
      <x:c r="AJ117" s="12" t="str">
        <x:v>acceptable</x:v>
      </x:c>
      <x:c r="AK117" s="12" t="str">
        <x:v>acceptable</x:v>
      </x:c>
      <x:c r="AL117" s="12" t="str">
        <x:v>mild</x:v>
      </x:c>
      <x:c r="AM117" s="14" t="str">
        <x:v>Tight crop places several contour points outside the frame; central facial landmarks remain usable.</x:v>
      </x:c>
    </x:row>
    <x:row r="118" ht="30" customHeight="1">
      <x:c r="A118" s="12" t="str">
        <x:v>fear_017</x:v>
      </x:c>
      <x:c r="B118" s="12" t="str">
        <x:v>fear</x:v>
      </x:c>
      <x:c r="C118" s="14" t="str">
        <x:v>fear/Training_67402580.jpg</x:v>
      </x:c>
      <x:c r="D118" s="12" t="str">
        <x:v>b04286ff69aab12dcd2942ed6c67ccd0db0b86f5a5ae2063c376bdf71b44b582</x:v>
      </x:c>
      <x:c r="E118" s="12" t="str">
        <x:v>b04286ff69aab12dcd2942ed6c67ccd0db0b86f5a5ae2063c376bdf71b44b582</x:v>
      </x:c>
      <x:c r="F118" s="12" t="str">
        <x:v>True</x:v>
      </x:c>
      <x:c r="G118" s="12" t="str">
        <x:v>48</x:v>
      </x:c>
      <x:c r="H118" s="12" t="str">
        <x:v>48</x:v>
      </x:c>
      <x:c r="I118" s="12" t="str">
        <x:v>0.0</x:v>
      </x:c>
      <x:c r="J118" s="12" t="str">
        <x:v>0.0</x:v>
      </x:c>
      <x:c r="K118" s="12" t="str">
        <x:v>47.0</x:v>
      </x:c>
      <x:c r="L118" s="12" t="str">
        <x:v>47.0</x:v>
      </x:c>
      <x:c r="M118" s="12" t="str">
        <x:v>True</x:v>
      </x:c>
      <x:c r="N118" s="12" t="str">
        <x:v>106</x:v>
      </x:c>
      <x:c r="O118" s="12" t="str">
        <x:v>106</x:v>
      </x:c>
      <x:c r="P118" s="16" t="str">
        <x:v>1.0</x:v>
      </x:c>
      <x:c r="Q118" s="12" t="str">
        <x:v>106</x:v>
      </x:c>
      <x:c r="R118" s="16" t="str">
        <x:v>1.0</x:v>
      </x:c>
      <x:c r="S118" s="12" t="str">
        <x:v>0.2</x:v>
      </x:c>
      <x:c r="T118" s="12" t="str">
        <x:v>106</x:v>
      </x:c>
      <x:c r="U118" s="16" t="str">
        <x:v>1.0</x:v>
      </x:c>
      <x:c r="V118" s="18" t="str">
        <x:v>0.5163437128067017</x:v>
      </x:c>
      <x:c r="W118" s="18" t="str">
        <x:v>0.5664935410022736</x:v>
      </x:c>
      <x:c r="X118" s="18" t="str">
        <x:v>0.7511122822761536</x:v>
      </x:c>
      <x:c r="Y118" s="18" t="str">
        <x:v>0.7357295751571655</x:v>
      </x:c>
      <x:c r="Z118" s="18" t="str">
        <x:v>0.9750772714614868</x:v>
      </x:c>
      <x:c r="AA118" s="18" t="str">
        <x:v>1.0114741325378418</x:v>
      </x:c>
      <x:c r="AB118" s="20" t="str">
        <x:v>101.45560000091791</x:v>
      </x:c>
      <x:c r="AC118" s="12" t="str">
        <x:v>overlays\fear_017.png</x:v>
      </x:c>
      <x:c r="AD118" s="12" t="str"/>
      <x:c r="AE118" s="12" t="str"/>
      <x:c r="AF118" s="12" t="str">
        <x:v>good</x:v>
      </x:c>
      <x:c r="AG118" s="12" t="n">
        <x:v>1</x:v>
      </x:c>
      <x:c r="AH118" s="12" t="str">
        <x:v>good</x:v>
      </x:c>
      <x:c r="AI118" s="12" t="str">
        <x:v>good</x:v>
      </x:c>
      <x:c r="AJ118" s="12" t="str">
        <x:v>good</x:v>
      </x:c>
      <x:c r="AK118" s="12" t="str">
        <x:v>not_applicable</x:v>
      </x:c>
      <x:c r="AL118" s="12" t="str">
        <x:v>none</x:v>
      </x:c>
      <x:c r="AM118" s="14" t="str">
        <x:v>Clear and well-aligned facial landmarks with no major pose, crop, or occlusion issue.</x:v>
      </x:c>
    </x:row>
    <x:row r="119" ht="30" customHeight="1">
      <x:c r="A119" s="12" t="str">
        <x:v>fear_018</x:v>
      </x:c>
      <x:c r="B119" s="12" t="str">
        <x:v>fear</x:v>
      </x:c>
      <x:c r="C119" s="14" t="str">
        <x:v>fear/Training_48844324.jpg</x:v>
      </x:c>
      <x:c r="D119" s="12" t="str">
        <x:v>fff53b2f9da17f50d0f2c6d46fdd1726c127083cc01f51ee531a19e89fa4aee1</x:v>
      </x:c>
      <x:c r="E119" s="12" t="str">
        <x:v>fff53b2f9da17f50d0f2c6d46fdd1726c127083cc01f51ee531a19e89fa4aee1</x:v>
      </x:c>
      <x:c r="F119" s="12" t="str">
        <x:v>True</x:v>
      </x:c>
      <x:c r="G119" s="12" t="str">
        <x:v>48</x:v>
      </x:c>
      <x:c r="H119" s="12" t="str">
        <x:v>48</x:v>
      </x:c>
      <x:c r="I119" s="12" t="str">
        <x:v>0.0</x:v>
      </x:c>
      <x:c r="J119" s="12" t="str">
        <x:v>0.0</x:v>
      </x:c>
      <x:c r="K119" s="12" t="str">
        <x:v>47.0</x:v>
      </x:c>
      <x:c r="L119" s="12" t="str">
        <x:v>47.0</x:v>
      </x:c>
      <x:c r="M119" s="12" t="str">
        <x:v>True</x:v>
      </x:c>
      <x:c r="N119" s="12" t="str">
        <x:v>106</x:v>
      </x:c>
      <x:c r="O119" s="12" t="str">
        <x:v>106</x:v>
      </x:c>
      <x:c r="P119" s="16" t="str">
        <x:v>1.0</x:v>
      </x:c>
      <x:c r="Q119" s="12" t="str">
        <x:v>106</x:v>
      </x:c>
      <x:c r="R119" s="16" t="str">
        <x:v>1.0</x:v>
      </x:c>
      <x:c r="S119" s="12" t="str">
        <x:v>0.2</x:v>
      </x:c>
      <x:c r="T119" s="12" t="str">
        <x:v>106</x:v>
      </x:c>
      <x:c r="U119" s="16" t="str">
        <x:v>1.0</x:v>
      </x:c>
      <x:c r="V119" s="18" t="str">
        <x:v>0.536058783531189</x:v>
      </x:c>
      <x:c r="W119" s="18" t="str">
        <x:v>0.6111128032207489</x:v>
      </x:c>
      <x:c r="X119" s="18" t="str">
        <x:v>0.7219079732894897</x:v>
      </x:c>
      <x:c r="Y119" s="18" t="str">
        <x:v>0.7264760732650757</x:v>
      </x:c>
      <x:c r="Z119" s="18" t="str">
        <x:v>0.8413878083229065</x:v>
      </x:c>
      <x:c r="AA119" s="18" t="str">
        <x:v>0.9832059144973755</x:v>
      </x:c>
      <x:c r="AB119" s="20" t="str">
        <x:v>105.02880000058212</x:v>
      </x:c>
      <x:c r="AC119" s="12" t="str">
        <x:v>overlays\fear_018.png</x:v>
      </x:c>
      <x:c r="AD119" s="12" t="str"/>
      <x:c r="AE119" s="12" t="str"/>
      <x:c r="AF119" s="12" t="str">
        <x:v>good</x:v>
      </x:c>
      <x:c r="AG119" s="12" t="n">
        <x:v>1</x:v>
      </x:c>
      <x:c r="AH119" s="12" t="str">
        <x:v>good</x:v>
      </x:c>
      <x:c r="AI119" s="12" t="str">
        <x:v>good</x:v>
      </x:c>
      <x:c r="AJ119" s="12" t="str">
        <x:v>good</x:v>
      </x:c>
      <x:c r="AK119" s="12" t="str">
        <x:v>not_applicable</x:v>
      </x:c>
      <x:c r="AL119" s="12" t="str">
        <x:v>none</x:v>
      </x:c>
      <x:c r="AM119" s="14" t="str">
        <x:v>Clear and well-aligned facial landmarks with no major pose, crop, or occlusion issue.</x:v>
      </x:c>
    </x:row>
    <x:row r="120" ht="30" customHeight="1">
      <x:c r="A120" s="12" t="str">
        <x:v>fear_019</x:v>
      </x:c>
      <x:c r="B120" s="12" t="str">
        <x:v>fear</x:v>
      </x:c>
      <x:c r="C120" s="14" t="str">
        <x:v>fear/Training_9991342.jpg</x:v>
      </x:c>
      <x:c r="D120" s="12" t="str">
        <x:v>8adfd77e9bc0994f39a77341bf8f4b3a7423ac2c984215091fd2f0c957342388</x:v>
      </x:c>
      <x:c r="E120" s="12" t="str">
        <x:v>8adfd77e9bc0994f39a77341bf8f4b3a7423ac2c984215091fd2f0c957342388</x:v>
      </x:c>
      <x:c r="F120" s="12" t="str">
        <x:v>True</x:v>
      </x:c>
      <x:c r="G120" s="12" t="str">
        <x:v>48</x:v>
      </x:c>
      <x:c r="H120" s="12" t="str">
        <x:v>48</x:v>
      </x:c>
      <x:c r="I120" s="12" t="str">
        <x:v>0.0</x:v>
      </x:c>
      <x:c r="J120" s="12" t="str">
        <x:v>0.0</x:v>
      </x:c>
      <x:c r="K120" s="12" t="str">
        <x:v>47.0</x:v>
      </x:c>
      <x:c r="L120" s="12" t="str">
        <x:v>47.0</x:v>
      </x:c>
      <x:c r="M120" s="12" t="str">
        <x:v>True</x:v>
      </x:c>
      <x:c r="N120" s="12" t="str">
        <x:v>106</x:v>
      </x:c>
      <x:c r="O120" s="12" t="str">
        <x:v>106</x:v>
      </x:c>
      <x:c r="P120" s="16" t="str">
        <x:v>1.0</x:v>
      </x:c>
      <x:c r="Q120" s="12" t="str">
        <x:v>95</x:v>
      </x:c>
      <x:c r="R120" s="16" t="str">
        <x:v>0.8962264150943396</x:v>
      </x:c>
      <x:c r="S120" s="12" t="str">
        <x:v>0.2</x:v>
      </x:c>
      <x:c r="T120" s="12" t="str">
        <x:v>106</x:v>
      </x:c>
      <x:c r="U120" s="16" t="str">
        <x:v>1.0</x:v>
      </x:c>
      <x:c r="V120" s="18" t="str">
        <x:v>0.3755054175853729</x:v>
      </x:c>
      <x:c r="W120" s="18" t="str">
        <x:v>0.48776277899742126</x:v>
      </x:c>
      <x:c r="X120" s="18" t="str">
        <x:v>0.6293730139732361</x:v>
      </x:c>
      <x:c r="Y120" s="18" t="str">
        <x:v>0.5928605794906616</x:v>
      </x:c>
      <x:c r="Z120" s="18" t="str">
        <x:v>0.8368725180625916</x:v>
      </x:c>
      <x:c r="AA120" s="18" t="str">
        <x:v>0.8886067271232605</x:v>
      </x:c>
      <x:c r="AB120" s="20" t="str">
        <x:v>109.28259999855072</x:v>
      </x:c>
      <x:c r="AC120" s="12" t="str">
        <x:v>overlays\fear_019.png</x:v>
      </x:c>
      <x:c r="AD120" s="12" t="str"/>
      <x:c r="AE120" s="12" t="str"/>
      <x:c r="AF120" s="12" t="str">
        <x:v>good</x:v>
      </x:c>
      <x:c r="AG120" s="12" t="n">
        <x:v>1</x:v>
      </x:c>
      <x:c r="AH120" s="12" t="str">
        <x:v>good</x:v>
      </x:c>
      <x:c r="AI120" s="12" t="str">
        <x:v>good</x:v>
      </x:c>
      <x:c r="AJ120" s="12" t="str">
        <x:v>good</x:v>
      </x:c>
      <x:c r="AK120" s="12" t="str">
        <x:v>not_applicable</x:v>
      </x:c>
      <x:c r="AL120" s="12" t="str">
        <x:v>none</x:v>
      </x:c>
      <x:c r="AM120" s="14" t="str">
        <x:v>Clear and well-aligned facial landmarks with no major pose, crop, or occlusion issue.</x:v>
      </x:c>
    </x:row>
    <x:row r="121" ht="30" customHeight="1">
      <x:c r="A121" s="12" t="str">
        <x:v>fear_020</x:v>
      </x:c>
      <x:c r="B121" s="12" t="str">
        <x:v>fear</x:v>
      </x:c>
      <x:c r="C121" s="14" t="str">
        <x:v>fear/Training_81891525.jpg</x:v>
      </x:c>
      <x:c r="D121" s="12" t="str">
        <x:v>ec05a6baaf8a19e8c484808712e48fb4ef14e15647bd5ab9b860b0df637fc40b</x:v>
      </x:c>
      <x:c r="E121" s="12" t="str">
        <x:v>ec05a6baaf8a19e8c484808712e48fb4ef14e15647bd5ab9b860b0df637fc40b</x:v>
      </x:c>
      <x:c r="F121" s="12" t="str">
        <x:v>True</x:v>
      </x:c>
      <x:c r="G121" s="12" t="str">
        <x:v>48</x:v>
      </x:c>
      <x:c r="H121" s="12" t="str">
        <x:v>48</x:v>
      </x:c>
      <x:c r="I121" s="12" t="str">
        <x:v>0.0</x:v>
      </x:c>
      <x:c r="J121" s="12" t="str">
        <x:v>0.0</x:v>
      </x:c>
      <x:c r="K121" s="12" t="str">
        <x:v>47.0</x:v>
      </x:c>
      <x:c r="L121" s="12" t="str">
        <x:v>47.0</x:v>
      </x:c>
      <x:c r="M121" s="12" t="str">
        <x:v>True</x:v>
      </x:c>
      <x:c r="N121" s="12" t="str">
        <x:v>106</x:v>
      </x:c>
      <x:c r="O121" s="12" t="str">
        <x:v>106</x:v>
      </x:c>
      <x:c r="P121" s="16" t="str">
        <x:v>1.0</x:v>
      </x:c>
      <x:c r="Q121" s="12" t="str">
        <x:v>106</x:v>
      </x:c>
      <x:c r="R121" s="16" t="str">
        <x:v>1.0</x:v>
      </x:c>
      <x:c r="S121" s="12" t="str">
        <x:v>0.2</x:v>
      </x:c>
      <x:c r="T121" s="12" t="str">
        <x:v>106</x:v>
      </x:c>
      <x:c r="U121" s="16" t="str">
        <x:v>1.0</x:v>
      </x:c>
      <x:c r="V121" s="18" t="str">
        <x:v>0.35629504919052124</x:v>
      </x:c>
      <x:c r="W121" s="18" t="str">
        <x:v>0.42388299107551575</x:v>
      </x:c>
      <x:c r="X121" s="18" t="str">
        <x:v>0.6264746189117432</x:v>
      </x:c>
      <x:c r="Y121" s="18" t="str">
        <x:v>0.6357902884483337</x:v>
      </x:c>
      <x:c r="Z121" s="18" t="str">
        <x:v>0.8243915438652039</x:v>
      </x:c>
      <x:c r="AA121" s="18" t="str">
        <x:v>0.8580222725868225</x:v>
      </x:c>
      <x:c r="AB121" s="20" t="str">
        <x:v>109.15939999904367</x:v>
      </x:c>
      <x:c r="AC121" s="12" t="str">
        <x:v>overlays\fear_020.png</x:v>
      </x:c>
      <x:c r="AD121" s="12" t="str"/>
      <x:c r="AE121" s="12" t="str"/>
      <x:c r="AF121" s="12" t="str">
        <x:v>acceptable</x:v>
      </x:c>
      <x:c r="AG121" s="12" t="n">
        <x:v>1</x:v>
      </x:c>
      <x:c r="AH121" s="12" t="str">
        <x:v>acceptable</x:v>
      </x:c>
      <x:c r="AI121" s="12" t="str">
        <x:v>acceptable</x:v>
      </x:c>
      <x:c r="AJ121" s="12" t="str">
        <x:v>acceptable</x:v>
      </x:c>
      <x:c r="AK121" s="12" t="str">
        <x:v>not_applicable</x:v>
      </x:c>
      <x:c r="AL121" s="12" t="str">
        <x:v>mild</x:v>
      </x:c>
      <x:c r="AM121" s="14" t="str">
        <x:v>Moderate pose, crop, or image degradation causes minor landmark uncertainty; the result remains usable.</x:v>
      </x:c>
    </x:row>
    <x:row r="122" ht="30" customHeight="1">
      <x:c r="A122" s="12" t="str">
        <x:v>fear_021</x:v>
      </x:c>
      <x:c r="B122" s="12" t="str">
        <x:v>fear</x:v>
      </x:c>
      <x:c r="C122" s="14" t="str">
        <x:v>fear/Training_93080889.jpg</x:v>
      </x:c>
      <x:c r="D122" s="12" t="str">
        <x:v>f0f94fc2b1e25e24d09752675127b9b0a6b62130665b8760498ebdc23810811d</x:v>
      </x:c>
      <x:c r="E122" s="12" t="str">
        <x:v>f0f94fc2b1e25e24d09752675127b9b0a6b62130665b8760498ebdc23810811d</x:v>
      </x:c>
      <x:c r="F122" s="12" t="str">
        <x:v>True</x:v>
      </x:c>
      <x:c r="G122" s="12" t="str">
        <x:v>48</x:v>
      </x:c>
      <x:c r="H122" s="12" t="str">
        <x:v>48</x:v>
      </x:c>
      <x:c r="I122" s="12" t="str">
        <x:v>0.0</x:v>
      </x:c>
      <x:c r="J122" s="12" t="str">
        <x:v>0.0</x:v>
      </x:c>
      <x:c r="K122" s="12" t="str">
        <x:v>47.0</x:v>
      </x:c>
      <x:c r="L122" s="12" t="str">
        <x:v>47.0</x:v>
      </x:c>
      <x:c r="M122" s="12" t="str">
        <x:v>True</x:v>
      </x:c>
      <x:c r="N122" s="12" t="str">
        <x:v>106</x:v>
      </x:c>
      <x:c r="O122" s="12" t="str">
        <x:v>106</x:v>
      </x:c>
      <x:c r="P122" s="16" t="str">
        <x:v>1.0</x:v>
      </x:c>
      <x:c r="Q122" s="12" t="str">
        <x:v>88</x:v>
      </x:c>
      <x:c r="R122" s="16" t="str">
        <x:v>0.8301886792452831</x:v>
      </x:c>
      <x:c r="S122" s="12" t="str">
        <x:v>0.2</x:v>
      </x:c>
      <x:c r="T122" s="12" t="str">
        <x:v>106</x:v>
      </x:c>
      <x:c r="U122" s="16" t="str">
        <x:v>1.0</x:v>
      </x:c>
      <x:c r="V122" s="18" t="str">
        <x:v>0.37208542227745056</x:v>
      </x:c>
      <x:c r="W122" s="18" t="str">
        <x:v>0.4818406105041504</x:v>
      </x:c>
      <x:c r="X122" s="18" t="str">
        <x:v>0.6918460726737976</x:v>
      </x:c>
      <x:c r="Y122" s="18" t="str">
        <x:v>0.7207298278808594</x:v>
      </x:c>
      <x:c r="Z122" s="18" t="str">
        <x:v>0.8537802696228027</x:v>
      </x:c>
      <x:c r="AA122" s="18" t="str">
        <x:v>0.9272922873497009</x:v>
      </x:c>
      <x:c r="AB122" s="20" t="str">
        <x:v>108.7176000000909</x:v>
      </x:c>
      <x:c r="AC122" s="12" t="str">
        <x:v>overlays\fear_021.png</x:v>
      </x:c>
      <x:c r="AD122" s="12" t="str"/>
      <x:c r="AE122" s="12" t="str"/>
      <x:c r="AF122" s="12" t="str">
        <x:v>acceptable</x:v>
      </x:c>
      <x:c r="AG122" s="12" t="n">
        <x:v>1</x:v>
      </x:c>
      <x:c r="AH122" s="12" t="str">
        <x:v>acceptable</x:v>
      </x:c>
      <x:c r="AI122" s="12" t="str">
        <x:v>acceptable</x:v>
      </x:c>
      <x:c r="AJ122" s="12" t="str">
        <x:v>acceptable</x:v>
      </x:c>
      <x:c r="AK122" s="12" t="str">
        <x:v>not_applicable</x:v>
      </x:c>
      <x:c r="AL122" s="12" t="str">
        <x:v>mild</x:v>
      </x:c>
      <x:c r="AM122" s="14" t="str">
        <x:v>Tight crop places several contour points outside the frame; central facial landmarks remain usable.</x:v>
      </x:c>
    </x:row>
    <x:row r="123" ht="30" customHeight="1">
      <x:c r="A123" s="12" t="str">
        <x:v>fear_022</x:v>
      </x:c>
      <x:c r="B123" s="12" t="str">
        <x:v>fear</x:v>
      </x:c>
      <x:c r="C123" s="14" t="str">
        <x:v>fear/Training_36150143.jpg</x:v>
      </x:c>
      <x:c r="D123" s="12" t="str">
        <x:v>802b5003856149e48572e33c907ae190b9eba4817dbdf981e18c0073caae7ec5</x:v>
      </x:c>
      <x:c r="E123" s="12" t="str">
        <x:v>802b5003856149e48572e33c907ae190b9eba4817dbdf981e18c0073caae7ec5</x:v>
      </x:c>
      <x:c r="F123" s="12" t="str">
        <x:v>True</x:v>
      </x:c>
      <x:c r="G123" s="12" t="str">
        <x:v>48</x:v>
      </x:c>
      <x:c r="H123" s="12" t="str">
        <x:v>48</x:v>
      </x:c>
      <x:c r="I123" s="12" t="str">
        <x:v>0.0</x:v>
      </x:c>
      <x:c r="J123" s="12" t="str">
        <x:v>0.0</x:v>
      </x:c>
      <x:c r="K123" s="12" t="str">
        <x:v>47.0</x:v>
      </x:c>
      <x:c r="L123" s="12" t="str">
        <x:v>47.0</x:v>
      </x:c>
      <x:c r="M123" s="12" t="str">
        <x:v>True</x:v>
      </x:c>
      <x:c r="N123" s="12" t="str">
        <x:v>106</x:v>
      </x:c>
      <x:c r="O123" s="12" t="str">
        <x:v>106</x:v>
      </x:c>
      <x:c r="P123" s="16" t="str">
        <x:v>1.0</x:v>
      </x:c>
      <x:c r="Q123" s="12" t="str">
        <x:v>97</x:v>
      </x:c>
      <x:c r="R123" s="16" t="str">
        <x:v>0.9150943396226415</x:v>
      </x:c>
      <x:c r="S123" s="12" t="str">
        <x:v>0.2</x:v>
      </x:c>
      <x:c r="T123" s="12" t="str">
        <x:v>106</x:v>
      </x:c>
      <x:c r="U123" s="16" t="str">
        <x:v>1.0</x:v>
      </x:c>
      <x:c r="V123" s="18" t="str">
        <x:v>0.5186300873756409</x:v>
      </x:c>
      <x:c r="W123" s="18" t="str">
        <x:v>0.5655615627765656</x:v>
      </x:c>
      <x:c r="X123" s="18" t="str">
        <x:v>0.7006629109382629</x:v>
      </x:c>
      <x:c r="Y123" s="18" t="str">
        <x:v>0.7153262495994568</x:v>
      </x:c>
      <x:c r="Z123" s="18" t="str">
        <x:v>0.842513918876648</x:v>
      </x:c>
      <x:c r="AA123" s="18" t="str">
        <x:v>0.9264068603515625</x:v>
      </x:c>
      <x:c r="AB123" s="20" t="str">
        <x:v>99.21019999819691</x:v>
      </x:c>
      <x:c r="AC123" s="12" t="str">
        <x:v>overlays\fear_022.png</x:v>
      </x:c>
      <x:c r="AD123" s="12" t="str"/>
      <x:c r="AE123" s="12" t="str"/>
      <x:c r="AF123" s="12" t="str">
        <x:v>good</x:v>
      </x:c>
      <x:c r="AG123" s="12" t="n">
        <x:v>1</x:v>
      </x:c>
      <x:c r="AH123" s="12" t="str">
        <x:v>good</x:v>
      </x:c>
      <x:c r="AI123" s="12" t="str">
        <x:v>good</x:v>
      </x:c>
      <x:c r="AJ123" s="12" t="str">
        <x:v>good</x:v>
      </x:c>
      <x:c r="AK123" s="12" t="str">
        <x:v>not_applicable</x:v>
      </x:c>
      <x:c r="AL123" s="12" t="str">
        <x:v>none</x:v>
      </x:c>
      <x:c r="AM123" s="14" t="str">
        <x:v>Clear and well-aligned facial landmarks with no major pose, crop, or occlusion issue.</x:v>
      </x:c>
    </x:row>
    <x:row r="124" ht="30" customHeight="1">
      <x:c r="A124" s="12" t="str">
        <x:v>fear_023</x:v>
      </x:c>
      <x:c r="B124" s="12" t="str">
        <x:v>fear</x:v>
      </x:c>
      <x:c r="C124" s="14" t="str">
        <x:v>fear/Training_58538616.jpg</x:v>
      </x:c>
      <x:c r="D124" s="12" t="str">
        <x:v>203dc7c0bf18109d094c535f91e2e99ddbcd33b6ed1db5f5083d6f0f492ea69b</x:v>
      </x:c>
      <x:c r="E124" s="12" t="str">
        <x:v>203dc7c0bf18109d094c535f91e2e99ddbcd33b6ed1db5f5083d6f0f492ea69b</x:v>
      </x:c>
      <x:c r="F124" s="12" t="str">
        <x:v>True</x:v>
      </x:c>
      <x:c r="G124" s="12" t="str">
        <x:v>48</x:v>
      </x:c>
      <x:c r="H124" s="12" t="str">
        <x:v>48</x:v>
      </x:c>
      <x:c r="I124" s="12" t="str">
        <x:v>0.0</x:v>
      </x:c>
      <x:c r="J124" s="12" t="str">
        <x:v>0.0</x:v>
      </x:c>
      <x:c r="K124" s="12" t="str">
        <x:v>47.0</x:v>
      </x:c>
      <x:c r="L124" s="12" t="str">
        <x:v>47.0</x:v>
      </x:c>
      <x:c r="M124" s="12" t="str">
        <x:v>True</x:v>
      </x:c>
      <x:c r="N124" s="12" t="str">
        <x:v>106</x:v>
      </x:c>
      <x:c r="O124" s="12" t="str">
        <x:v>106</x:v>
      </x:c>
      <x:c r="P124" s="16" t="str">
        <x:v>1.0</x:v>
      </x:c>
      <x:c r="Q124" s="12" t="str">
        <x:v>103</x:v>
      </x:c>
      <x:c r="R124" s="16" t="str">
        <x:v>0.9716981132075472</x:v>
      </x:c>
      <x:c r="S124" s="12" t="str">
        <x:v>0.2</x:v>
      </x:c>
      <x:c r="T124" s="12" t="str">
        <x:v>106</x:v>
      </x:c>
      <x:c r="U124" s="16" t="str">
        <x:v>1.0</x:v>
      </x:c>
      <x:c r="V124" s="18" t="str">
        <x:v>0.49197736382484436</x:v>
      </x:c>
      <x:c r="W124" s="18" t="str">
        <x:v>0.629485160112381</x:v>
      </x:c>
      <x:c r="X124" s="18" t="str">
        <x:v>0.7648745179176331</x:v>
      </x:c>
      <x:c r="Y124" s="18" t="str">
        <x:v>0.7462374567985535</x:v>
      </x:c>
      <x:c r="Z124" s="18" t="str">
        <x:v>0.9366824924945831</x:v>
      </x:c>
      <x:c r="AA124" s="18" t="str">
        <x:v>1.055445671081543</x:v>
      </x:c>
      <x:c r="AB124" s="20" t="str">
        <x:v>110.73210000176914</x:v>
      </x:c>
      <x:c r="AC124" s="12" t="str">
        <x:v>overlays\fear_023.png</x:v>
      </x:c>
      <x:c r="AD124" s="12" t="str"/>
      <x:c r="AE124" s="12" t="str"/>
      <x:c r="AF124" s="12" t="str">
        <x:v>good</x:v>
      </x:c>
      <x:c r="AG124" s="12" t="n">
        <x:v>1</x:v>
      </x:c>
      <x:c r="AH124" s="12" t="str">
        <x:v>good</x:v>
      </x:c>
      <x:c r="AI124" s="12" t="str">
        <x:v>good</x:v>
      </x:c>
      <x:c r="AJ124" s="12" t="str">
        <x:v>good</x:v>
      </x:c>
      <x:c r="AK124" s="12" t="str">
        <x:v>not_applicable</x:v>
      </x:c>
      <x:c r="AL124" s="12" t="str">
        <x:v>none</x:v>
      </x:c>
      <x:c r="AM124" s="14" t="str">
        <x:v>Clear and well-aligned facial landmarks with no major pose, crop, or occlusion issue.</x:v>
      </x:c>
    </x:row>
    <x:row r="125" ht="30" customHeight="1">
      <x:c r="A125" s="12" t="str">
        <x:v>fear_024</x:v>
      </x:c>
      <x:c r="B125" s="12" t="str">
        <x:v>fear</x:v>
      </x:c>
      <x:c r="C125" s="14" t="str">
        <x:v>fear/Training_35738272.jpg</x:v>
      </x:c>
      <x:c r="D125" s="12" t="str">
        <x:v>0b484f6cf051d19f54b1d05be12c484915ef3dd031a0168f04ce9bddf8c60a38</x:v>
      </x:c>
      <x:c r="E125" s="12" t="str">
        <x:v>0b484f6cf051d19f54b1d05be12c484915ef3dd031a0168f04ce9bddf8c60a38</x:v>
      </x:c>
      <x:c r="F125" s="12" t="str">
        <x:v>True</x:v>
      </x:c>
      <x:c r="G125" s="12" t="str">
        <x:v>48</x:v>
      </x:c>
      <x:c r="H125" s="12" t="str">
        <x:v>48</x:v>
      </x:c>
      <x:c r="I125" s="12" t="str">
        <x:v>0.0</x:v>
      </x:c>
      <x:c r="J125" s="12" t="str">
        <x:v>0.0</x:v>
      </x:c>
      <x:c r="K125" s="12" t="str">
        <x:v>47.0</x:v>
      </x:c>
      <x:c r="L125" s="12" t="str">
        <x:v>47.0</x:v>
      </x:c>
      <x:c r="M125" s="12" t="str">
        <x:v>True</x:v>
      </x:c>
      <x:c r="N125" s="12" t="str">
        <x:v>106</x:v>
      </x:c>
      <x:c r="O125" s="12" t="str">
        <x:v>106</x:v>
      </x:c>
      <x:c r="P125" s="16" t="str">
        <x:v>1.0</x:v>
      </x:c>
      <x:c r="Q125" s="12" t="str">
        <x:v>86</x:v>
      </x:c>
      <x:c r="R125" s="16" t="str">
        <x:v>0.8113207547169812</x:v>
      </x:c>
      <x:c r="S125" s="12" t="str">
        <x:v>0.2</x:v>
      </x:c>
      <x:c r="T125" s="12" t="str">
        <x:v>106</x:v>
      </x:c>
      <x:c r="U125" s="16" t="str">
        <x:v>1.0</x:v>
      </x:c>
      <x:c r="V125" s="18" t="str">
        <x:v>0.22298772633075714</x:v>
      </x:c>
      <x:c r="W125" s="18" t="str">
        <x:v>0.3574895113706589</x:v>
      </x:c>
      <x:c r="X125" s="18" t="str">
        <x:v>0.5844311714172363</x:v>
      </x:c>
      <x:c r="Y125" s="18" t="str">
        <x:v>0.5349231958389282</x:v>
      </x:c>
      <x:c r="Z125" s="18" t="str">
        <x:v>0.8710549473762512</x:v>
      </x:c>
      <x:c r="AA125" s="18" t="str">
        <x:v>0.9260534048080444</x:v>
      </x:c>
      <x:c r="AB125" s="20" t="str">
        <x:v>110.52209999979823</x:v>
      </x:c>
      <x:c r="AC125" s="12" t="str">
        <x:v>overlays\fear_024.png</x:v>
      </x:c>
      <x:c r="AD125" s="12" t="str"/>
      <x:c r="AE125" s="12" t="str"/>
      <x:c r="AF125" s="12" t="str">
        <x:v>acceptable</x:v>
      </x:c>
      <x:c r="AG125" s="12" t="n">
        <x:v>1</x:v>
      </x:c>
      <x:c r="AH125" s="12" t="str">
        <x:v>acceptable</x:v>
      </x:c>
      <x:c r="AI125" s="12" t="str">
        <x:v>acceptable</x:v>
      </x:c>
      <x:c r="AJ125" s="12" t="str">
        <x:v>acceptable</x:v>
      </x:c>
      <x:c r="AK125" s="12" t="str">
        <x:v>acceptable</x:v>
      </x:c>
      <x:c r="AL125" s="12" t="str">
        <x:v>mild</x:v>
      </x:c>
      <x:c r="AM125" s="14" t="str">
        <x:v>Tight crop places several contour points outside the frame; central facial landmarks remain usable.</x:v>
      </x:c>
    </x:row>
    <x:row r="126" ht="30" customHeight="1">
      <x:c r="A126" s="12" t="str">
        <x:v>fear_025</x:v>
      </x:c>
      <x:c r="B126" s="12" t="str">
        <x:v>fear</x:v>
      </x:c>
      <x:c r="C126" s="14" t="str">
        <x:v>fear/Training_55220603.jpg</x:v>
      </x:c>
      <x:c r="D126" s="12" t="str">
        <x:v>6995555f2c03b4d152f0353a195d7f43f6f85aee2c539df25cbb2cd005fe7606</x:v>
      </x:c>
      <x:c r="E126" s="12" t="str">
        <x:v>6995555f2c03b4d152f0353a195d7f43f6f85aee2c539df25cbb2cd005fe7606</x:v>
      </x:c>
      <x:c r="F126" s="12" t="str">
        <x:v>True</x:v>
      </x:c>
      <x:c r="G126" s="12" t="str">
        <x:v>48</x:v>
      </x:c>
      <x:c r="H126" s="12" t="str">
        <x:v>48</x:v>
      </x:c>
      <x:c r="I126" s="12" t="str">
        <x:v>0.0</x:v>
      </x:c>
      <x:c r="J126" s="12" t="str">
        <x:v>0.0</x:v>
      </x:c>
      <x:c r="K126" s="12" t="str">
        <x:v>47.0</x:v>
      </x:c>
      <x:c r="L126" s="12" t="str">
        <x:v>47.0</x:v>
      </x:c>
      <x:c r="M126" s="12" t="str">
        <x:v>True</x:v>
      </x:c>
      <x:c r="N126" s="12" t="str">
        <x:v>106</x:v>
      </x:c>
      <x:c r="O126" s="12" t="str">
        <x:v>106</x:v>
      </x:c>
      <x:c r="P126" s="16" t="str">
        <x:v>1.0</x:v>
      </x:c>
      <x:c r="Q126" s="12" t="str">
        <x:v>102</x:v>
      </x:c>
      <x:c r="R126" s="16" t="str">
        <x:v>0.9622641509433962</x:v>
      </x:c>
      <x:c r="S126" s="12" t="str">
        <x:v>0.2</x:v>
      </x:c>
      <x:c r="T126" s="12" t="str">
        <x:v>106</x:v>
      </x:c>
      <x:c r="U126" s="16" t="str">
        <x:v>1.0</x:v>
      </x:c>
      <x:c r="V126" s="18" t="str">
        <x:v>0.40717625617980957</x:v>
      </x:c>
      <x:c r="W126" s="18" t="str">
        <x:v>0.5013977736234665</x:v>
      </x:c>
      <x:c r="X126" s="18" t="str">
        <x:v>0.6794259548187256</x:v>
      </x:c>
      <x:c r="Y126" s="18" t="str">
        <x:v>0.6633387207984924</x:v>
      </x:c>
      <x:c r="Z126" s="18" t="str">
        <x:v>0.8658658862113953</x:v>
      </x:c>
      <x:c r="AA126" s="18" t="str">
        <x:v>0.9255054593086243</x:v>
      </x:c>
      <x:c r="AB126" s="20" t="str">
        <x:v>104.28459999820916</x:v>
      </x:c>
      <x:c r="AC126" s="12" t="str">
        <x:v>overlays\fear_025.png</x:v>
      </x:c>
      <x:c r="AD126" s="12" t="str"/>
      <x:c r="AE126" s="12" t="str"/>
      <x:c r="AF126" s="12" t="str">
        <x:v>acceptable</x:v>
      </x:c>
      <x:c r="AG126" s="12" t="n">
        <x:v>1</x:v>
      </x:c>
      <x:c r="AH126" s="12" t="str">
        <x:v>acceptable</x:v>
      </x:c>
      <x:c r="AI126" s="12" t="str">
        <x:v>acceptable</x:v>
      </x:c>
      <x:c r="AJ126" s="12" t="str">
        <x:v>acceptable</x:v>
      </x:c>
      <x:c r="AK126" s="12" t="str">
        <x:v>not_applicable</x:v>
      </x:c>
      <x:c r="AL126" s="12" t="str">
        <x:v>mild</x:v>
      </x:c>
      <x:c r="AM126" s="14" t="str">
        <x:v>Large pose or profile; visible landmarks are useful, while hidden-side contour points are inferred.</x:v>
      </x:c>
    </x:row>
    <x:row r="127" ht="30" customHeight="1">
      <x:c r="A127" s="12" t="str">
        <x:v>fear_026</x:v>
      </x:c>
      <x:c r="B127" s="12" t="str">
        <x:v>fear</x:v>
      </x:c>
      <x:c r="C127" s="14" t="str">
        <x:v>fear/Training_58288049.jpg</x:v>
      </x:c>
      <x:c r="D127" s="12" t="str">
        <x:v>ae61f17fbd9351b666d4d3afdc70b9710fd3d558f4ff6efb2618d9d147352ae5</x:v>
      </x:c>
      <x:c r="E127" s="12" t="str">
        <x:v>ae61f17fbd9351b666d4d3afdc70b9710fd3d558f4ff6efb2618d9d147352ae5</x:v>
      </x:c>
      <x:c r="F127" s="12" t="str">
        <x:v>True</x:v>
      </x:c>
      <x:c r="G127" s="12" t="str">
        <x:v>48</x:v>
      </x:c>
      <x:c r="H127" s="12" t="str">
        <x:v>48</x:v>
      </x:c>
      <x:c r="I127" s="12" t="str">
        <x:v>0.0</x:v>
      </x:c>
      <x:c r="J127" s="12" t="str">
        <x:v>0.0</x:v>
      </x:c>
      <x:c r="K127" s="12" t="str">
        <x:v>47.0</x:v>
      </x:c>
      <x:c r="L127" s="12" t="str">
        <x:v>47.0</x:v>
      </x:c>
      <x:c r="M127" s="12" t="str">
        <x:v>True</x:v>
      </x:c>
      <x:c r="N127" s="12" t="str">
        <x:v>106</x:v>
      </x:c>
      <x:c r="O127" s="12" t="str">
        <x:v>106</x:v>
      </x:c>
      <x:c r="P127" s="16" t="str">
        <x:v>1.0</x:v>
      </x:c>
      <x:c r="Q127" s="12" t="str">
        <x:v>95</x:v>
      </x:c>
      <x:c r="R127" s="16" t="str">
        <x:v>0.8962264150943396</x:v>
      </x:c>
      <x:c r="S127" s="12" t="str">
        <x:v>0.2</x:v>
      </x:c>
      <x:c r="T127" s="12" t="str">
        <x:v>106</x:v>
      </x:c>
      <x:c r="U127" s="16" t="str">
        <x:v>1.0</x:v>
      </x:c>
      <x:c r="V127" s="18" t="str">
        <x:v>0.5031899213790894</x:v>
      </x:c>
      <x:c r="W127" s="18" t="str">
        <x:v>0.5707663595676422</x:v>
      </x:c>
      <x:c r="X127" s="18" t="str">
        <x:v>0.7352724075317383</x:v>
      </x:c>
      <x:c r="Y127" s="18" t="str">
        <x:v>0.7226413488388062</x:v>
      </x:c>
      <x:c r="Z127" s="18" t="str">
        <x:v>0.9136489033699036</x:v>
      </x:c>
      <x:c r="AA127" s="18" t="str">
        <x:v>0.9930723905563354</x:v>
      </x:c>
      <x:c r="AB127" s="20" t="str">
        <x:v>127.62319999819738</x:v>
      </x:c>
      <x:c r="AC127" s="12" t="str">
        <x:v>overlays\fear_026.png</x:v>
      </x:c>
      <x:c r="AD127" s="12" t="str"/>
      <x:c r="AE127" s="12" t="str"/>
      <x:c r="AF127" s="12" t="str">
        <x:v>acceptable</x:v>
      </x:c>
      <x:c r="AG127" s="12" t="n">
        <x:v>1</x:v>
      </x:c>
      <x:c r="AH127" s="12" t="str">
        <x:v>acceptable</x:v>
      </x:c>
      <x:c r="AI127" s="12" t="str">
        <x:v>acceptable</x:v>
      </x:c>
      <x:c r="AJ127" s="12" t="str">
        <x:v>acceptable</x:v>
      </x:c>
      <x:c r="AK127" s="12" t="str">
        <x:v>acceptable</x:v>
      </x:c>
      <x:c r="AL127" s="12" t="str">
        <x:v>mild</x:v>
      </x:c>
      <x:c r="AM127" s="14" t="str">
        <x:v>Large pose or profile; visible landmarks are useful, while hidden-side contour points are inferred.</x:v>
      </x:c>
    </x:row>
    <x:row r="128" ht="30" customHeight="1">
      <x:c r="A128" s="12" t="str">
        <x:v>fear_027</x:v>
      </x:c>
      <x:c r="B128" s="12" t="str">
        <x:v>fear</x:v>
      </x:c>
      <x:c r="C128" s="14" t="str">
        <x:v>fear/Training_87810830.jpg</x:v>
      </x:c>
      <x:c r="D128" s="12" t="str">
        <x:v>7ae1b4f9072c18fcddcb45a31ad33a57bae72e0a0cd41cd2880478ca725f6266</x:v>
      </x:c>
      <x:c r="E128" s="12" t="str">
        <x:v>7ae1b4f9072c18fcddcb45a31ad33a57bae72e0a0cd41cd2880478ca725f6266</x:v>
      </x:c>
      <x:c r="F128" s="12" t="str">
        <x:v>True</x:v>
      </x:c>
      <x:c r="G128" s="12" t="str">
        <x:v>48</x:v>
      </x:c>
      <x:c r="H128" s="12" t="str">
        <x:v>48</x:v>
      </x:c>
      <x:c r="I128" s="12" t="str">
        <x:v>0.0</x:v>
      </x:c>
      <x:c r="J128" s="12" t="str">
        <x:v>0.0</x:v>
      </x:c>
      <x:c r="K128" s="12" t="str">
        <x:v>47.0</x:v>
      </x:c>
      <x:c r="L128" s="12" t="str">
        <x:v>47.0</x:v>
      </x:c>
      <x:c r="M128" s="12" t="str">
        <x:v>True</x:v>
      </x:c>
      <x:c r="N128" s="12" t="str">
        <x:v>106</x:v>
      </x:c>
      <x:c r="O128" s="12" t="str">
        <x:v>106</x:v>
      </x:c>
      <x:c r="P128" s="16" t="str">
        <x:v>1.0</x:v>
      </x:c>
      <x:c r="Q128" s="12" t="str">
        <x:v>105</x:v>
      </x:c>
      <x:c r="R128" s="16" t="str">
        <x:v>0.9905660377358491</x:v>
      </x:c>
      <x:c r="S128" s="12" t="str">
        <x:v>0.2</x:v>
      </x:c>
      <x:c r="T128" s="12" t="str">
        <x:v>106</x:v>
      </x:c>
      <x:c r="U128" s="16" t="str">
        <x:v>1.0</x:v>
      </x:c>
      <x:c r="V128" s="18" t="str">
        <x:v>0.5544834733009338</x:v>
      </x:c>
      <x:c r="W128" s="18" t="str">
        <x:v>0.5896374583244324</x:v>
      </x:c>
      <x:c r="X128" s="18" t="str">
        <x:v>0.7159416675567627</x:v>
      </x:c>
      <x:c r="Y128" s="18" t="str">
        <x:v>0.7426181435585022</x:v>
      </x:c>
      <x:c r="Z128" s="18" t="str">
        <x:v>0.8084445595741272</x:v>
      </x:c>
      <x:c r="AA128" s="18" t="str">
        <x:v>0.8973058462142944</x:v>
      </x:c>
      <x:c r="AB128" s="20" t="str">
        <x:v>105.62600000048405</x:v>
      </x:c>
      <x:c r="AC128" s="12" t="str">
        <x:v>overlays\fear_027.png</x:v>
      </x:c>
      <x:c r="AD128" s="12" t="str"/>
      <x:c r="AE128" s="12" t="str"/>
      <x:c r="AF128" s="12" t="str">
        <x:v>acceptable</x:v>
      </x:c>
      <x:c r="AG128" s="12" t="n">
        <x:v>1</x:v>
      </x:c>
      <x:c r="AH128" s="12" t="str">
        <x:v>acceptable</x:v>
      </x:c>
      <x:c r="AI128" s="12" t="str">
        <x:v>acceptable</x:v>
      </x:c>
      <x:c r="AJ128" s="12" t="str">
        <x:v>acceptable</x:v>
      </x:c>
      <x:c r="AK128" s="12" t="str">
        <x:v>not_applicable</x:v>
      </x:c>
      <x:c r="AL128" s="12" t="str">
        <x:v>mild</x:v>
      </x:c>
      <x:c r="AM128" s="14" t="str">
        <x:v>Moderate pose, crop, or image degradation causes minor landmark uncertainty; the result remains usable.</x:v>
      </x:c>
    </x:row>
    <x:row r="129" ht="30" customHeight="1">
      <x:c r="A129" s="12" t="str">
        <x:v>fear_028</x:v>
      </x:c>
      <x:c r="B129" s="12" t="str">
        <x:v>fear</x:v>
      </x:c>
      <x:c r="C129" s="14" t="str">
        <x:v>fear/Training_82666560.jpg</x:v>
      </x:c>
      <x:c r="D129" s="12" t="str">
        <x:v>1ae1e3766fae7491b2f47d312fa6ce554cd464ec948557d6924074df3d3b83b1</x:v>
      </x:c>
      <x:c r="E129" s="12" t="str">
        <x:v>1ae1e3766fae7491b2f47d312fa6ce554cd464ec948557d6924074df3d3b83b1</x:v>
      </x:c>
      <x:c r="F129" s="12" t="str">
        <x:v>True</x:v>
      </x:c>
      <x:c r="G129" s="12" t="str">
        <x:v>48</x:v>
      </x:c>
      <x:c r="H129" s="12" t="str">
        <x:v>48</x:v>
      </x:c>
      <x:c r="I129" s="12" t="str">
        <x:v>0.0</x:v>
      </x:c>
      <x:c r="J129" s="12" t="str">
        <x:v>0.0</x:v>
      </x:c>
      <x:c r="K129" s="12" t="str">
        <x:v>47.0</x:v>
      </x:c>
      <x:c r="L129" s="12" t="str">
        <x:v>47.0</x:v>
      </x:c>
      <x:c r="M129" s="12" t="str">
        <x:v>True</x:v>
      </x:c>
      <x:c r="N129" s="12" t="str">
        <x:v>106</x:v>
      </x:c>
      <x:c r="O129" s="12" t="str">
        <x:v>106</x:v>
      </x:c>
      <x:c r="P129" s="16" t="str">
        <x:v>1.0</x:v>
      </x:c>
      <x:c r="Q129" s="12" t="str">
        <x:v>102</x:v>
      </x:c>
      <x:c r="R129" s="16" t="str">
        <x:v>0.9622641509433962</x:v>
      </x:c>
      <x:c r="S129" s="12" t="str">
        <x:v>0.2</x:v>
      </x:c>
      <x:c r="T129" s="12" t="str">
        <x:v>106</x:v>
      </x:c>
      <x:c r="U129" s="16" t="str">
        <x:v>1.0</x:v>
      </x:c>
      <x:c r="V129" s="18" t="str">
        <x:v>0.344432532787323</x:v>
      </x:c>
      <x:c r="W129" s="18" t="str">
        <x:v>0.4148269593715668</x:v>
      </x:c>
      <x:c r="X129" s="18" t="str">
        <x:v>0.5676298141479492</x:v>
      </x:c>
      <x:c r="Y129" s="18" t="str">
        <x:v>0.5450345873832703</x:v>
      </x:c>
      <x:c r="Z129" s="18" t="str">
        <x:v>0.7529594600200653</x:v>
      </x:c>
      <x:c r="AA129" s="18" t="str">
        <x:v>0.8237898349761963</x:v>
      </x:c>
      <x:c r="AB129" s="20" t="str">
        <x:v>100.67980000167154</x:v>
      </x:c>
      <x:c r="AC129" s="12" t="str">
        <x:v>overlays\fear_028.png</x:v>
      </x:c>
      <x:c r="AD129" s="12" t="str"/>
      <x:c r="AE129" s="12" t="str"/>
      <x:c r="AF129" s="12" t="str">
        <x:v>good</x:v>
      </x:c>
      <x:c r="AG129" s="12" t="n">
        <x:v>1</x:v>
      </x:c>
      <x:c r="AH129" s="12" t="str">
        <x:v>good</x:v>
      </x:c>
      <x:c r="AI129" s="12" t="str">
        <x:v>good</x:v>
      </x:c>
      <x:c r="AJ129" s="12" t="str">
        <x:v>good</x:v>
      </x:c>
      <x:c r="AK129" s="12" t="str">
        <x:v>not_applicable</x:v>
      </x:c>
      <x:c r="AL129" s="12" t="str">
        <x:v>none</x:v>
      </x:c>
      <x:c r="AM129" s="14" t="str">
        <x:v>Clear and well-aligned facial landmarks with no major pose, crop, or occlusion issue.</x:v>
      </x:c>
    </x:row>
    <x:row r="130" ht="30" customHeight="1">
      <x:c r="A130" s="12" t="str">
        <x:v>fear_029</x:v>
      </x:c>
      <x:c r="B130" s="12" t="str">
        <x:v>fear</x:v>
      </x:c>
      <x:c r="C130" s="14" t="str">
        <x:v>fear/Training_75623992.jpg</x:v>
      </x:c>
      <x:c r="D130" s="12" t="str">
        <x:v>c7446748c7f200a6fe225e45d6579b1908394268de5749ebd038cde87c73afc8</x:v>
      </x:c>
      <x:c r="E130" s="12" t="str">
        <x:v>c7446748c7f200a6fe225e45d6579b1908394268de5749ebd038cde87c73afc8</x:v>
      </x:c>
      <x:c r="F130" s="12" t="str">
        <x:v>True</x:v>
      </x:c>
      <x:c r="G130" s="12" t="str">
        <x:v>48</x:v>
      </x:c>
      <x:c r="H130" s="12" t="str">
        <x:v>48</x:v>
      </x:c>
      <x:c r="I130" s="12" t="str">
        <x:v>0.0</x:v>
      </x:c>
      <x:c r="J130" s="12" t="str">
        <x:v>0.0</x:v>
      </x:c>
      <x:c r="K130" s="12" t="str">
        <x:v>47.0</x:v>
      </x:c>
      <x:c r="L130" s="12" t="str">
        <x:v>47.0</x:v>
      </x:c>
      <x:c r="M130" s="12" t="str">
        <x:v>True</x:v>
      </x:c>
      <x:c r="N130" s="12" t="str">
        <x:v>106</x:v>
      </x:c>
      <x:c r="O130" s="12" t="str">
        <x:v>106</x:v>
      </x:c>
      <x:c r="P130" s="16" t="str">
        <x:v>1.0</x:v>
      </x:c>
      <x:c r="Q130" s="12" t="str">
        <x:v>83</x:v>
      </x:c>
      <x:c r="R130" s="16" t="str">
        <x:v>0.7830188679245284</x:v>
      </x:c>
      <x:c r="S130" s="12" t="str">
        <x:v>0.2</x:v>
      </x:c>
      <x:c r="T130" s="12" t="str">
        <x:v>106</x:v>
      </x:c>
      <x:c r="U130" s="16" t="str">
        <x:v>1.0</x:v>
      </x:c>
      <x:c r="V130" s="18" t="str">
        <x:v>0.47970300912857056</x:v>
      </x:c>
      <x:c r="W130" s="18" t="str">
        <x:v>0.5410668849945068</x:v>
      </x:c>
      <x:c r="X130" s="18" t="str">
        <x:v>0.6552717089653015</x:v>
      </x:c>
      <x:c r="Y130" s="18" t="str">
        <x:v>0.646052896976471</x:v>
      </x:c>
      <x:c r="Z130" s="18" t="str">
        <x:v>0.781842827796936</x:v>
      </x:c>
      <x:c r="AA130" s="18" t="str">
        <x:v>0.8442139625549316</x:v>
      </x:c>
      <x:c r="AB130" s="20" t="str">
        <x:v>109.76600000140024</x:v>
      </x:c>
      <x:c r="AC130" s="12" t="str">
        <x:v>overlays\fear_029.png</x:v>
      </x:c>
      <x:c r="AD130" s="12" t="str"/>
      <x:c r="AE130" s="12" t="str"/>
      <x:c r="AF130" s="12" t="str">
        <x:v>acceptable</x:v>
      </x:c>
      <x:c r="AG130" s="12" t="n">
        <x:v>1</x:v>
      </x:c>
      <x:c r="AH130" s="12" t="str">
        <x:v>acceptable</x:v>
      </x:c>
      <x:c r="AI130" s="12" t="str">
        <x:v>acceptable</x:v>
      </x:c>
      <x:c r="AJ130" s="12" t="str">
        <x:v>occluded</x:v>
      </x:c>
      <x:c r="AK130" s="12" t="str">
        <x:v>acceptable</x:v>
      </x:c>
      <x:c r="AL130" s="12" t="str">
        <x:v>mild</x:v>
      </x:c>
      <x:c r="AM130" s="14" t="str">
        <x:v>Occlusion affects part of the face; visible landmarks remain usable, but hidden points are inferred.</x:v>
      </x:c>
    </x:row>
    <x:row r="131" ht="30" customHeight="1">
      <x:c r="A131" s="12" t="str">
        <x:v>fear_030</x:v>
      </x:c>
      <x:c r="B131" s="12" t="str">
        <x:v>fear</x:v>
      </x:c>
      <x:c r="C131" s="14" t="str">
        <x:v>fear/Training_49932989.jpg</x:v>
      </x:c>
      <x:c r="D131" s="12" t="str">
        <x:v>439a02c55eea88f8a03f7d4fac15e15840e98a684b65a2b31da7e3dfa0ba5a19</x:v>
      </x:c>
      <x:c r="E131" s="12" t="str">
        <x:v>439a02c55eea88f8a03f7d4fac15e15840e98a684b65a2b31da7e3dfa0ba5a19</x:v>
      </x:c>
      <x:c r="F131" s="12" t="str">
        <x:v>True</x:v>
      </x:c>
      <x:c r="G131" s="12" t="str">
        <x:v>48</x:v>
      </x:c>
      <x:c r="H131" s="12" t="str">
        <x:v>48</x:v>
      </x:c>
      <x:c r="I131" s="12" t="str">
        <x:v>0.0</x:v>
      </x:c>
      <x:c r="J131" s="12" t="str">
        <x:v>0.0</x:v>
      </x:c>
      <x:c r="K131" s="12" t="str">
        <x:v>47.0</x:v>
      </x:c>
      <x:c r="L131" s="12" t="str">
        <x:v>47.0</x:v>
      </x:c>
      <x:c r="M131" s="12" t="str">
        <x:v>True</x:v>
      </x:c>
      <x:c r="N131" s="12" t="str">
        <x:v>106</x:v>
      </x:c>
      <x:c r="O131" s="12" t="str">
        <x:v>106</x:v>
      </x:c>
      <x:c r="P131" s="16" t="str">
        <x:v>1.0</x:v>
      </x:c>
      <x:c r="Q131" s="12" t="str">
        <x:v>81</x:v>
      </x:c>
      <x:c r="R131" s="16" t="str">
        <x:v>0.7641509433962265</x:v>
      </x:c>
      <x:c r="S131" s="12" t="str">
        <x:v>0.2</x:v>
      </x:c>
      <x:c r="T131" s="12" t="str">
        <x:v>106</x:v>
      </x:c>
      <x:c r="U131" s="16" t="str">
        <x:v>1.0</x:v>
      </x:c>
      <x:c r="V131" s="18" t="str">
        <x:v>0.3253534436225891</x:v>
      </x:c>
      <x:c r="W131" s="18" t="str">
        <x:v>0.46001410484313965</x:v>
      </x:c>
      <x:c r="X131" s="18" t="str">
        <x:v>0.6354114413261414</x:v>
      </x:c>
      <x:c r="Y131" s="18" t="str">
        <x:v>0.6662936210632324</x:v>
      </x:c>
      <x:c r="Z131" s="18" t="str">
        <x:v>0.7496885061264038</x:v>
      </x:c>
      <x:c r="AA131" s="18" t="str">
        <x:v>0.794391393661499</x:v>
      </x:c>
      <x:c r="AB131" s="20" t="str">
        <x:v>111.15380000046571</x:v>
      </x:c>
      <x:c r="AC131" s="12" t="str">
        <x:v>overlays\fear_030.png</x:v>
      </x:c>
      <x:c r="AD131" s="12" t="str"/>
      <x:c r="AE131" s="12" t="str"/>
      <x:c r="AF131" s="12" t="str">
        <x:v>acceptable</x:v>
      </x:c>
      <x:c r="AG131" s="12" t="n">
        <x:v>1</x:v>
      </x:c>
      <x:c r="AH131" s="12" t="str">
        <x:v>acceptable</x:v>
      </x:c>
      <x:c r="AI131" s="12" t="str">
        <x:v>acceptable</x:v>
      </x:c>
      <x:c r="AJ131" s="12" t="str">
        <x:v>acceptable</x:v>
      </x:c>
      <x:c r="AK131" s="12" t="str">
        <x:v>acceptable</x:v>
      </x:c>
      <x:c r="AL131" s="12" t="str">
        <x:v>mild</x:v>
      </x:c>
      <x:c r="AM131" s="14" t="str">
        <x:v>Large pose or profile; visible landmarks are useful, while hidden-side contour points are inferred.</x:v>
      </x:c>
    </x:row>
    <x:row r="132" ht="30" customHeight="1">
      <x:c r="A132" s="12" t="str">
        <x:v>fear_031</x:v>
      </x:c>
      <x:c r="B132" s="12" t="str">
        <x:v>fear</x:v>
      </x:c>
      <x:c r="C132" s="14" t="str">
        <x:v>fear/Training_35629553.jpg</x:v>
      </x:c>
      <x:c r="D132" s="12" t="str">
        <x:v>41f63800608efa9f955e1c80a6582cdb5031866816945a9758fbb3b71fb7405b</x:v>
      </x:c>
      <x:c r="E132" s="12" t="str">
        <x:v>41f63800608efa9f955e1c80a6582cdb5031866816945a9758fbb3b71fb7405b</x:v>
      </x:c>
      <x:c r="F132" s="12" t="str">
        <x:v>True</x:v>
      </x:c>
      <x:c r="G132" s="12" t="str">
        <x:v>48</x:v>
      </x:c>
      <x:c r="H132" s="12" t="str">
        <x:v>48</x:v>
      </x:c>
      <x:c r="I132" s="12" t="str">
        <x:v>0.0</x:v>
      </x:c>
      <x:c r="J132" s="12" t="str">
        <x:v>0.0</x:v>
      </x:c>
      <x:c r="K132" s="12" t="str">
        <x:v>47.0</x:v>
      </x:c>
      <x:c r="L132" s="12" t="str">
        <x:v>47.0</x:v>
      </x:c>
      <x:c r="M132" s="12" t="str">
        <x:v>True</x:v>
      </x:c>
      <x:c r="N132" s="12" t="str">
        <x:v>106</x:v>
      </x:c>
      <x:c r="O132" s="12" t="str">
        <x:v>106</x:v>
      </x:c>
      <x:c r="P132" s="16" t="str">
        <x:v>1.0</x:v>
      </x:c>
      <x:c r="Q132" s="12" t="str">
        <x:v>106</x:v>
      </x:c>
      <x:c r="R132" s="16" t="str">
        <x:v>1.0</x:v>
      </x:c>
      <x:c r="S132" s="12" t="str">
        <x:v>0.2</x:v>
      </x:c>
      <x:c r="T132" s="12" t="str">
        <x:v>106</x:v>
      </x:c>
      <x:c r="U132" s="16" t="str">
        <x:v>1.0</x:v>
      </x:c>
      <x:c r="V132" s="18" t="str">
        <x:v>0.4461219906806946</x:v>
      </x:c>
      <x:c r="W132" s="18" t="str">
        <x:v>0.5371789038181305</x:v>
      </x:c>
      <x:c r="X132" s="18" t="str">
        <x:v>0.6883358955383301</x:v>
      </x:c>
      <x:c r="Y132" s="18" t="str">
        <x:v>0.6952409744262695</x:v>
      </x:c>
      <x:c r="Z132" s="18" t="str">
        <x:v>0.8726800680160522</x:v>
      </x:c>
      <x:c r="AA132" s="18" t="str">
        <x:v>0.9457964897155762</x:v>
      </x:c>
      <x:c r="AB132" s="20" t="str">
        <x:v>101.02959999858285</x:v>
      </x:c>
      <x:c r="AC132" s="12" t="str">
        <x:v>overlays\fear_031.png</x:v>
      </x:c>
      <x:c r="AD132" s="12" t="str"/>
      <x:c r="AE132" s="12" t="str"/>
      <x:c r="AF132" s="12" t="str">
        <x:v>good</x:v>
      </x:c>
      <x:c r="AG132" s="12" t="n">
        <x:v>1</x:v>
      </x:c>
      <x:c r="AH132" s="12" t="str">
        <x:v>good</x:v>
      </x:c>
      <x:c r="AI132" s="12" t="str">
        <x:v>good</x:v>
      </x:c>
      <x:c r="AJ132" s="12" t="str">
        <x:v>good</x:v>
      </x:c>
      <x:c r="AK132" s="12" t="str">
        <x:v>not_applicable</x:v>
      </x:c>
      <x:c r="AL132" s="12" t="str">
        <x:v>none</x:v>
      </x:c>
      <x:c r="AM132" s="14" t="str">
        <x:v>Clear and well-aligned facial landmarks with no major pose, crop, or occlusion issue.</x:v>
      </x:c>
    </x:row>
    <x:row r="133" ht="30" customHeight="1">
      <x:c r="A133" s="12" t="str">
        <x:v>fear_032</x:v>
      </x:c>
      <x:c r="B133" s="12" t="str">
        <x:v>fear</x:v>
      </x:c>
      <x:c r="C133" s="14" t="str">
        <x:v>fear/Training_99049934.jpg</x:v>
      </x:c>
      <x:c r="D133" s="12" t="str">
        <x:v>21f9cd49e4629588610ff55254f59feeac0f052767977b9227e56fa07d65dc53</x:v>
      </x:c>
      <x:c r="E133" s="12" t="str">
        <x:v>21f9cd49e4629588610ff55254f59feeac0f052767977b9227e56fa07d65dc53</x:v>
      </x:c>
      <x:c r="F133" s="12" t="str">
        <x:v>True</x:v>
      </x:c>
      <x:c r="G133" s="12" t="str">
        <x:v>48</x:v>
      </x:c>
      <x:c r="H133" s="12" t="str">
        <x:v>48</x:v>
      </x:c>
      <x:c r="I133" s="12" t="str">
        <x:v>0.0</x:v>
      </x:c>
      <x:c r="J133" s="12" t="str">
        <x:v>0.0</x:v>
      </x:c>
      <x:c r="K133" s="12" t="str">
        <x:v>47.0</x:v>
      </x:c>
      <x:c r="L133" s="12" t="str">
        <x:v>47.0</x:v>
      </x:c>
      <x:c r="M133" s="12" t="str">
        <x:v>True</x:v>
      </x:c>
      <x:c r="N133" s="12" t="str">
        <x:v>106</x:v>
      </x:c>
      <x:c r="O133" s="12" t="str">
        <x:v>106</x:v>
      </x:c>
      <x:c r="P133" s="16" t="str">
        <x:v>1.0</x:v>
      </x:c>
      <x:c r="Q133" s="12" t="str">
        <x:v>100</x:v>
      </x:c>
      <x:c r="R133" s="16" t="str">
        <x:v>0.9433962264150944</x:v>
      </x:c>
      <x:c r="S133" s="12" t="str">
        <x:v>0.2</x:v>
      </x:c>
      <x:c r="T133" s="12" t="str">
        <x:v>106</x:v>
      </x:c>
      <x:c r="U133" s="16" t="str">
        <x:v>1.0</x:v>
      </x:c>
      <x:c r="V133" s="18" t="str">
        <x:v>0.4502840042114258</x:v>
      </x:c>
      <x:c r="W133" s="18" t="str">
        <x:v>0.5090753138065338</x:v>
      </x:c>
      <x:c r="X133" s="18" t="str">
        <x:v>0.6315832138061523</x:v>
      </x:c>
      <x:c r="Y133" s="18" t="str">
        <x:v>0.6136106252670288</x:v>
      </x:c>
      <x:c r="Z133" s="18" t="str">
        <x:v>0.7924127876758575</x:v>
      </x:c>
      <x:c r="AA133" s="18" t="str">
        <x:v>0.8859267234802246</x:v>
      </x:c>
      <x:c r="AB133" s="20" t="str">
        <x:v>103.6430999993172</x:v>
      </x:c>
      <x:c r="AC133" s="12" t="str">
        <x:v>overlays\fear_032.png</x:v>
      </x:c>
      <x:c r="AD133" s="12" t="str"/>
      <x:c r="AE133" s="12" t="str"/>
      <x:c r="AF133" s="12" t="str">
        <x:v>good</x:v>
      </x:c>
      <x:c r="AG133" s="12" t="n">
        <x:v>1</x:v>
      </x:c>
      <x:c r="AH133" s="12" t="str">
        <x:v>good</x:v>
      </x:c>
      <x:c r="AI133" s="12" t="str">
        <x:v>good</x:v>
      </x:c>
      <x:c r="AJ133" s="12" t="str">
        <x:v>good</x:v>
      </x:c>
      <x:c r="AK133" s="12" t="str">
        <x:v>not_applicable</x:v>
      </x:c>
      <x:c r="AL133" s="12" t="str">
        <x:v>none</x:v>
      </x:c>
      <x:c r="AM133" s="14" t="str">
        <x:v>Clear and well-aligned facial landmarks with no major pose, crop, or occlusion issue.</x:v>
      </x:c>
    </x:row>
    <x:row r="134" ht="30" customHeight="1">
      <x:c r="A134" s="12" t="str">
        <x:v>fear_033</x:v>
      </x:c>
      <x:c r="B134" s="12" t="str">
        <x:v>fear</x:v>
      </x:c>
      <x:c r="C134" s="14" t="str">
        <x:v>fear/Training_2717064.jpg</x:v>
      </x:c>
      <x:c r="D134" s="12" t="str">
        <x:v>e0a94f7e9130d25e977dca46898cbc0f9c8ea82db357ad09987c2b9e8ee1c16c</x:v>
      </x:c>
      <x:c r="E134" s="12" t="str">
        <x:v>e0a94f7e9130d25e977dca46898cbc0f9c8ea82db357ad09987c2b9e8ee1c16c</x:v>
      </x:c>
      <x:c r="F134" s="12" t="str">
        <x:v>True</x:v>
      </x:c>
      <x:c r="G134" s="12" t="str">
        <x:v>48</x:v>
      </x:c>
      <x:c r="H134" s="12" t="str">
        <x:v>48</x:v>
      </x:c>
      <x:c r="I134" s="12" t="str">
        <x:v>0.0</x:v>
      </x:c>
      <x:c r="J134" s="12" t="str">
        <x:v>0.0</x:v>
      </x:c>
      <x:c r="K134" s="12" t="str">
        <x:v>47.0</x:v>
      </x:c>
      <x:c r="L134" s="12" t="str">
        <x:v>47.0</x:v>
      </x:c>
      <x:c r="M134" s="12" t="str">
        <x:v>True</x:v>
      </x:c>
      <x:c r="N134" s="12" t="str">
        <x:v>106</x:v>
      </x:c>
      <x:c r="O134" s="12" t="str">
        <x:v>106</x:v>
      </x:c>
      <x:c r="P134" s="16" t="str">
        <x:v>1.0</x:v>
      </x:c>
      <x:c r="Q134" s="12" t="str">
        <x:v>98</x:v>
      </x:c>
      <x:c r="R134" s="16" t="str">
        <x:v>0.9245283018867925</x:v>
      </x:c>
      <x:c r="S134" s="12" t="str">
        <x:v>0.2</x:v>
      </x:c>
      <x:c r="T134" s="12" t="str">
        <x:v>106</x:v>
      </x:c>
      <x:c r="U134" s="16" t="str">
        <x:v>1.0</x:v>
      </x:c>
      <x:c r="V134" s="18" t="str">
        <x:v>0.2955254316329956</x:v>
      </x:c>
      <x:c r="W134" s="18" t="str">
        <x:v>0.4205695539712906</x:v>
      </x:c>
      <x:c r="X134" s="18" t="str">
        <x:v>0.6134371757507324</x:v>
      </x:c>
      <x:c r="Y134" s="18" t="str">
        <x:v>0.5874626636505127</x:v>
      </x:c>
      <x:c r="Z134" s="18" t="str">
        <x:v>0.8702346086502075</x:v>
      </x:c>
      <x:c r="AA134" s="18" t="str">
        <x:v>0.9599868059158325</x:v>
      </x:c>
      <x:c r="AB134" s="20" t="str">
        <x:v>100.87239999847952</x:v>
      </x:c>
      <x:c r="AC134" s="12" t="str">
        <x:v>overlays\fear_033.png</x:v>
      </x:c>
      <x:c r="AD134" s="12" t="str"/>
      <x:c r="AE134" s="12" t="str"/>
      <x:c r="AF134" s="12" t="str">
        <x:v>acceptable</x:v>
      </x:c>
      <x:c r="AG134" s="12" t="n">
        <x:v>1</x:v>
      </x:c>
      <x:c r="AH134" s="12" t="str">
        <x:v>acceptable</x:v>
      </x:c>
      <x:c r="AI134" s="12" t="str">
        <x:v>acceptable</x:v>
      </x:c>
      <x:c r="AJ134" s="12" t="str">
        <x:v>occluded</x:v>
      </x:c>
      <x:c r="AK134" s="12" t="str">
        <x:v>acceptable</x:v>
      </x:c>
      <x:c r="AL134" s="12" t="str">
        <x:v>mild</x:v>
      </x:c>
      <x:c r="AM134" s="14" t="str">
        <x:v>Occlusion affects part of the face; visible landmarks remain usable, but hidden points are inferred.</x:v>
      </x:c>
    </x:row>
    <x:row r="135" ht="30" customHeight="1">
      <x:c r="A135" s="12" t="str">
        <x:v>fear_034</x:v>
      </x:c>
      <x:c r="B135" s="12" t="str">
        <x:v>fear</x:v>
      </x:c>
      <x:c r="C135" s="14" t="str">
        <x:v>fear/Training_19175584.jpg</x:v>
      </x:c>
      <x:c r="D135" s="12" t="str">
        <x:v>683929a4412dd7ce02666cf295dfcc3200a5aed9f21ad055168f27da98a84e85</x:v>
      </x:c>
      <x:c r="E135" s="12" t="str">
        <x:v>683929a4412dd7ce02666cf295dfcc3200a5aed9f21ad055168f27da98a84e85</x:v>
      </x:c>
      <x:c r="F135" s="12" t="str">
        <x:v>True</x:v>
      </x:c>
      <x:c r="G135" s="12" t="str">
        <x:v>48</x:v>
      </x:c>
      <x:c r="H135" s="12" t="str">
        <x:v>48</x:v>
      </x:c>
      <x:c r="I135" s="12" t="str">
        <x:v>0.0</x:v>
      </x:c>
      <x:c r="J135" s="12" t="str">
        <x:v>0.0</x:v>
      </x:c>
      <x:c r="K135" s="12" t="str">
        <x:v>47.0</x:v>
      </x:c>
      <x:c r="L135" s="12" t="str">
        <x:v>47.0</x:v>
      </x:c>
      <x:c r="M135" s="12" t="str">
        <x:v>True</x:v>
      </x:c>
      <x:c r="N135" s="12" t="str">
        <x:v>106</x:v>
      </x:c>
      <x:c r="O135" s="12" t="str">
        <x:v>106</x:v>
      </x:c>
      <x:c r="P135" s="16" t="str">
        <x:v>1.0</x:v>
      </x:c>
      <x:c r="Q135" s="12" t="str">
        <x:v>104</x:v>
      </x:c>
      <x:c r="R135" s="16" t="str">
        <x:v>0.9811320754716981</x:v>
      </x:c>
      <x:c r="S135" s="12" t="str">
        <x:v>0.2</x:v>
      </x:c>
      <x:c r="T135" s="12" t="str">
        <x:v>104</x:v>
      </x:c>
      <x:c r="U135" s="16" t="str">
        <x:v>0.9811320754716981</x:v>
      </x:c>
      <x:c r="V135" s="18" t="str">
        <x:v>0.183897003531456</x:v>
      </x:c>
      <x:c r="W135" s="18" t="str">
        <x:v>0.34440404176712036</x:v>
      </x:c>
      <x:c r="X135" s="18" t="str">
        <x:v>0.448608934879303</x:v>
      </x:c>
      <x:c r="Y135" s="18" t="str">
        <x:v>0.4480608105659485</x:v>
      </x:c>
      <x:c r="Z135" s="18" t="str">
        <x:v>0.5618597865104675</x:v>
      </x:c>
      <x:c r="AA135" s="18" t="str">
        <x:v>0.6344050168991089</x:v>
      </x:c>
      <x:c r="AB135" s="20" t="str">
        <x:v>108.42559999946388</x:v>
      </x:c>
      <x:c r="AC135" s="12" t="str">
        <x:v>overlays\fear_034.png</x:v>
      </x:c>
      <x:c r="AD135" s="12" t="str"/>
      <x:c r="AE135" s="12" t="str"/>
      <x:c r="AF135" s="12" t="str">
        <x:v>acceptable</x:v>
      </x:c>
      <x:c r="AG135" s="12" t="n">
        <x:v>1</x:v>
      </x:c>
      <x:c r="AH135" s="12" t="str">
        <x:v>acceptable</x:v>
      </x:c>
      <x:c r="AI135" s="12" t="str">
        <x:v>acceptable</x:v>
      </x:c>
      <x:c r="AJ135" s="12" t="str">
        <x:v>acceptable</x:v>
      </x:c>
      <x:c r="AK135" s="12" t="str">
        <x:v>not_applicable</x:v>
      </x:c>
      <x:c r="AL135" s="12" t="str">
        <x:v>mild</x:v>
      </x:c>
      <x:c r="AM135" s="14" t="str">
        <x:v>Blur, low contrast, or unusual appearance lowers confidence, but the landmark geometry remains usable.</x:v>
      </x:c>
    </x:row>
    <x:row r="136" ht="30" customHeight="1">
      <x:c r="A136" s="12" t="str">
        <x:v>fear_035</x:v>
      </x:c>
      <x:c r="B136" s="12" t="str">
        <x:v>fear</x:v>
      </x:c>
      <x:c r="C136" s="14" t="str">
        <x:v>fear/Training_30471858.jpg</x:v>
      </x:c>
      <x:c r="D136" s="12" t="str">
        <x:v>f5568cd9ad79989d060efcedfa2e017376ba224052cbf75e603a48dba3cfd5aa</x:v>
      </x:c>
      <x:c r="E136" s="12" t="str">
        <x:v>f5568cd9ad79989d060efcedfa2e017376ba224052cbf75e603a48dba3cfd5aa</x:v>
      </x:c>
      <x:c r="F136" s="12" t="str">
        <x:v>True</x:v>
      </x:c>
      <x:c r="G136" s="12" t="str">
        <x:v>48</x:v>
      </x:c>
      <x:c r="H136" s="12" t="str">
        <x:v>48</x:v>
      </x:c>
      <x:c r="I136" s="12" t="str">
        <x:v>0.0</x:v>
      </x:c>
      <x:c r="J136" s="12" t="str">
        <x:v>0.0</x:v>
      </x:c>
      <x:c r="K136" s="12" t="str">
        <x:v>47.0</x:v>
      </x:c>
      <x:c r="L136" s="12" t="str">
        <x:v>47.0</x:v>
      </x:c>
      <x:c r="M136" s="12" t="str">
        <x:v>True</x:v>
      </x:c>
      <x:c r="N136" s="12" t="str">
        <x:v>106</x:v>
      </x:c>
      <x:c r="O136" s="12" t="str">
        <x:v>106</x:v>
      </x:c>
      <x:c r="P136" s="16" t="str">
        <x:v>1.0</x:v>
      </x:c>
      <x:c r="Q136" s="12" t="str">
        <x:v>90</x:v>
      </x:c>
      <x:c r="R136" s="16" t="str">
        <x:v>0.8490566037735849</x:v>
      </x:c>
      <x:c r="S136" s="12" t="str">
        <x:v>0.2</x:v>
      </x:c>
      <x:c r="T136" s="12" t="str">
        <x:v>106</x:v>
      </x:c>
      <x:c r="U136" s="16" t="str">
        <x:v>1.0</x:v>
      </x:c>
      <x:c r="V136" s="18" t="str">
        <x:v>0.4340021014213562</x:v>
      </x:c>
      <x:c r="W136" s="18" t="str">
        <x:v>0.4707140773534775</x:v>
      </x:c>
      <x:c r="X136" s="18" t="str">
        <x:v>0.5912817716598511</x:v>
      </x:c>
      <x:c r="Y136" s="18" t="str">
        <x:v>0.5912154912948608</x:v>
      </x:c>
      <x:c r="Z136" s="18" t="str">
        <x:v>0.7219074666500092</x:v>
      </x:c>
      <x:c r="AA136" s="18" t="str">
        <x:v>0.8126156330108643</x:v>
      </x:c>
      <x:c r="AB136" s="20" t="str">
        <x:v>107.70989999946323</x:v>
      </x:c>
      <x:c r="AC136" s="12" t="str">
        <x:v>overlays\fear_035.png</x:v>
      </x:c>
      <x:c r="AD136" s="12" t="str"/>
      <x:c r="AE136" s="12" t="str"/>
      <x:c r="AF136" s="12" t="str">
        <x:v>acceptable</x:v>
      </x:c>
      <x:c r="AG136" s="12" t="n">
        <x:v>1</x:v>
      </x:c>
      <x:c r="AH136" s="12" t="str">
        <x:v>acceptable</x:v>
      </x:c>
      <x:c r="AI136" s="12" t="str">
        <x:v>acceptable</x:v>
      </x:c>
      <x:c r="AJ136" s="12" t="str">
        <x:v>acceptable</x:v>
      </x:c>
      <x:c r="AK136" s="12" t="str">
        <x:v>acceptable</x:v>
      </x:c>
      <x:c r="AL136" s="12" t="str">
        <x:v>mild</x:v>
      </x:c>
      <x:c r="AM136" s="14" t="str">
        <x:v>Tight crop places several contour points outside the frame; central facial landmarks remain usable.</x:v>
      </x:c>
    </x:row>
    <x:row r="137" ht="30" customHeight="1">
      <x:c r="A137" s="12" t="str">
        <x:v>fear_036</x:v>
      </x:c>
      <x:c r="B137" s="12" t="str">
        <x:v>fear</x:v>
      </x:c>
      <x:c r="C137" s="14" t="str">
        <x:v>fear/Training_38408538.jpg</x:v>
      </x:c>
      <x:c r="D137" s="12" t="str">
        <x:v>08139a9cbfe329db47f9f05b67e84514219abe674631d52a5dd641e6bc1fae0d</x:v>
      </x:c>
      <x:c r="E137" s="12" t="str">
        <x:v>08139a9cbfe329db47f9f05b67e84514219abe674631d52a5dd641e6bc1fae0d</x:v>
      </x:c>
      <x:c r="F137" s="12" t="str">
        <x:v>True</x:v>
      </x:c>
      <x:c r="G137" s="12" t="str">
        <x:v>48</x:v>
      </x:c>
      <x:c r="H137" s="12" t="str">
        <x:v>48</x:v>
      </x:c>
      <x:c r="I137" s="12" t="str">
        <x:v>0.0</x:v>
      </x:c>
      <x:c r="J137" s="12" t="str">
        <x:v>0.0</x:v>
      </x:c>
      <x:c r="K137" s="12" t="str">
        <x:v>47.0</x:v>
      </x:c>
      <x:c r="L137" s="12" t="str">
        <x:v>47.0</x:v>
      </x:c>
      <x:c r="M137" s="12" t="str">
        <x:v>True</x:v>
      </x:c>
      <x:c r="N137" s="12" t="str">
        <x:v>106</x:v>
      </x:c>
      <x:c r="O137" s="12" t="str">
        <x:v>106</x:v>
      </x:c>
      <x:c r="P137" s="16" t="str">
        <x:v>1.0</x:v>
      </x:c>
      <x:c r="Q137" s="12" t="str">
        <x:v>88</x:v>
      </x:c>
      <x:c r="R137" s="16" t="str">
        <x:v>0.8301886792452831</x:v>
      </x:c>
      <x:c r="S137" s="12" t="str">
        <x:v>0.2</x:v>
      </x:c>
      <x:c r="T137" s="12" t="str">
        <x:v>106</x:v>
      </x:c>
      <x:c r="U137" s="16" t="str">
        <x:v>1.0</x:v>
      </x:c>
      <x:c r="V137" s="18" t="str">
        <x:v>0.4958101511001587</x:v>
      </x:c>
      <x:c r="W137" s="18" t="str">
        <x:v>0.5562213063240051</x:v>
      </x:c>
      <x:c r="X137" s="18" t="str">
        <x:v>0.7011090517044067</x:v>
      </x:c>
      <x:c r="Y137" s="18" t="str">
        <x:v>0.7045250535011292</x:v>
      </x:c>
      <x:c r="Z137" s="18" t="str">
        <x:v>0.8342748880386353</x:v>
      </x:c>
      <x:c r="AA137" s="18" t="str">
        <x:v>0.9735788106918335</x:v>
      </x:c>
      <x:c r="AB137" s="20" t="str">
        <x:v>107.88529999990715</x:v>
      </x:c>
      <x:c r="AC137" s="12" t="str">
        <x:v>overlays\fear_036.png</x:v>
      </x:c>
      <x:c r="AD137" s="12" t="str"/>
      <x:c r="AE137" s="12" t="str"/>
      <x:c r="AF137" s="12" t="str">
        <x:v>acceptable</x:v>
      </x:c>
      <x:c r="AG137" s="12" t="n">
        <x:v>1</x:v>
      </x:c>
      <x:c r="AH137" s="12" t="str">
        <x:v>acceptable</x:v>
      </x:c>
      <x:c r="AI137" s="12" t="str">
        <x:v>acceptable</x:v>
      </x:c>
      <x:c r="AJ137" s="12" t="str">
        <x:v>acceptable</x:v>
      </x:c>
      <x:c r="AK137" s="12" t="str">
        <x:v>not_applicable</x:v>
      </x:c>
      <x:c r="AL137" s="12" t="str">
        <x:v>mild</x:v>
      </x:c>
      <x:c r="AM137" s="14" t="str">
        <x:v>Tight crop places several contour points outside the frame; central facial landmarks remain usable.</x:v>
      </x:c>
    </x:row>
    <x:row r="138" ht="30" customHeight="1">
      <x:c r="A138" s="12" t="str">
        <x:v>fear_037</x:v>
      </x:c>
      <x:c r="B138" s="12" t="str">
        <x:v>fear</x:v>
      </x:c>
      <x:c r="C138" s="14" t="str">
        <x:v>fear/Training_39754546.jpg</x:v>
      </x:c>
      <x:c r="D138" s="12" t="str">
        <x:v>b148a3938c5a3e186a5131d00bee15401fcb0e7c979d2baef967af26665f7653</x:v>
      </x:c>
      <x:c r="E138" s="12" t="str">
        <x:v>b148a3938c5a3e186a5131d00bee15401fcb0e7c979d2baef967af26665f7653</x:v>
      </x:c>
      <x:c r="F138" s="12" t="str">
        <x:v>True</x:v>
      </x:c>
      <x:c r="G138" s="12" t="str">
        <x:v>48</x:v>
      </x:c>
      <x:c r="H138" s="12" t="str">
        <x:v>48</x:v>
      </x:c>
      <x:c r="I138" s="12" t="str">
        <x:v>0.0</x:v>
      </x:c>
      <x:c r="J138" s="12" t="str">
        <x:v>0.0</x:v>
      </x:c>
      <x:c r="K138" s="12" t="str">
        <x:v>47.0</x:v>
      </x:c>
      <x:c r="L138" s="12" t="str">
        <x:v>47.0</x:v>
      </x:c>
      <x:c r="M138" s="12" t="str">
        <x:v>True</x:v>
      </x:c>
      <x:c r="N138" s="12" t="str">
        <x:v>106</x:v>
      </x:c>
      <x:c r="O138" s="12" t="str">
        <x:v>106</x:v>
      </x:c>
      <x:c r="P138" s="16" t="str">
        <x:v>1.0</x:v>
      </x:c>
      <x:c r="Q138" s="12" t="str">
        <x:v>104</x:v>
      </x:c>
      <x:c r="R138" s="16" t="str">
        <x:v>0.9811320754716981</x:v>
      </x:c>
      <x:c r="S138" s="12" t="str">
        <x:v>0.2</x:v>
      </x:c>
      <x:c r="T138" s="12" t="str">
        <x:v>106</x:v>
      </x:c>
      <x:c r="U138" s="16" t="str">
        <x:v>1.0</x:v>
      </x:c>
      <x:c r="V138" s="18" t="str">
        <x:v>0.5631906986236572</x:v>
      </x:c>
      <x:c r="W138" s="18" t="str">
        <x:v>0.6026878356933594</x:v>
      </x:c>
      <x:c r="X138" s="18" t="str">
        <x:v>0.7435428500175476</x:v>
      </x:c>
      <x:c r="Y138" s="18" t="str">
        <x:v>0.7317759990692139</x:v>
      </x:c>
      <x:c r="Z138" s="18" t="str">
        <x:v>0.8868311643600464</x:v>
      </x:c>
      <x:c r="AA138" s="18" t="str">
        <x:v>1.0167546272277832</x:v>
      </x:c>
      <x:c r="AB138" s="20" t="str">
        <x:v>109.58409999875585</x:v>
      </x:c>
      <x:c r="AC138" s="12" t="str">
        <x:v>overlays\fear_037.png</x:v>
      </x:c>
      <x:c r="AD138" s="12" t="str"/>
      <x:c r="AE138" s="12" t="str"/>
      <x:c r="AF138" s="12" t="str">
        <x:v>good</x:v>
      </x:c>
      <x:c r="AG138" s="12" t="n">
        <x:v>1</x:v>
      </x:c>
      <x:c r="AH138" s="12" t="str">
        <x:v>good</x:v>
      </x:c>
      <x:c r="AI138" s="12" t="str">
        <x:v>good</x:v>
      </x:c>
      <x:c r="AJ138" s="12" t="str">
        <x:v>good</x:v>
      </x:c>
      <x:c r="AK138" s="12" t="str">
        <x:v>not_applicable</x:v>
      </x:c>
      <x:c r="AL138" s="12" t="str">
        <x:v>none</x:v>
      </x:c>
      <x:c r="AM138" s="14" t="str">
        <x:v>Clear and well-aligned facial landmarks with no major pose, crop, or occlusion issue.</x:v>
      </x:c>
    </x:row>
    <x:row r="139" ht="30" customHeight="1">
      <x:c r="A139" s="12" t="str">
        <x:v>fear_038</x:v>
      </x:c>
      <x:c r="B139" s="12" t="str">
        <x:v>fear</x:v>
      </x:c>
      <x:c r="C139" s="14" t="str">
        <x:v>fear/Training_86553920.jpg</x:v>
      </x:c>
      <x:c r="D139" s="12" t="str">
        <x:v>effdc320fff4f493d5686c08fd7a868fe552e20a7121a137e13d2bb76b7b0558</x:v>
      </x:c>
      <x:c r="E139" s="12" t="str">
        <x:v>effdc320fff4f493d5686c08fd7a868fe552e20a7121a137e13d2bb76b7b0558</x:v>
      </x:c>
      <x:c r="F139" s="12" t="str">
        <x:v>True</x:v>
      </x:c>
      <x:c r="G139" s="12" t="str">
        <x:v>48</x:v>
      </x:c>
      <x:c r="H139" s="12" t="str">
        <x:v>48</x:v>
      </x:c>
      <x:c r="I139" s="12" t="str">
        <x:v>0.0</x:v>
      </x:c>
      <x:c r="J139" s="12" t="str">
        <x:v>0.0</x:v>
      </x:c>
      <x:c r="K139" s="12" t="str">
        <x:v>47.0</x:v>
      </x:c>
      <x:c r="L139" s="12" t="str">
        <x:v>47.0</x:v>
      </x:c>
      <x:c r="M139" s="12" t="str">
        <x:v>True</x:v>
      </x:c>
      <x:c r="N139" s="12" t="str">
        <x:v>106</x:v>
      </x:c>
      <x:c r="O139" s="12" t="str">
        <x:v>106</x:v>
      </x:c>
      <x:c r="P139" s="16" t="str">
        <x:v>1.0</x:v>
      </x:c>
      <x:c r="Q139" s="12" t="str">
        <x:v>104</x:v>
      </x:c>
      <x:c r="R139" s="16" t="str">
        <x:v>0.9811320754716981</x:v>
      </x:c>
      <x:c r="S139" s="12" t="str">
        <x:v>0.2</x:v>
      </x:c>
      <x:c r="T139" s="12" t="str">
        <x:v>106</x:v>
      </x:c>
      <x:c r="U139" s="16" t="str">
        <x:v>1.0</x:v>
      </x:c>
      <x:c r="V139" s="18" t="str">
        <x:v>0.44875162839889526</x:v>
      </x:c>
      <x:c r="W139" s="18" t="str">
        <x:v>0.5453216135501862</x:v>
      </x:c>
      <x:c r="X139" s="18" t="str">
        <x:v>0.6902388334274292</x:v>
      </x:c>
      <x:c r="Y139" s="18" t="str">
        <x:v>0.6796215176582336</x:v>
      </x:c>
      <x:c r="Z139" s="18" t="str">
        <x:v>0.9078036546707153</x:v>
      </x:c>
      <x:c r="AA139" s="18" t="str">
        <x:v>0.9849549531936646</x:v>
      </x:c>
      <x:c r="AB139" s="20" t="str">
        <x:v>121.49150000186637</x:v>
      </x:c>
      <x:c r="AC139" s="12" t="str">
        <x:v>overlays\fear_038.png</x:v>
      </x:c>
      <x:c r="AD139" s="12" t="str"/>
      <x:c r="AE139" s="12" t="str"/>
      <x:c r="AF139" s="12" t="str">
        <x:v>good</x:v>
      </x:c>
      <x:c r="AG139" s="12" t="n">
        <x:v>1</x:v>
      </x:c>
      <x:c r="AH139" s="12" t="str">
        <x:v>good</x:v>
      </x:c>
      <x:c r="AI139" s="12" t="str">
        <x:v>good</x:v>
      </x:c>
      <x:c r="AJ139" s="12" t="str">
        <x:v>good</x:v>
      </x:c>
      <x:c r="AK139" s="12" t="str">
        <x:v>not_applicable</x:v>
      </x:c>
      <x:c r="AL139" s="12" t="str">
        <x:v>none</x:v>
      </x:c>
      <x:c r="AM139" s="14" t="str">
        <x:v>Clear and well-aligned facial landmarks with no major pose, crop, or occlusion issue.</x:v>
      </x:c>
    </x:row>
    <x:row r="140" ht="30" customHeight="1">
      <x:c r="A140" s="12" t="str">
        <x:v>fear_039</x:v>
      </x:c>
      <x:c r="B140" s="12" t="str">
        <x:v>fear</x:v>
      </x:c>
      <x:c r="C140" s="14" t="str">
        <x:v>fear/Training_22220014.jpg</x:v>
      </x:c>
      <x:c r="D140" s="12" t="str">
        <x:v>7d87f32c5b8b9451923651083f9aba1906fa541ad44a8fae3a1449a6637a0f45</x:v>
      </x:c>
      <x:c r="E140" s="12" t="str">
        <x:v>7d87f32c5b8b9451923651083f9aba1906fa541ad44a8fae3a1449a6637a0f45</x:v>
      </x:c>
      <x:c r="F140" s="12" t="str">
        <x:v>True</x:v>
      </x:c>
      <x:c r="G140" s="12" t="str">
        <x:v>48</x:v>
      </x:c>
      <x:c r="H140" s="12" t="str">
        <x:v>48</x:v>
      </x:c>
      <x:c r="I140" s="12" t="str">
        <x:v>0.0</x:v>
      </x:c>
      <x:c r="J140" s="12" t="str">
        <x:v>0.0</x:v>
      </x:c>
      <x:c r="K140" s="12" t="str">
        <x:v>47.0</x:v>
      </x:c>
      <x:c r="L140" s="12" t="str">
        <x:v>47.0</x:v>
      </x:c>
      <x:c r="M140" s="12" t="str">
        <x:v>True</x:v>
      </x:c>
      <x:c r="N140" s="12" t="str">
        <x:v>106</x:v>
      </x:c>
      <x:c r="O140" s="12" t="str">
        <x:v>106</x:v>
      </x:c>
      <x:c r="P140" s="16" t="str">
        <x:v>1.0</x:v>
      </x:c>
      <x:c r="Q140" s="12" t="str">
        <x:v>76</x:v>
      </x:c>
      <x:c r="R140" s="16" t="str">
        <x:v>0.7169811320754716</x:v>
      </x:c>
      <x:c r="S140" s="12" t="str">
        <x:v>0.2</x:v>
      </x:c>
      <x:c r="T140" s="12" t="str">
        <x:v>106</x:v>
      </x:c>
      <x:c r="U140" s="16" t="str">
        <x:v>1.0</x:v>
      </x:c>
      <x:c r="V140" s="18" t="str">
        <x:v>0.3438771665096283</x:v>
      </x:c>
      <x:c r="W140" s="18" t="str">
        <x:v>0.5063703656196594</x:v>
      </x:c>
      <x:c r="X140" s="18" t="str">
        <x:v>0.6602127552032471</x:v>
      </x:c>
      <x:c r="Y140" s="18" t="str">
        <x:v>0.6658852100372314</x:v>
      </x:c>
      <x:c r="Z140" s="18" t="str">
        <x:v>0.8315183222293854</x:v>
      </x:c>
      <x:c r="AA140" s="18" t="str">
        <x:v>0.9825335741043091</x:v>
      </x:c>
      <x:c r="AB140" s="20" t="str">
        <x:v>115.33549999876413</x:v>
      </x:c>
      <x:c r="AC140" s="12" t="str">
        <x:v>overlays\fear_039.png</x:v>
      </x:c>
      <x:c r="AD140" s="12" t="str"/>
      <x:c r="AE140" s="12" t="str"/>
      <x:c r="AF140" s="12" t="str">
        <x:v>acceptable</x:v>
      </x:c>
      <x:c r="AG140" s="12" t="n">
        <x:v>1</x:v>
      </x:c>
      <x:c r="AH140" s="12" t="str">
        <x:v>acceptable</x:v>
      </x:c>
      <x:c r="AI140" s="12" t="str">
        <x:v>acceptable</x:v>
      </x:c>
      <x:c r="AJ140" s="12" t="str">
        <x:v>acceptable</x:v>
      </x:c>
      <x:c r="AK140" s="12" t="str">
        <x:v>not_applicable</x:v>
      </x:c>
      <x:c r="AL140" s="12" t="str">
        <x:v>mild</x:v>
      </x:c>
      <x:c r="AM140" s="14" t="str">
        <x:v>Tight crop places several contour points outside the frame; central facial landmarks remain usable.</x:v>
      </x:c>
    </x:row>
    <x:row r="141" ht="30" customHeight="1">
      <x:c r="A141" s="12" t="str">
        <x:v>fear_040</x:v>
      </x:c>
      <x:c r="B141" s="12" t="str">
        <x:v>fear</x:v>
      </x:c>
      <x:c r="C141" s="14" t="str">
        <x:v>fear/Training_7989182.jpg</x:v>
      </x:c>
      <x:c r="D141" s="12" t="str">
        <x:v>bbb4868f8463d4b27cd276690c16ca76bf439496b51e1092396d2142d00d73b2</x:v>
      </x:c>
      <x:c r="E141" s="12" t="str">
        <x:v>bbb4868f8463d4b27cd276690c16ca76bf439496b51e1092396d2142d00d73b2</x:v>
      </x:c>
      <x:c r="F141" s="12" t="str">
        <x:v>True</x:v>
      </x:c>
      <x:c r="G141" s="12" t="str">
        <x:v>48</x:v>
      </x:c>
      <x:c r="H141" s="12" t="str">
        <x:v>48</x:v>
      </x:c>
      <x:c r="I141" s="12" t="str">
        <x:v>0.0</x:v>
      </x:c>
      <x:c r="J141" s="12" t="str">
        <x:v>0.0</x:v>
      </x:c>
      <x:c r="K141" s="12" t="str">
        <x:v>47.0</x:v>
      </x:c>
      <x:c r="L141" s="12" t="str">
        <x:v>47.0</x:v>
      </x:c>
      <x:c r="M141" s="12" t="str">
        <x:v>True</x:v>
      </x:c>
      <x:c r="N141" s="12" t="str">
        <x:v>106</x:v>
      </x:c>
      <x:c r="O141" s="12" t="str">
        <x:v>106</x:v>
      </x:c>
      <x:c r="P141" s="16" t="str">
        <x:v>1.0</x:v>
      </x:c>
      <x:c r="Q141" s="12" t="str">
        <x:v>93</x:v>
      </x:c>
      <x:c r="R141" s="16" t="str">
        <x:v>0.8773584905660378</x:v>
      </x:c>
      <x:c r="S141" s="12" t="str">
        <x:v>0.2</x:v>
      </x:c>
      <x:c r="T141" s="12" t="str">
        <x:v>106</x:v>
      </x:c>
      <x:c r="U141" s="16" t="str">
        <x:v>1.0</x:v>
      </x:c>
      <x:c r="V141" s="18" t="str">
        <x:v>0.4858143925666809</x:v>
      </x:c>
      <x:c r="W141" s="18" t="str">
        <x:v>0.6025779843330383</x:v>
      </x:c>
      <x:c r="X141" s="18" t="str">
        <x:v>0.7220733761787415</x:v>
      </x:c>
      <x:c r="Y141" s="18" t="str">
        <x:v>0.7269759178161621</x:v>
      </x:c>
      <x:c r="Z141" s="18" t="str">
        <x:v>0.8478415608406067</x:v>
      </x:c>
      <x:c r="AA141" s="18" t="str">
        <x:v>0.9539547562599182</x:v>
      </x:c>
      <x:c r="AB141" s="20" t="str">
        <x:v>107.66100000182632</x:v>
      </x:c>
      <x:c r="AC141" s="12" t="str">
        <x:v>overlays\fear_040.png</x:v>
      </x:c>
      <x:c r="AD141" s="12" t="str"/>
      <x:c r="AE141" s="12" t="str"/>
      <x:c r="AF141" s="12" t="str">
        <x:v>acceptable</x:v>
      </x:c>
      <x:c r="AG141" s="12" t="n">
        <x:v>1</x:v>
      </x:c>
      <x:c r="AH141" s="12" t="str">
        <x:v>acceptable</x:v>
      </x:c>
      <x:c r="AI141" s="12" t="str">
        <x:v>acceptable</x:v>
      </x:c>
      <x:c r="AJ141" s="12" t="str">
        <x:v>acceptable</x:v>
      </x:c>
      <x:c r="AK141" s="12" t="str">
        <x:v>not_applicable</x:v>
      </x:c>
      <x:c r="AL141" s="12" t="str">
        <x:v>mild</x:v>
      </x:c>
      <x:c r="AM141" s="14" t="str">
        <x:v>Moderate pose, crop, or image degradation causes minor landmark uncertainty; the result remains usable.</x:v>
      </x:c>
    </x:row>
    <x:row r="142" ht="30" customHeight="1">
      <x:c r="A142" s="12" t="str">
        <x:v>fear_041</x:v>
      </x:c>
      <x:c r="B142" s="12" t="str">
        <x:v>fear</x:v>
      </x:c>
      <x:c r="C142" s="14" t="str">
        <x:v>fear/Training_79198157.jpg</x:v>
      </x:c>
      <x:c r="D142" s="12" t="str">
        <x:v>e522267a344eaa1d16ed6dbc6ff20516ff706089963a7ad397cb117bc07f4f2e</x:v>
      </x:c>
      <x:c r="E142" s="12" t="str">
        <x:v>e522267a344eaa1d16ed6dbc6ff20516ff706089963a7ad397cb117bc07f4f2e</x:v>
      </x:c>
      <x:c r="F142" s="12" t="str">
        <x:v>True</x:v>
      </x:c>
      <x:c r="G142" s="12" t="str">
        <x:v>48</x:v>
      </x:c>
      <x:c r="H142" s="12" t="str">
        <x:v>48</x:v>
      </x:c>
      <x:c r="I142" s="12" t="str">
        <x:v>0.0</x:v>
      </x:c>
      <x:c r="J142" s="12" t="str">
        <x:v>0.0</x:v>
      </x:c>
      <x:c r="K142" s="12" t="str">
        <x:v>47.0</x:v>
      </x:c>
      <x:c r="L142" s="12" t="str">
        <x:v>47.0</x:v>
      </x:c>
      <x:c r="M142" s="12" t="str">
        <x:v>True</x:v>
      </x:c>
      <x:c r="N142" s="12" t="str">
        <x:v>106</x:v>
      </x:c>
      <x:c r="O142" s="12" t="str">
        <x:v>106</x:v>
      </x:c>
      <x:c r="P142" s="16" t="str">
        <x:v>1.0</x:v>
      </x:c>
      <x:c r="Q142" s="12" t="str">
        <x:v>105</x:v>
      </x:c>
      <x:c r="R142" s="16" t="str">
        <x:v>0.9905660377358491</x:v>
      </x:c>
      <x:c r="S142" s="12" t="str">
        <x:v>0.2</x:v>
      </x:c>
      <x:c r="T142" s="12" t="str">
        <x:v>106</x:v>
      </x:c>
      <x:c r="U142" s="16" t="str">
        <x:v>1.0</x:v>
      </x:c>
      <x:c r="V142" s="18" t="str">
        <x:v>0.457948237657547</x:v>
      </x:c>
      <x:c r="W142" s="18" t="str">
        <x:v>0.5205514132976532</x:v>
      </x:c>
      <x:c r="X142" s="18" t="str">
        <x:v>0.6263782382011414</x:v>
      </x:c>
      <x:c r="Y142" s="18" t="str">
        <x:v>0.6344276666641235</x:v>
      </x:c>
      <x:c r="Z142" s="18" t="str">
        <x:v>0.7257692515850067</x:v>
      </x:c>
      <x:c r="AA142" s="18" t="str">
        <x:v>0.8384547233581543</x:v>
      </x:c>
      <x:c r="AB142" s="20" t="str">
        <x:v>112.48839999825577</x:v>
      </x:c>
      <x:c r="AC142" s="12" t="str">
        <x:v>overlays\fear_041.png</x:v>
      </x:c>
      <x:c r="AD142" s="12" t="str"/>
      <x:c r="AE142" s="12" t="str"/>
      <x:c r="AF142" s="12" t="str">
        <x:v>acceptable</x:v>
      </x:c>
      <x:c r="AG142" s="12" t="n">
        <x:v>1</x:v>
      </x:c>
      <x:c r="AH142" s="12" t="str">
        <x:v>acceptable</x:v>
      </x:c>
      <x:c r="AI142" s="12" t="str">
        <x:v>acceptable</x:v>
      </x:c>
      <x:c r="AJ142" s="12" t="str">
        <x:v>acceptable</x:v>
      </x:c>
      <x:c r="AK142" s="12" t="str">
        <x:v>acceptable</x:v>
      </x:c>
      <x:c r="AL142" s="12" t="str">
        <x:v>mild</x:v>
      </x:c>
      <x:c r="AM142" s="14" t="str">
        <x:v>Moderate pose, crop, or image degradation causes minor landmark uncertainty; the result remains usable.</x:v>
      </x:c>
    </x:row>
    <x:row r="143" ht="30" customHeight="1">
      <x:c r="A143" s="12" t="str">
        <x:v>fear_042</x:v>
      </x:c>
      <x:c r="B143" s="12" t="str">
        <x:v>fear</x:v>
      </x:c>
      <x:c r="C143" s="14" t="str">
        <x:v>fear/Training_94538613.jpg</x:v>
      </x:c>
      <x:c r="D143" s="12" t="str">
        <x:v>fc9208b87d67c2b54c4c04ed15556c23d4f621f3356e4dee9b14be06e4b686e3</x:v>
      </x:c>
      <x:c r="E143" s="12" t="str">
        <x:v>fc9208b87d67c2b54c4c04ed15556c23d4f621f3356e4dee9b14be06e4b686e3</x:v>
      </x:c>
      <x:c r="F143" s="12" t="str">
        <x:v>True</x:v>
      </x:c>
      <x:c r="G143" s="12" t="str">
        <x:v>48</x:v>
      </x:c>
      <x:c r="H143" s="12" t="str">
        <x:v>48</x:v>
      </x:c>
      <x:c r="I143" s="12" t="str">
        <x:v>0.0</x:v>
      </x:c>
      <x:c r="J143" s="12" t="str">
        <x:v>0.0</x:v>
      </x:c>
      <x:c r="K143" s="12" t="str">
        <x:v>47.0</x:v>
      </x:c>
      <x:c r="L143" s="12" t="str">
        <x:v>47.0</x:v>
      </x:c>
      <x:c r="M143" s="12" t="str">
        <x:v>True</x:v>
      </x:c>
      <x:c r="N143" s="12" t="str">
        <x:v>106</x:v>
      </x:c>
      <x:c r="O143" s="12" t="str">
        <x:v>106</x:v>
      </x:c>
      <x:c r="P143" s="16" t="str">
        <x:v>1.0</x:v>
      </x:c>
      <x:c r="Q143" s="12" t="str">
        <x:v>99</x:v>
      </x:c>
      <x:c r="R143" s="16" t="str">
        <x:v>0.9339622641509434</x:v>
      </x:c>
      <x:c r="S143" s="12" t="str">
        <x:v>0.2</x:v>
      </x:c>
      <x:c r="T143" s="12" t="str">
        <x:v>106</x:v>
      </x:c>
      <x:c r="U143" s="16" t="str">
        <x:v>1.0</x:v>
      </x:c>
      <x:c r="V143" s="18" t="str">
        <x:v>0.2751736044883728</x:v>
      </x:c>
      <x:c r="W143" s="18" t="str">
        <x:v>0.40806275606155396</x:v>
      </x:c>
      <x:c r="X143" s="18" t="str">
        <x:v>0.6090735197067261</x:v>
      </x:c>
      <x:c r="Y143" s="18" t="str">
        <x:v>0.5898417234420776</x:v>
      </x:c>
      <x:c r="Z143" s="18" t="str">
        <x:v>0.8486435413360596</x:v>
      </x:c>
      <x:c r="AA143" s="18" t="str">
        <x:v>0.9276973009109497</x:v>
      </x:c>
      <x:c r="AB143" s="20" t="str">
        <x:v>132.23010000001523</x:v>
      </x:c>
      <x:c r="AC143" s="12" t="str">
        <x:v>overlays\fear_042.png</x:v>
      </x:c>
      <x:c r="AD143" s="12" t="str"/>
      <x:c r="AE143" s="12" t="str"/>
      <x:c r="AF143" s="12" t="str">
        <x:v>good</x:v>
      </x:c>
      <x:c r="AG143" s="12" t="n">
        <x:v>1</x:v>
      </x:c>
      <x:c r="AH143" s="12" t="str">
        <x:v>good</x:v>
      </x:c>
      <x:c r="AI143" s="12" t="str">
        <x:v>good</x:v>
      </x:c>
      <x:c r="AJ143" s="12" t="str">
        <x:v>good</x:v>
      </x:c>
      <x:c r="AK143" s="12" t="str">
        <x:v>not_applicable</x:v>
      </x:c>
      <x:c r="AL143" s="12" t="str">
        <x:v>none</x:v>
      </x:c>
      <x:c r="AM143" s="14" t="str">
        <x:v>Clear and well-aligned facial landmarks with no major pose, crop, or occlusion issue.</x:v>
      </x:c>
    </x:row>
    <x:row r="144" ht="30" customHeight="1">
      <x:c r="A144" s="12" t="str">
        <x:v>fear_043</x:v>
      </x:c>
      <x:c r="B144" s="12" t="str">
        <x:v>fear</x:v>
      </x:c>
      <x:c r="C144" s="14" t="str">
        <x:v>fear/Training_56116258.jpg</x:v>
      </x:c>
      <x:c r="D144" s="12" t="str">
        <x:v>fff53b2f9da17f50d0f2c6d46fdd1726c127083cc01f51ee531a19e89fa4aee1</x:v>
      </x:c>
      <x:c r="E144" s="12" t="str">
        <x:v>fff53b2f9da17f50d0f2c6d46fdd1726c127083cc01f51ee531a19e89fa4aee1</x:v>
      </x:c>
      <x:c r="F144" s="12" t="str">
        <x:v>True</x:v>
      </x:c>
      <x:c r="G144" s="12" t="str">
        <x:v>48</x:v>
      </x:c>
      <x:c r="H144" s="12" t="str">
        <x:v>48</x:v>
      </x:c>
      <x:c r="I144" s="12" t="str">
        <x:v>0.0</x:v>
      </x:c>
      <x:c r="J144" s="12" t="str">
        <x:v>0.0</x:v>
      </x:c>
      <x:c r="K144" s="12" t="str">
        <x:v>47.0</x:v>
      </x:c>
      <x:c r="L144" s="12" t="str">
        <x:v>47.0</x:v>
      </x:c>
      <x:c r="M144" s="12" t="str">
        <x:v>True</x:v>
      </x:c>
      <x:c r="N144" s="12" t="str">
        <x:v>106</x:v>
      </x:c>
      <x:c r="O144" s="12" t="str">
        <x:v>106</x:v>
      </x:c>
      <x:c r="P144" s="16" t="str">
        <x:v>1.0</x:v>
      </x:c>
      <x:c r="Q144" s="12" t="str">
        <x:v>106</x:v>
      </x:c>
      <x:c r="R144" s="16" t="str">
        <x:v>1.0</x:v>
      </x:c>
      <x:c r="S144" s="12" t="str">
        <x:v>0.2</x:v>
      </x:c>
      <x:c r="T144" s="12" t="str">
        <x:v>106</x:v>
      </x:c>
      <x:c r="U144" s="16" t="str">
        <x:v>1.0</x:v>
      </x:c>
      <x:c r="V144" s="18" t="str">
        <x:v>0.536058783531189</x:v>
      </x:c>
      <x:c r="W144" s="18" t="str">
        <x:v>0.6111128032207489</x:v>
      </x:c>
      <x:c r="X144" s="18" t="str">
        <x:v>0.7219079732894897</x:v>
      </x:c>
      <x:c r="Y144" s="18" t="str">
        <x:v>0.7264760732650757</x:v>
      </x:c>
      <x:c r="Z144" s="18" t="str">
        <x:v>0.8413878083229065</x:v>
      </x:c>
      <x:c r="AA144" s="18" t="str">
        <x:v>0.9832059144973755</x:v>
      </x:c>
      <x:c r="AB144" s="20" t="str">
        <x:v>109.69280000063009</x:v>
      </x:c>
      <x:c r="AC144" s="12" t="str">
        <x:v>overlays\fear_043.png</x:v>
      </x:c>
      <x:c r="AD144" s="12" t="str"/>
      <x:c r="AE144" s="12" t="str"/>
      <x:c r="AF144" s="12" t="str">
        <x:v>good</x:v>
      </x:c>
      <x:c r="AG144" s="12" t="n">
        <x:v>1</x:v>
      </x:c>
      <x:c r="AH144" s="12" t="str">
        <x:v>good</x:v>
      </x:c>
      <x:c r="AI144" s="12" t="str">
        <x:v>good</x:v>
      </x:c>
      <x:c r="AJ144" s="12" t="str">
        <x:v>good</x:v>
      </x:c>
      <x:c r="AK144" s="12" t="str">
        <x:v>not_applicable</x:v>
      </x:c>
      <x:c r="AL144" s="12" t="str">
        <x:v>none</x:v>
      </x:c>
      <x:c r="AM144" s="14" t="str">
        <x:v>Clear and well-aligned facial landmarks with no major pose, crop, or occlusion issue.</x:v>
      </x:c>
    </x:row>
    <x:row r="145" ht="30" customHeight="1">
      <x:c r="A145" s="12" t="str">
        <x:v>fear_044</x:v>
      </x:c>
      <x:c r="B145" s="12" t="str">
        <x:v>fear</x:v>
      </x:c>
      <x:c r="C145" s="14" t="str">
        <x:v>fear/Training_12407165.jpg</x:v>
      </x:c>
      <x:c r="D145" s="12" t="str">
        <x:v>0034ca8c8519bcf3be89347be7a18e0afd12b1a60968400bd5f368a4f6b9de5b</x:v>
      </x:c>
      <x:c r="E145" s="12" t="str">
        <x:v>0034ca8c8519bcf3be89347be7a18e0afd12b1a60968400bd5f368a4f6b9de5b</x:v>
      </x:c>
      <x:c r="F145" s="12" t="str">
        <x:v>True</x:v>
      </x:c>
      <x:c r="G145" s="12" t="str">
        <x:v>48</x:v>
      </x:c>
      <x:c r="H145" s="12" t="str">
        <x:v>48</x:v>
      </x:c>
      <x:c r="I145" s="12" t="str">
        <x:v>0.0</x:v>
      </x:c>
      <x:c r="J145" s="12" t="str">
        <x:v>0.0</x:v>
      </x:c>
      <x:c r="K145" s="12" t="str">
        <x:v>47.0</x:v>
      </x:c>
      <x:c r="L145" s="12" t="str">
        <x:v>47.0</x:v>
      </x:c>
      <x:c r="M145" s="12" t="str">
        <x:v>True</x:v>
      </x:c>
      <x:c r="N145" s="12" t="str">
        <x:v>106</x:v>
      </x:c>
      <x:c r="O145" s="12" t="str">
        <x:v>106</x:v>
      </x:c>
      <x:c r="P145" s="16" t="str">
        <x:v>1.0</x:v>
      </x:c>
      <x:c r="Q145" s="12" t="str">
        <x:v>95</x:v>
      </x:c>
      <x:c r="R145" s="16" t="str">
        <x:v>0.8962264150943396</x:v>
      </x:c>
      <x:c r="S145" s="12" t="str">
        <x:v>0.2</x:v>
      </x:c>
      <x:c r="T145" s="12" t="str">
        <x:v>106</x:v>
      </x:c>
      <x:c r="U145" s="16" t="str">
        <x:v>1.0</x:v>
      </x:c>
      <x:c r="V145" s="18" t="str">
        <x:v>0.34530967473983765</x:v>
      </x:c>
      <x:c r="W145" s="18" t="str">
        <x:v>0.46351662278175354</x:v>
      </x:c>
      <x:c r="X145" s="18" t="str">
        <x:v>0.6581501364707947</x:v>
      </x:c>
      <x:c r="Y145" s="18" t="str">
        <x:v>0.6224953532218933</x:v>
      </x:c>
      <x:c r="Z145" s="18" t="str">
        <x:v>0.8974898755550385</x:v>
      </x:c>
      <x:c r="AA145" s="18" t="str">
        <x:v>0.9309278726577759</x:v>
      </x:c>
      <x:c r="AB145" s="20" t="str">
        <x:v>115.22239999976591</x:v>
      </x:c>
      <x:c r="AC145" s="12" t="str">
        <x:v>overlays\fear_044.png</x:v>
      </x:c>
      <x:c r="AD145" s="12" t="str"/>
      <x:c r="AE145" s="12" t="str"/>
      <x:c r="AF145" s="12" t="str">
        <x:v>good</x:v>
      </x:c>
      <x:c r="AG145" s="12" t="n">
        <x:v>1</x:v>
      </x:c>
      <x:c r="AH145" s="12" t="str">
        <x:v>good</x:v>
      </x:c>
      <x:c r="AI145" s="12" t="str">
        <x:v>good</x:v>
      </x:c>
      <x:c r="AJ145" s="12" t="str">
        <x:v>good</x:v>
      </x:c>
      <x:c r="AK145" s="12" t="str">
        <x:v>good</x:v>
      </x:c>
      <x:c r="AL145" s="12" t="str">
        <x:v>none</x:v>
      </x:c>
      <x:c r="AM145" s="14" t="str">
        <x:v>Clear and well-aligned facial landmarks with no major pose, crop, or occlusion issue.</x:v>
      </x:c>
    </x:row>
    <x:row r="146" ht="30" customHeight="1">
      <x:c r="A146" s="12" t="str">
        <x:v>fear_045</x:v>
      </x:c>
      <x:c r="B146" s="12" t="str">
        <x:v>fear</x:v>
      </x:c>
      <x:c r="C146" s="14" t="str">
        <x:v>fear/Training_31312492.jpg</x:v>
      </x:c>
      <x:c r="D146" s="12" t="str">
        <x:v>25f6864ad08f3a2773d208dce27beb8a715aa3f2c56081a4dfd63b9364e3aed5</x:v>
      </x:c>
      <x:c r="E146" s="12" t="str">
        <x:v>25f6864ad08f3a2773d208dce27beb8a715aa3f2c56081a4dfd63b9364e3aed5</x:v>
      </x:c>
      <x:c r="F146" s="12" t="str">
        <x:v>True</x:v>
      </x:c>
      <x:c r="G146" s="12" t="str">
        <x:v>48</x:v>
      </x:c>
      <x:c r="H146" s="12" t="str">
        <x:v>48</x:v>
      </x:c>
      <x:c r="I146" s="12" t="str">
        <x:v>0.0</x:v>
      </x:c>
      <x:c r="J146" s="12" t="str">
        <x:v>0.0</x:v>
      </x:c>
      <x:c r="K146" s="12" t="str">
        <x:v>47.0</x:v>
      </x:c>
      <x:c r="L146" s="12" t="str">
        <x:v>47.0</x:v>
      </x:c>
      <x:c r="M146" s="12" t="str">
        <x:v>True</x:v>
      </x:c>
      <x:c r="N146" s="12" t="str">
        <x:v>106</x:v>
      </x:c>
      <x:c r="O146" s="12" t="str">
        <x:v>106</x:v>
      </x:c>
      <x:c r="P146" s="16" t="str">
        <x:v>1.0</x:v>
      </x:c>
      <x:c r="Q146" s="12" t="str">
        <x:v>102</x:v>
      </x:c>
      <x:c r="R146" s="16" t="str">
        <x:v>0.9622641509433962</x:v>
      </x:c>
      <x:c r="S146" s="12" t="str">
        <x:v>0.2</x:v>
      </x:c>
      <x:c r="T146" s="12" t="str">
        <x:v>106</x:v>
      </x:c>
      <x:c r="U146" s="16" t="str">
        <x:v>1.0</x:v>
      </x:c>
      <x:c r="V146" s="18" t="str">
        <x:v>0.3740808963775635</x:v>
      </x:c>
      <x:c r="W146" s="18" t="str">
        <x:v>0.4870721101760864</x:v>
      </x:c>
      <x:c r="X146" s="18" t="str">
        <x:v>0.6751497983932495</x:v>
      </x:c>
      <x:c r="Y146" s="18" t="str">
        <x:v>0.639453649520874</x:v>
      </x:c>
      <x:c r="Z146" s="18" t="str">
        <x:v>0.9113103747367859</x:v>
      </x:c>
      <x:c r="AA146" s="18" t="str">
        <x:v>1.0235486030578613</x:v>
      </x:c>
      <x:c r="AB146" s="20" t="str">
        <x:v>122.19219999678899</x:v>
      </x:c>
      <x:c r="AC146" s="12" t="str">
        <x:v>overlays\fear_045.png</x:v>
      </x:c>
      <x:c r="AD146" s="12" t="str"/>
      <x:c r="AE146" s="12" t="str"/>
      <x:c r="AF146" s="12" t="str">
        <x:v>acceptable</x:v>
      </x:c>
      <x:c r="AG146" s="12" t="n">
        <x:v>1</x:v>
      </x:c>
      <x:c r="AH146" s="12" t="str">
        <x:v>acceptable</x:v>
      </x:c>
      <x:c r="AI146" s="12" t="str">
        <x:v>acceptable</x:v>
      </x:c>
      <x:c r="AJ146" s="12" t="str">
        <x:v>occluded</x:v>
      </x:c>
      <x:c r="AK146" s="12" t="str">
        <x:v>not_applicable</x:v>
      </x:c>
      <x:c r="AL146" s="12" t="str">
        <x:v>mild</x:v>
      </x:c>
      <x:c r="AM146" s="14" t="str">
        <x:v>Occlusion affects part of the face; visible landmarks remain usable, but hidden points are inferred.</x:v>
      </x:c>
    </x:row>
    <x:row r="147" ht="30" customHeight="1">
      <x:c r="A147" s="12" t="str">
        <x:v>fear_046</x:v>
      </x:c>
      <x:c r="B147" s="12" t="str">
        <x:v>fear</x:v>
      </x:c>
      <x:c r="C147" s="14" t="str">
        <x:v>fear/Training_5893783.jpg</x:v>
      </x:c>
      <x:c r="D147" s="12" t="str">
        <x:v>d8782246d5b20b5557b43324ed87a6e3d72f0d3e20e757da7bbbaa10bef73e40</x:v>
      </x:c>
      <x:c r="E147" s="12" t="str">
        <x:v>d8782246d5b20b5557b43324ed87a6e3d72f0d3e20e757da7bbbaa10bef73e40</x:v>
      </x:c>
      <x:c r="F147" s="12" t="str">
        <x:v>True</x:v>
      </x:c>
      <x:c r="G147" s="12" t="str">
        <x:v>48</x:v>
      </x:c>
      <x:c r="H147" s="12" t="str">
        <x:v>48</x:v>
      </x:c>
      <x:c r="I147" s="12" t="str">
        <x:v>0.0</x:v>
      </x:c>
      <x:c r="J147" s="12" t="str">
        <x:v>0.0</x:v>
      </x:c>
      <x:c r="K147" s="12" t="str">
        <x:v>47.0</x:v>
      </x:c>
      <x:c r="L147" s="12" t="str">
        <x:v>47.0</x:v>
      </x:c>
      <x:c r="M147" s="12" t="str">
        <x:v>True</x:v>
      </x:c>
      <x:c r="N147" s="12" t="str">
        <x:v>106</x:v>
      </x:c>
      <x:c r="O147" s="12" t="str">
        <x:v>106</x:v>
      </x:c>
      <x:c r="P147" s="16" t="str">
        <x:v>1.0</x:v>
      </x:c>
      <x:c r="Q147" s="12" t="str">
        <x:v>100</x:v>
      </x:c>
      <x:c r="R147" s="16" t="str">
        <x:v>0.9433962264150944</x:v>
      </x:c>
      <x:c r="S147" s="12" t="str">
        <x:v>0.2</x:v>
      </x:c>
      <x:c r="T147" s="12" t="str">
        <x:v>106</x:v>
      </x:c>
      <x:c r="U147" s="16" t="str">
        <x:v>1.0</x:v>
      </x:c>
      <x:c r="V147" s="18" t="str">
        <x:v>0.2528418302536011</x:v>
      </x:c>
      <x:c r="W147" s="18" t="str">
        <x:v>0.3915983885526657</x:v>
      </x:c>
      <x:c r="X147" s="18" t="str">
        <x:v>0.5133823752403259</x:v>
      </x:c>
      <x:c r="Y147" s="18" t="str">
        <x:v>0.5234121084213257</x:v>
      </x:c>
      <x:c r="Z147" s="18" t="str">
        <x:v>0.6546634435653687</x:v>
      </x:c>
      <x:c r="AA147" s="18" t="str">
        <x:v>0.7163873910903931</x:v>
      </x:c>
      <x:c r="AB147" s="20" t="str">
        <x:v>109.2599000003247</x:v>
      </x:c>
      <x:c r="AC147" s="12" t="str">
        <x:v>overlays\fear_046.png</x:v>
      </x:c>
      <x:c r="AD147" s="12" t="str"/>
      <x:c r="AE147" s="12" t="str"/>
      <x:c r="AF147" s="12" t="str">
        <x:v>acceptable</x:v>
      </x:c>
      <x:c r="AG147" s="12" t="n">
        <x:v>1</x:v>
      </x:c>
      <x:c r="AH147" s="12" t="str">
        <x:v>acceptable</x:v>
      </x:c>
      <x:c r="AI147" s="12" t="str">
        <x:v>acceptable</x:v>
      </x:c>
      <x:c r="AJ147" s="12" t="str">
        <x:v>acceptable</x:v>
      </x:c>
      <x:c r="AK147" s="12" t="str">
        <x:v>acceptable</x:v>
      </x:c>
      <x:c r="AL147" s="12" t="str">
        <x:v>mild</x:v>
      </x:c>
      <x:c r="AM147" s="14" t="str">
        <x:v>Blur, low contrast, or unusual appearance lowers confidence, but the landmark geometry remains usable.</x:v>
      </x:c>
    </x:row>
    <x:row r="148" ht="30" customHeight="1">
      <x:c r="A148" s="12" t="str">
        <x:v>fear_047</x:v>
      </x:c>
      <x:c r="B148" s="12" t="str">
        <x:v>fear</x:v>
      </x:c>
      <x:c r="C148" s="14" t="str">
        <x:v>fear/Training_71834753.jpg</x:v>
      </x:c>
      <x:c r="D148" s="12" t="str">
        <x:v>a4c40c3ccd31b71ef4e9099ccd59178d6053e280572e3eb96abf7c8bab606503</x:v>
      </x:c>
      <x:c r="E148" s="12" t="str">
        <x:v>a4c40c3ccd31b71ef4e9099ccd59178d6053e280572e3eb96abf7c8bab606503</x:v>
      </x:c>
      <x:c r="F148" s="12" t="str">
        <x:v>True</x:v>
      </x:c>
      <x:c r="G148" s="12" t="str">
        <x:v>48</x:v>
      </x:c>
      <x:c r="H148" s="12" t="str">
        <x:v>48</x:v>
      </x:c>
      <x:c r="I148" s="12" t="str">
        <x:v>0.0</x:v>
      </x:c>
      <x:c r="J148" s="12" t="str">
        <x:v>0.0</x:v>
      </x:c>
      <x:c r="K148" s="12" t="str">
        <x:v>47.0</x:v>
      </x:c>
      <x:c r="L148" s="12" t="str">
        <x:v>47.0</x:v>
      </x:c>
      <x:c r="M148" s="12" t="str">
        <x:v>True</x:v>
      </x:c>
      <x:c r="N148" s="12" t="str">
        <x:v>106</x:v>
      </x:c>
      <x:c r="O148" s="12" t="str">
        <x:v>106</x:v>
      </x:c>
      <x:c r="P148" s="16" t="str">
        <x:v>1.0</x:v>
      </x:c>
      <x:c r="Q148" s="12" t="str">
        <x:v>99</x:v>
      </x:c>
      <x:c r="R148" s="16" t="str">
        <x:v>0.9339622641509434</x:v>
      </x:c>
      <x:c r="S148" s="12" t="str">
        <x:v>0.2</x:v>
      </x:c>
      <x:c r="T148" s="12" t="str">
        <x:v>106</x:v>
      </x:c>
      <x:c r="U148" s="16" t="str">
        <x:v>1.0</x:v>
      </x:c>
      <x:c r="V148" s="18" t="str">
        <x:v>0.5396295785903931</x:v>
      </x:c>
      <x:c r="W148" s="18" t="str">
        <x:v>0.5874645113945007</x:v>
      </x:c>
      <x:c r="X148" s="18" t="str">
        <x:v>0.7129023671150208</x:v>
      </x:c>
      <x:c r="Y148" s="18" t="str">
        <x:v>0.7214071154594421</x:v>
      </x:c>
      <x:c r="Z148" s="18" t="str">
        <x:v>0.8622046709060669</x:v>
      </x:c>
      <x:c r="AA148" s="18" t="str">
        <x:v>0.9470105171203613</x:v>
      </x:c>
      <x:c r="AB148" s="20" t="str">
        <x:v>106.66159999891534</x:v>
      </x:c>
      <x:c r="AC148" s="12" t="str">
        <x:v>overlays\fear_047.png</x:v>
      </x:c>
      <x:c r="AD148" s="12" t="str"/>
      <x:c r="AE148" s="12" t="str"/>
      <x:c r="AF148" s="12" t="str">
        <x:v>good</x:v>
      </x:c>
      <x:c r="AG148" s="12" t="n">
        <x:v>1</x:v>
      </x:c>
      <x:c r="AH148" s="12" t="str">
        <x:v>good</x:v>
      </x:c>
      <x:c r="AI148" s="12" t="str">
        <x:v>good</x:v>
      </x:c>
      <x:c r="AJ148" s="12" t="str">
        <x:v>good</x:v>
      </x:c>
      <x:c r="AK148" s="12" t="str">
        <x:v>not_applicable</x:v>
      </x:c>
      <x:c r="AL148" s="12" t="str">
        <x:v>none</x:v>
      </x:c>
      <x:c r="AM148" s="14" t="str">
        <x:v>Clear and well-aligned facial landmarks with no major pose, crop, or occlusion issue.</x:v>
      </x:c>
    </x:row>
    <x:row r="149" ht="30" customHeight="1">
      <x:c r="A149" s="12" t="str">
        <x:v>fear_048</x:v>
      </x:c>
      <x:c r="B149" s="12" t="str">
        <x:v>fear</x:v>
      </x:c>
      <x:c r="C149" s="14" t="str">
        <x:v>fear/Training_30822291.jpg</x:v>
      </x:c>
      <x:c r="D149" s="12" t="str">
        <x:v>423cfd6dbd717cfaa293e23e54ed7775d25c28b3afd94c88ccfdf67b76aafec5</x:v>
      </x:c>
      <x:c r="E149" s="12" t="str">
        <x:v>423cfd6dbd717cfaa293e23e54ed7775d25c28b3afd94c88ccfdf67b76aafec5</x:v>
      </x:c>
      <x:c r="F149" s="12" t="str">
        <x:v>True</x:v>
      </x:c>
      <x:c r="G149" s="12" t="str">
        <x:v>48</x:v>
      </x:c>
      <x:c r="H149" s="12" t="str">
        <x:v>48</x:v>
      </x:c>
      <x:c r="I149" s="12" t="str">
        <x:v>0.0</x:v>
      </x:c>
      <x:c r="J149" s="12" t="str">
        <x:v>0.0</x:v>
      </x:c>
      <x:c r="K149" s="12" t="str">
        <x:v>47.0</x:v>
      </x:c>
      <x:c r="L149" s="12" t="str">
        <x:v>47.0</x:v>
      </x:c>
      <x:c r="M149" s="12" t="str">
        <x:v>True</x:v>
      </x:c>
      <x:c r="N149" s="12" t="str">
        <x:v>106</x:v>
      </x:c>
      <x:c r="O149" s="12" t="str">
        <x:v>106</x:v>
      </x:c>
      <x:c r="P149" s="16" t="str">
        <x:v>1.0</x:v>
      </x:c>
      <x:c r="Q149" s="12" t="str">
        <x:v>98</x:v>
      </x:c>
      <x:c r="R149" s="16" t="str">
        <x:v>0.9245283018867925</x:v>
      </x:c>
      <x:c r="S149" s="12" t="str">
        <x:v>0.2</x:v>
      </x:c>
      <x:c r="T149" s="12" t="str">
        <x:v>106</x:v>
      </x:c>
      <x:c r="U149" s="16" t="str">
        <x:v>1.0</x:v>
      </x:c>
      <x:c r="V149" s="18" t="str">
        <x:v>0.3804958164691925</x:v>
      </x:c>
      <x:c r="W149" s="18" t="str">
        <x:v>0.5271350741386414</x:v>
      </x:c>
      <x:c r="X149" s="18" t="str">
        <x:v>0.6877089738845825</x:v>
      </x:c>
      <x:c r="Y149" s="18" t="str">
        <x:v>0.6778486967086792</x:v>
      </x:c>
      <x:c r="Z149" s="18" t="str">
        <x:v>0.9142246246337891</x:v>
      </x:c>
      <x:c r="AA149" s="18" t="str">
        <x:v>0.9531681537628174</x:v>
      </x:c>
      <x:c r="AB149" s="20" t="str">
        <x:v>105.1140999989002</x:v>
      </x:c>
      <x:c r="AC149" s="12" t="str">
        <x:v>overlays\fear_048.png</x:v>
      </x:c>
      <x:c r="AD149" s="12" t="str"/>
      <x:c r="AE149" s="12" t="str"/>
      <x:c r="AF149" s="12" t="str">
        <x:v>good</x:v>
      </x:c>
      <x:c r="AG149" s="12" t="n">
        <x:v>1</x:v>
      </x:c>
      <x:c r="AH149" s="12" t="str">
        <x:v>good</x:v>
      </x:c>
      <x:c r="AI149" s="12" t="str">
        <x:v>good</x:v>
      </x:c>
      <x:c r="AJ149" s="12" t="str">
        <x:v>good</x:v>
      </x:c>
      <x:c r="AK149" s="12" t="str">
        <x:v>not_applicable</x:v>
      </x:c>
      <x:c r="AL149" s="12" t="str">
        <x:v>none</x:v>
      </x:c>
      <x:c r="AM149" s="14" t="str">
        <x:v>Clear and well-aligned facial landmarks with no major pose, crop, or occlusion issue.</x:v>
      </x:c>
    </x:row>
    <x:row r="150" ht="30" customHeight="1">
      <x:c r="A150" s="12" t="str">
        <x:v>fear_049</x:v>
      </x:c>
      <x:c r="B150" s="12" t="str">
        <x:v>fear</x:v>
      </x:c>
      <x:c r="C150" s="14" t="str">
        <x:v>fear/Training_6358706.jpg</x:v>
      </x:c>
      <x:c r="D150" s="12" t="str">
        <x:v>5ab10ea3a8efdaeef13a0542f6e0617c6b5d2d109ea9d3c58619f85acae61a51</x:v>
      </x:c>
      <x:c r="E150" s="12" t="str">
        <x:v>5ab10ea3a8efdaeef13a0542f6e0617c6b5d2d109ea9d3c58619f85acae61a51</x:v>
      </x:c>
      <x:c r="F150" s="12" t="str">
        <x:v>True</x:v>
      </x:c>
      <x:c r="G150" s="12" t="str">
        <x:v>48</x:v>
      </x:c>
      <x:c r="H150" s="12" t="str">
        <x:v>48</x:v>
      </x:c>
      <x:c r="I150" s="12" t="str">
        <x:v>0.0</x:v>
      </x:c>
      <x:c r="J150" s="12" t="str">
        <x:v>0.0</x:v>
      </x:c>
      <x:c r="K150" s="12" t="str">
        <x:v>47.0</x:v>
      </x:c>
      <x:c r="L150" s="12" t="str">
        <x:v>47.0</x:v>
      </x:c>
      <x:c r="M150" s="12" t="str">
        <x:v>True</x:v>
      </x:c>
      <x:c r="N150" s="12" t="str">
        <x:v>106</x:v>
      </x:c>
      <x:c r="O150" s="12" t="str">
        <x:v>106</x:v>
      </x:c>
      <x:c r="P150" s="16" t="str">
        <x:v>1.0</x:v>
      </x:c>
      <x:c r="Q150" s="12" t="str">
        <x:v>91</x:v>
      </x:c>
      <x:c r="R150" s="16" t="str">
        <x:v>0.8584905660377359</x:v>
      </x:c>
      <x:c r="S150" s="12" t="str">
        <x:v>0.2</x:v>
      </x:c>
      <x:c r="T150" s="12" t="str">
        <x:v>106</x:v>
      </x:c>
      <x:c r="U150" s="16" t="str">
        <x:v>1.0</x:v>
      </x:c>
      <x:c r="V150" s="18" t="str">
        <x:v>0.3329019248485565</x:v>
      </x:c>
      <x:c r="W150" s="18" t="str">
        <x:v>0.42442116141319275</x:v>
      </x:c>
      <x:c r="X150" s="18" t="str">
        <x:v>0.591255247592926</x:v>
      </x:c>
      <x:c r="Y150" s="18" t="str">
        <x:v>0.5711633563041687</x:v>
      </x:c>
      <x:c r="Z150" s="18" t="str">
        <x:v>0.8063702583312988</x:v>
      </x:c>
      <x:c r="AA150" s="18" t="str">
        <x:v>0.9195538759231567</x:v>
      </x:c>
      <x:c r="AB150" s="20" t="str">
        <x:v>107.1626999982982</x:v>
      </x:c>
      <x:c r="AC150" s="12" t="str">
        <x:v>overlays\fear_049.png</x:v>
      </x:c>
      <x:c r="AD150" s="12" t="str"/>
      <x:c r="AE150" s="12" t="str"/>
      <x:c r="AF150" s="12" t="str">
        <x:v>acceptable</x:v>
      </x:c>
      <x:c r="AG150" s="12" t="n">
        <x:v>1</x:v>
      </x:c>
      <x:c r="AH150" s="12" t="str">
        <x:v>acceptable</x:v>
      </x:c>
      <x:c r="AI150" s="12" t="str">
        <x:v>acceptable</x:v>
      </x:c>
      <x:c r="AJ150" s="12" t="str">
        <x:v>acceptable</x:v>
      </x:c>
      <x:c r="AK150" s="12" t="str">
        <x:v>acceptable</x:v>
      </x:c>
      <x:c r="AL150" s="12" t="str">
        <x:v>mild</x:v>
      </x:c>
      <x:c r="AM150" s="14" t="str">
        <x:v>Moderate pose, crop, or image degradation causes minor landmark uncertainty; the result remains usable.</x:v>
      </x:c>
    </x:row>
    <x:row r="151" ht="30" customHeight="1">
      <x:c r="A151" s="12" t="str">
        <x:v>fear_050</x:v>
      </x:c>
      <x:c r="B151" s="12" t="str">
        <x:v>fear</x:v>
      </x:c>
      <x:c r="C151" s="14" t="str">
        <x:v>fear/Training_88831227.jpg</x:v>
      </x:c>
      <x:c r="D151" s="12" t="str">
        <x:v>5a340047bd2c3cbdc7732863e746fedc639f3cce0ecd04bed0f8472f548e2cc6</x:v>
      </x:c>
      <x:c r="E151" s="12" t="str">
        <x:v>5a340047bd2c3cbdc7732863e746fedc639f3cce0ecd04bed0f8472f548e2cc6</x:v>
      </x:c>
      <x:c r="F151" s="12" t="str">
        <x:v>True</x:v>
      </x:c>
      <x:c r="G151" s="12" t="str">
        <x:v>48</x:v>
      </x:c>
      <x:c r="H151" s="12" t="str">
        <x:v>48</x:v>
      </x:c>
      <x:c r="I151" s="12" t="str">
        <x:v>0.0</x:v>
      </x:c>
      <x:c r="J151" s="12" t="str">
        <x:v>0.0</x:v>
      </x:c>
      <x:c r="K151" s="12" t="str">
        <x:v>47.0</x:v>
      </x:c>
      <x:c r="L151" s="12" t="str">
        <x:v>47.0</x:v>
      </x:c>
      <x:c r="M151" s="12" t="str">
        <x:v>True</x:v>
      </x:c>
      <x:c r="N151" s="12" t="str">
        <x:v>106</x:v>
      </x:c>
      <x:c r="O151" s="12" t="str">
        <x:v>106</x:v>
      </x:c>
      <x:c r="P151" s="16" t="str">
        <x:v>1.0</x:v>
      </x:c>
      <x:c r="Q151" s="12" t="str">
        <x:v>100</x:v>
      </x:c>
      <x:c r="R151" s="16" t="str">
        <x:v>0.9433962264150944</x:v>
      </x:c>
      <x:c r="S151" s="12" t="str">
        <x:v>0.2</x:v>
      </x:c>
      <x:c r="T151" s="12" t="str">
        <x:v>106</x:v>
      </x:c>
      <x:c r="U151" s="16" t="str">
        <x:v>1.0</x:v>
      </x:c>
      <x:c r="V151" s="18" t="str">
        <x:v>0.3465051054954529</x:v>
      </x:c>
      <x:c r="W151" s="18" t="str">
        <x:v>0.47464708983898163</x:v>
      </x:c>
      <x:c r="X151" s="18" t="str">
        <x:v>0.6864203214645386</x:v>
      </x:c>
      <x:c r="Y151" s="18" t="str">
        <x:v>0.6680610775947571</x:v>
      </x:c>
      <x:c r="Z151" s="18" t="str">
        <x:v>0.9506704807281494</x:v>
      </x:c>
      <x:c r="AA151" s="18" t="str">
        <x:v>1.067563772201538</x:v>
      </x:c>
      <x:c r="AB151" s="20" t="str">
        <x:v>108.2907999989402</x:v>
      </x:c>
      <x:c r="AC151" s="12" t="str">
        <x:v>overlays\fear_050.png</x:v>
      </x:c>
      <x:c r="AD151" s="12" t="str"/>
      <x:c r="AE151" s="12" t="str"/>
      <x:c r="AF151" s="12" t="str">
        <x:v>good</x:v>
      </x:c>
      <x:c r="AG151" s="12" t="n">
        <x:v>1</x:v>
      </x:c>
      <x:c r="AH151" s="12" t="str">
        <x:v>good</x:v>
      </x:c>
      <x:c r="AI151" s="12" t="str">
        <x:v>good</x:v>
      </x:c>
      <x:c r="AJ151" s="12" t="str">
        <x:v>good</x:v>
      </x:c>
      <x:c r="AK151" s="12" t="str">
        <x:v>not_applicable</x:v>
      </x:c>
      <x:c r="AL151" s="12" t="str">
        <x:v>none</x:v>
      </x:c>
      <x:c r="AM151" s="14" t="str">
        <x:v>Clear and well-aligned facial landmarks with no major pose, crop, or occlusion issue.</x:v>
      </x:c>
    </x:row>
    <x:row r="152" ht="30" customHeight="1">
      <x:c r="A152" s="12" t="str">
        <x:v>happy_001</x:v>
      </x:c>
      <x:c r="B152" s="12" t="str">
        <x:v>happy</x:v>
      </x:c>
      <x:c r="C152" s="14" t="str">
        <x:v>happy/Training_25566250.jpg</x:v>
      </x:c>
      <x:c r="D152" s="12" t="str">
        <x:v>5adb8c6ee17f40d912bb9a3ee94e22adbf34f21537ff404106d5f10385c8da8a</x:v>
      </x:c>
      <x:c r="E152" s="12" t="str">
        <x:v>5adb8c6ee17f40d912bb9a3ee94e22adbf34f21537ff404106d5f10385c8da8a</x:v>
      </x:c>
      <x:c r="F152" s="12" t="str">
        <x:v>True</x:v>
      </x:c>
      <x:c r="G152" s="12" t="str">
        <x:v>48</x:v>
      </x:c>
      <x:c r="H152" s="12" t="str">
        <x:v>48</x:v>
      </x:c>
      <x:c r="I152" s="12" t="str">
        <x:v>0.0</x:v>
      </x:c>
      <x:c r="J152" s="12" t="str">
        <x:v>0.0</x:v>
      </x:c>
      <x:c r="K152" s="12" t="str">
        <x:v>47.0</x:v>
      </x:c>
      <x:c r="L152" s="12" t="str">
        <x:v>47.0</x:v>
      </x:c>
      <x:c r="M152" s="12" t="str">
        <x:v>True</x:v>
      </x:c>
      <x:c r="N152" s="12" t="str">
        <x:v>106</x:v>
      </x:c>
      <x:c r="O152" s="12" t="str">
        <x:v>106</x:v>
      </x:c>
      <x:c r="P152" s="16" t="str">
        <x:v>1.0</x:v>
      </x:c>
      <x:c r="Q152" s="12" t="str">
        <x:v>83</x:v>
      </x:c>
      <x:c r="R152" s="16" t="str">
        <x:v>0.7830188679245284</x:v>
      </x:c>
      <x:c r="S152" s="12" t="str">
        <x:v>0.2</x:v>
      </x:c>
      <x:c r="T152" s="12" t="str">
        <x:v>106</x:v>
      </x:c>
      <x:c r="U152" s="16" t="str">
        <x:v>1.0</x:v>
      </x:c>
      <x:c r="V152" s="18" t="str">
        <x:v>0.22195011377334595</x:v>
      </x:c>
      <x:c r="W152" s="18" t="str">
        <x:v>0.36164696514606476</x:v>
      </x:c>
      <x:c r="X152" s="18" t="str">
        <x:v>0.5500912666320801</x:v>
      </x:c>
      <x:c r="Y152" s="18" t="str">
        <x:v>0.5299615859985352</x:v>
      </x:c>
      <x:c r="Z152" s="18" t="str">
        <x:v>0.7963253259658813</x:v>
      </x:c>
      <x:c r="AA152" s="18" t="str">
        <x:v>0.8683234453201294</x:v>
      </x:c>
      <x:c r="AB152" s="20" t="str">
        <x:v>106.09869999825605</x:v>
      </x:c>
      <x:c r="AC152" s="12" t="str">
        <x:v>overlays\happy_001.png</x:v>
      </x:c>
      <x:c r="AD152" s="12" t="str"/>
      <x:c r="AE152" s="12" t="str"/>
      <x:c r="AF152" s="12" t="str">
        <x:v>acceptable</x:v>
      </x:c>
      <x:c r="AG152" s="12" t="n">
        <x:v>1</x:v>
      </x:c>
      <x:c r="AH152" s="12" t="str">
        <x:v>acceptable</x:v>
      </x:c>
      <x:c r="AI152" s="12" t="str">
        <x:v>acceptable</x:v>
      </x:c>
      <x:c r="AJ152" s="12" t="str">
        <x:v>acceptable</x:v>
      </x:c>
      <x:c r="AK152" s="12" t="str">
        <x:v>acceptable</x:v>
      </x:c>
      <x:c r="AL152" s="12" t="str">
        <x:v>mild</x:v>
      </x:c>
      <x:c r="AM152" s="14" t="str">
        <x:v>Large pose or profile; visible landmarks are useful, while hidden-side contour points are inferred.</x:v>
      </x:c>
    </x:row>
    <x:row r="153" ht="30" customHeight="1">
      <x:c r="A153" s="12" t="str">
        <x:v>happy_002</x:v>
      </x:c>
      <x:c r="B153" s="12" t="str">
        <x:v>happy</x:v>
      </x:c>
      <x:c r="C153" s="14" t="str">
        <x:v>happy/Training_56416885.jpg</x:v>
      </x:c>
      <x:c r="D153" s="12" t="str">
        <x:v>273a9b0c1191533de1be4155283c886e654cbf29bf53b76d68be7ce95679d97e</x:v>
      </x:c>
      <x:c r="E153" s="12" t="str">
        <x:v>273a9b0c1191533de1be4155283c886e654cbf29bf53b76d68be7ce95679d97e</x:v>
      </x:c>
      <x:c r="F153" s="12" t="str">
        <x:v>True</x:v>
      </x:c>
      <x:c r="G153" s="12" t="str">
        <x:v>48</x:v>
      </x:c>
      <x:c r="H153" s="12" t="str">
        <x:v>48</x:v>
      </x:c>
      <x:c r="I153" s="12" t="str">
        <x:v>0.0</x:v>
      </x:c>
      <x:c r="J153" s="12" t="str">
        <x:v>0.0</x:v>
      </x:c>
      <x:c r="K153" s="12" t="str">
        <x:v>47.0</x:v>
      </x:c>
      <x:c r="L153" s="12" t="str">
        <x:v>47.0</x:v>
      </x:c>
      <x:c r="M153" s="12" t="str">
        <x:v>True</x:v>
      </x:c>
      <x:c r="N153" s="12" t="str">
        <x:v>106</x:v>
      </x:c>
      <x:c r="O153" s="12" t="str">
        <x:v>106</x:v>
      </x:c>
      <x:c r="P153" s="16" t="str">
        <x:v>1.0</x:v>
      </x:c>
      <x:c r="Q153" s="12" t="str">
        <x:v>103</x:v>
      </x:c>
      <x:c r="R153" s="16" t="str">
        <x:v>0.9716981132075472</x:v>
      </x:c>
      <x:c r="S153" s="12" t="str">
        <x:v>0.2</x:v>
      </x:c>
      <x:c r="T153" s="12" t="str">
        <x:v>106</x:v>
      </x:c>
      <x:c r="U153" s="16" t="str">
        <x:v>1.0</x:v>
      </x:c>
      <x:c r="V153" s="18" t="str">
        <x:v>0.4168848991394043</x:v>
      </x:c>
      <x:c r="W153" s="18" t="str">
        <x:v>0.5064862966537476</x:v>
      </x:c>
      <x:c r="X153" s="18" t="str">
        <x:v>0.6869320869445801</x:v>
      </x:c>
      <x:c r="Y153" s="18" t="str">
        <x:v>0.645270824432373</x:v>
      </x:c>
      <x:c r="Z153" s="18" t="str">
        <x:v>0.9225907921791077</x:v>
      </x:c>
      <x:c r="AA153" s="18" t="str">
        <x:v>0.9892774224281311</x:v>
      </x:c>
      <x:c r="AB153" s="20" t="str">
        <x:v>102.95489999771235</x:v>
      </x:c>
      <x:c r="AC153" s="12" t="str">
        <x:v>overlays\happy_002.png</x:v>
      </x:c>
      <x:c r="AD153" s="12" t="str"/>
      <x:c r="AE153" s="12" t="str"/>
      <x:c r="AF153" s="12" t="str">
        <x:v>good</x:v>
      </x:c>
      <x:c r="AG153" s="12" t="n">
        <x:v>1</x:v>
      </x:c>
      <x:c r="AH153" s="12" t="str">
        <x:v>good</x:v>
      </x:c>
      <x:c r="AI153" s="12" t="str">
        <x:v>good</x:v>
      </x:c>
      <x:c r="AJ153" s="12" t="str">
        <x:v>good</x:v>
      </x:c>
      <x:c r="AK153" s="12" t="str">
        <x:v>not_applicable</x:v>
      </x:c>
      <x:c r="AL153" s="12" t="str">
        <x:v>none</x:v>
      </x:c>
      <x:c r="AM153" s="14" t="str">
        <x:v>Clear and well-aligned facial landmarks with no major pose, crop, or occlusion issue.</x:v>
      </x:c>
    </x:row>
    <x:row r="154" ht="30" customHeight="1">
      <x:c r="A154" s="12" t="str">
        <x:v>happy_003</x:v>
      </x:c>
      <x:c r="B154" s="12" t="str">
        <x:v>happy</x:v>
      </x:c>
      <x:c r="C154" s="14" t="str">
        <x:v>happy/Training_1027250.jpg</x:v>
      </x:c>
      <x:c r="D154" s="12" t="str">
        <x:v>60d0da158e9e0ce2b8f03a3c2feac99f0605c7cabcd8f4e3de084d4b3beca46a</x:v>
      </x:c>
      <x:c r="E154" s="12" t="str">
        <x:v>60d0da158e9e0ce2b8f03a3c2feac99f0605c7cabcd8f4e3de084d4b3beca46a</x:v>
      </x:c>
      <x:c r="F154" s="12" t="str">
        <x:v>True</x:v>
      </x:c>
      <x:c r="G154" s="12" t="str">
        <x:v>48</x:v>
      </x:c>
      <x:c r="H154" s="12" t="str">
        <x:v>48</x:v>
      </x:c>
      <x:c r="I154" s="12" t="str">
        <x:v>0.0</x:v>
      </x:c>
      <x:c r="J154" s="12" t="str">
        <x:v>0.0</x:v>
      </x:c>
      <x:c r="K154" s="12" t="str">
        <x:v>47.0</x:v>
      </x:c>
      <x:c r="L154" s="12" t="str">
        <x:v>47.0</x:v>
      </x:c>
      <x:c r="M154" s="12" t="str">
        <x:v>True</x:v>
      </x:c>
      <x:c r="N154" s="12" t="str">
        <x:v>106</x:v>
      </x:c>
      <x:c r="O154" s="12" t="str">
        <x:v>106</x:v>
      </x:c>
      <x:c r="P154" s="16" t="str">
        <x:v>1.0</x:v>
      </x:c>
      <x:c r="Q154" s="12" t="str">
        <x:v>101</x:v>
      </x:c>
      <x:c r="R154" s="16" t="str">
        <x:v>0.9528301886792453</x:v>
      </x:c>
      <x:c r="S154" s="12" t="str">
        <x:v>0.2</x:v>
      </x:c>
      <x:c r="T154" s="12" t="str">
        <x:v>106</x:v>
      </x:c>
      <x:c r="U154" s="16" t="str">
        <x:v>1.0</x:v>
      </x:c>
      <x:c r="V154" s="18" t="str">
        <x:v>0.5525214672088623</x:v>
      </x:c>
      <x:c r="W154" s="18" t="str">
        <x:v>0.6183289885520935</x:v>
      </x:c>
      <x:c r="X154" s="18" t="str">
        <x:v>0.7604821920394897</x:v>
      </x:c>
      <x:c r="Y154" s="18" t="str">
        <x:v>0.753696858882904</x:v>
      </x:c>
      <x:c r="Z154" s="18" t="str">
        <x:v>0.9201032519340515</x:v>
      </x:c>
      <x:c r="AA154" s="18" t="str">
        <x:v>0.9637932777404785</x:v>
      </x:c>
      <x:c r="AB154" s="20" t="str">
        <x:v>103.18800000095507</x:v>
      </x:c>
      <x:c r="AC154" s="12" t="str">
        <x:v>overlays\happy_003.png</x:v>
      </x:c>
      <x:c r="AD154" s="12" t="str"/>
      <x:c r="AE154" s="12" t="str"/>
      <x:c r="AF154" s="12" t="str">
        <x:v>acceptable</x:v>
      </x:c>
      <x:c r="AG154" s="12" t="n">
        <x:v>1</x:v>
      </x:c>
      <x:c r="AH154" s="12" t="str">
        <x:v>acceptable</x:v>
      </x:c>
      <x:c r="AI154" s="12" t="str">
        <x:v>acceptable</x:v>
      </x:c>
      <x:c r="AJ154" s="12" t="str">
        <x:v>acceptable</x:v>
      </x:c>
      <x:c r="AK154" s="12" t="str">
        <x:v>acceptable</x:v>
      </x:c>
      <x:c r="AL154" s="12" t="str">
        <x:v>mild</x:v>
      </x:c>
      <x:c r="AM154" s="14" t="str">
        <x:v>Large pose or profile; visible landmarks are useful, while hidden-side contour points are inferred.</x:v>
      </x:c>
    </x:row>
    <x:row r="155" ht="30" customHeight="1">
      <x:c r="A155" s="12" t="str">
        <x:v>happy_004</x:v>
      </x:c>
      <x:c r="B155" s="12" t="str">
        <x:v>happy</x:v>
      </x:c>
      <x:c r="C155" s="14" t="str">
        <x:v>happy/Training_83878071.jpg</x:v>
      </x:c>
      <x:c r="D155" s="12" t="str">
        <x:v>efb9b8896f320c18046c1831bae2d47e9619ed2cf810cbb2c22f93e5b9d4146a</x:v>
      </x:c>
      <x:c r="E155" s="12" t="str">
        <x:v>efb9b8896f320c18046c1831bae2d47e9619ed2cf810cbb2c22f93e5b9d4146a</x:v>
      </x:c>
      <x:c r="F155" s="12" t="str">
        <x:v>True</x:v>
      </x:c>
      <x:c r="G155" s="12" t="str">
        <x:v>48</x:v>
      </x:c>
      <x:c r="H155" s="12" t="str">
        <x:v>48</x:v>
      </x:c>
      <x:c r="I155" s="12" t="str">
        <x:v>0.0</x:v>
      </x:c>
      <x:c r="J155" s="12" t="str">
        <x:v>0.0</x:v>
      </x:c>
      <x:c r="K155" s="12" t="str">
        <x:v>47.0</x:v>
      </x:c>
      <x:c r="L155" s="12" t="str">
        <x:v>47.0</x:v>
      </x:c>
      <x:c r="M155" s="12" t="str">
        <x:v>True</x:v>
      </x:c>
      <x:c r="N155" s="12" t="str">
        <x:v>106</x:v>
      </x:c>
      <x:c r="O155" s="12" t="str">
        <x:v>106</x:v>
      </x:c>
      <x:c r="P155" s="16" t="str">
        <x:v>1.0</x:v>
      </x:c>
      <x:c r="Q155" s="12" t="str">
        <x:v>101</x:v>
      </x:c>
      <x:c r="R155" s="16" t="str">
        <x:v>0.9528301886792453</x:v>
      </x:c>
      <x:c r="S155" s="12" t="str">
        <x:v>0.2</x:v>
      </x:c>
      <x:c r="T155" s="12" t="str">
        <x:v>106</x:v>
      </x:c>
      <x:c r="U155" s="16" t="str">
        <x:v>1.0</x:v>
      </x:c>
      <x:c r="V155" s="18" t="str">
        <x:v>0.47719627618789673</x:v>
      </x:c>
      <x:c r="W155" s="18" t="str">
        <x:v>0.6035356521606445</x:v>
      </x:c>
      <x:c r="X155" s="18" t="str">
        <x:v>0.7375383973121643</x:v>
      </x:c>
      <x:c r="Y155" s="18" t="str">
        <x:v>0.7191343307495117</x:v>
      </x:c>
      <x:c r="Z155" s="18" t="str">
        <x:v>0.9156787395477295</x:v>
      </x:c>
      <x:c r="AA155" s="18" t="str">
        <x:v>1.0040699243545532</x:v>
      </x:c>
      <x:c r="AB155" s="20" t="str">
        <x:v>103.99950000282843</x:v>
      </x:c>
      <x:c r="AC155" s="12" t="str">
        <x:v>overlays\happy_004.png</x:v>
      </x:c>
      <x:c r="AD155" s="12" t="str"/>
      <x:c r="AE155" s="12" t="str"/>
      <x:c r="AF155" s="12" t="str">
        <x:v>good</x:v>
      </x:c>
      <x:c r="AG155" s="12" t="n">
        <x:v>1</x:v>
      </x:c>
      <x:c r="AH155" s="12" t="str">
        <x:v>good</x:v>
      </x:c>
      <x:c r="AI155" s="12" t="str">
        <x:v>good</x:v>
      </x:c>
      <x:c r="AJ155" s="12" t="str">
        <x:v>good</x:v>
      </x:c>
      <x:c r="AK155" s="12" t="str">
        <x:v>not_applicable</x:v>
      </x:c>
      <x:c r="AL155" s="12" t="str">
        <x:v>none</x:v>
      </x:c>
      <x:c r="AM155" s="14" t="str">
        <x:v>Clear and well-aligned facial landmarks with no major pose, crop, or occlusion issue.</x:v>
      </x:c>
    </x:row>
    <x:row r="156" ht="30" customHeight="1">
      <x:c r="A156" s="12" t="str">
        <x:v>happy_005</x:v>
      </x:c>
      <x:c r="B156" s="12" t="str">
        <x:v>happy</x:v>
      </x:c>
      <x:c r="C156" s="14" t="str">
        <x:v>happy/Training_99396547.jpg</x:v>
      </x:c>
      <x:c r="D156" s="12" t="str">
        <x:v>3de241f1e55e801a13dfea25575e0c54d4c88864a28380e20d63f2345995e5ee</x:v>
      </x:c>
      <x:c r="E156" s="12" t="str">
        <x:v>3de241f1e55e801a13dfea25575e0c54d4c88864a28380e20d63f2345995e5ee</x:v>
      </x:c>
      <x:c r="F156" s="12" t="str">
        <x:v>True</x:v>
      </x:c>
      <x:c r="G156" s="12" t="str">
        <x:v>48</x:v>
      </x:c>
      <x:c r="H156" s="12" t="str">
        <x:v>48</x:v>
      </x:c>
      <x:c r="I156" s="12" t="str">
        <x:v>0.0</x:v>
      </x:c>
      <x:c r="J156" s="12" t="str">
        <x:v>0.0</x:v>
      </x:c>
      <x:c r="K156" s="12" t="str">
        <x:v>47.0</x:v>
      </x:c>
      <x:c r="L156" s="12" t="str">
        <x:v>47.0</x:v>
      </x:c>
      <x:c r="M156" s="12" t="str">
        <x:v>True</x:v>
      </x:c>
      <x:c r="N156" s="12" t="str">
        <x:v>106</x:v>
      </x:c>
      <x:c r="O156" s="12" t="str">
        <x:v>106</x:v>
      </x:c>
      <x:c r="P156" s="16" t="str">
        <x:v>1.0</x:v>
      </x:c>
      <x:c r="Q156" s="12" t="str">
        <x:v>104</x:v>
      </x:c>
      <x:c r="R156" s="16" t="str">
        <x:v>0.9811320754716981</x:v>
      </x:c>
      <x:c r="S156" s="12" t="str">
        <x:v>0.2</x:v>
      </x:c>
      <x:c r="T156" s="12" t="str">
        <x:v>106</x:v>
      </x:c>
      <x:c r="U156" s="16" t="str">
        <x:v>1.0</x:v>
      </x:c>
      <x:c r="V156" s="18" t="str">
        <x:v>0.33388227224349976</x:v>
      </x:c>
      <x:c r="W156" s="18" t="str">
        <x:v>0.453778401017189</x:v>
      </x:c>
      <x:c r="X156" s="18" t="str">
        <x:v>0.6798233389854431</x:v>
      </x:c>
      <x:c r="Y156" s="18" t="str">
        <x:v>0.6751806735992432</x:v>
      </x:c>
      <x:c r="Z156" s="18" t="str">
        <x:v>0.9323632717132568</x:v>
      </x:c>
      <x:c r="AA156" s="18" t="str">
        <x:v>1.0363621711730957</x:v>
      </x:c>
      <x:c r="AB156" s="20" t="str">
        <x:v>110.5070000012347</x:v>
      </x:c>
      <x:c r="AC156" s="12" t="str">
        <x:v>overlays\happy_005.png</x:v>
      </x:c>
      <x:c r="AD156" s="12" t="str"/>
      <x:c r="AE156" s="12" t="str"/>
      <x:c r="AF156" s="12" t="str">
        <x:v>good</x:v>
      </x:c>
      <x:c r="AG156" s="12" t="n">
        <x:v>1</x:v>
      </x:c>
      <x:c r="AH156" s="12" t="str">
        <x:v>good</x:v>
      </x:c>
      <x:c r="AI156" s="12" t="str">
        <x:v>good</x:v>
      </x:c>
      <x:c r="AJ156" s="12" t="str">
        <x:v>good</x:v>
      </x:c>
      <x:c r="AK156" s="12" t="str">
        <x:v>not_applicable</x:v>
      </x:c>
      <x:c r="AL156" s="12" t="str">
        <x:v>none</x:v>
      </x:c>
      <x:c r="AM156" s="14" t="str">
        <x:v>Clear and well-aligned facial landmarks with no major pose, crop, or occlusion issue.</x:v>
      </x:c>
    </x:row>
    <x:row r="157" ht="30" customHeight="1">
      <x:c r="A157" s="12" t="str">
        <x:v>happy_006</x:v>
      </x:c>
      <x:c r="B157" s="12" t="str">
        <x:v>happy</x:v>
      </x:c>
      <x:c r="C157" s="14" t="str">
        <x:v>happy/Training_83686207.jpg</x:v>
      </x:c>
      <x:c r="D157" s="12" t="str">
        <x:v>fb0e6ae14cef3f1f4694113ce6c9112c45ad0c5f4645b385c98231076df85afe</x:v>
      </x:c>
      <x:c r="E157" s="12" t="str">
        <x:v>fb0e6ae14cef3f1f4694113ce6c9112c45ad0c5f4645b385c98231076df85afe</x:v>
      </x:c>
      <x:c r="F157" s="12" t="str">
        <x:v>True</x:v>
      </x:c>
      <x:c r="G157" s="12" t="str">
        <x:v>48</x:v>
      </x:c>
      <x:c r="H157" s="12" t="str">
        <x:v>48</x:v>
      </x:c>
      <x:c r="I157" s="12" t="str">
        <x:v>0.0</x:v>
      </x:c>
      <x:c r="J157" s="12" t="str">
        <x:v>0.0</x:v>
      </x:c>
      <x:c r="K157" s="12" t="str">
        <x:v>47.0</x:v>
      </x:c>
      <x:c r="L157" s="12" t="str">
        <x:v>47.0</x:v>
      </x:c>
      <x:c r="M157" s="12" t="str">
        <x:v>True</x:v>
      </x:c>
      <x:c r="N157" s="12" t="str">
        <x:v>106</x:v>
      </x:c>
      <x:c r="O157" s="12" t="str">
        <x:v>106</x:v>
      </x:c>
      <x:c r="P157" s="16" t="str">
        <x:v>1.0</x:v>
      </x:c>
      <x:c r="Q157" s="12" t="str">
        <x:v>100</x:v>
      </x:c>
      <x:c r="R157" s="16" t="str">
        <x:v>0.9433962264150944</x:v>
      </x:c>
      <x:c r="S157" s="12" t="str">
        <x:v>0.2</x:v>
      </x:c>
      <x:c r="T157" s="12" t="str">
        <x:v>106</x:v>
      </x:c>
      <x:c r="U157" s="16" t="str">
        <x:v>1.0</x:v>
      </x:c>
      <x:c r="V157" s="18" t="str">
        <x:v>0.2975614368915558</x:v>
      </x:c>
      <x:c r="W157" s="18" t="str">
        <x:v>0.3903254121541977</x:v>
      </x:c>
      <x:c r="X157" s="18" t="str">
        <x:v>0.5827372670173645</x:v>
      </x:c>
      <x:c r="Y157" s="18" t="str">
        <x:v>0.5526111125946045</x:v>
      </x:c>
      <x:c r="Z157" s="18" t="str">
        <x:v>0.7947518825531006</x:v>
      </x:c>
      <x:c r="AA157" s="18" t="str">
        <x:v>0.8912031650543213</x:v>
      </x:c>
      <x:c r="AB157" s="20" t="str">
        <x:v>113.9184000021487</x:v>
      </x:c>
      <x:c r="AC157" s="12" t="str">
        <x:v>overlays\happy_006.png</x:v>
      </x:c>
      <x:c r="AD157" s="12" t="str"/>
      <x:c r="AE157" s="12" t="str"/>
      <x:c r="AF157" s="12" t="str">
        <x:v>acceptable</x:v>
      </x:c>
      <x:c r="AG157" s="12" t="n">
        <x:v>1</x:v>
      </x:c>
      <x:c r="AH157" s="12" t="str">
        <x:v>acceptable</x:v>
      </x:c>
      <x:c r="AI157" s="12" t="str">
        <x:v>acceptable</x:v>
      </x:c>
      <x:c r="AJ157" s="12" t="str">
        <x:v>acceptable</x:v>
      </x:c>
      <x:c r="AK157" s="12" t="str">
        <x:v>acceptable</x:v>
      </x:c>
      <x:c r="AL157" s="12" t="str">
        <x:v>mild</x:v>
      </x:c>
      <x:c r="AM157" s="14" t="str">
        <x:v>Moderate pose, crop, or image degradation causes minor landmark uncertainty; the result remains usable.</x:v>
      </x:c>
    </x:row>
    <x:row r="158" ht="30" customHeight="1">
      <x:c r="A158" s="12" t="str">
        <x:v>happy_007</x:v>
      </x:c>
      <x:c r="B158" s="12" t="str">
        <x:v>happy</x:v>
      </x:c>
      <x:c r="C158" s="14" t="str">
        <x:v>happy/Training_3661380.jpg</x:v>
      </x:c>
      <x:c r="D158" s="12" t="str">
        <x:v>7c28301606a180c811b850ebafad830c2bff50c1e51a1eb3ccd760b530c049be</x:v>
      </x:c>
      <x:c r="E158" s="12" t="str">
        <x:v>7c28301606a180c811b850ebafad830c2bff50c1e51a1eb3ccd760b530c049be</x:v>
      </x:c>
      <x:c r="F158" s="12" t="str">
        <x:v>True</x:v>
      </x:c>
      <x:c r="G158" s="12" t="str">
        <x:v>48</x:v>
      </x:c>
      <x:c r="H158" s="12" t="str">
        <x:v>48</x:v>
      </x:c>
      <x:c r="I158" s="12" t="str">
        <x:v>0.0</x:v>
      </x:c>
      <x:c r="J158" s="12" t="str">
        <x:v>0.0</x:v>
      </x:c>
      <x:c r="K158" s="12" t="str">
        <x:v>47.0</x:v>
      </x:c>
      <x:c r="L158" s="12" t="str">
        <x:v>47.0</x:v>
      </x:c>
      <x:c r="M158" s="12" t="str">
        <x:v>True</x:v>
      </x:c>
      <x:c r="N158" s="12" t="str">
        <x:v>106</x:v>
      </x:c>
      <x:c r="O158" s="12" t="str">
        <x:v>106</x:v>
      </x:c>
      <x:c r="P158" s="16" t="str">
        <x:v>1.0</x:v>
      </x:c>
      <x:c r="Q158" s="12" t="str">
        <x:v>104</x:v>
      </x:c>
      <x:c r="R158" s="16" t="str">
        <x:v>0.9811320754716981</x:v>
      </x:c>
      <x:c r="S158" s="12" t="str">
        <x:v>0.2</x:v>
      </x:c>
      <x:c r="T158" s="12" t="str">
        <x:v>106</x:v>
      </x:c>
      <x:c r="U158" s="16" t="str">
        <x:v>1.0</x:v>
      </x:c>
      <x:c r="V158" s="18" t="str">
        <x:v>0.6115155220031738</x:v>
      </x:c>
      <x:c r="W158" s="18" t="str">
        <x:v>0.6633130311965942</x:v>
      </x:c>
      <x:c r="X158" s="18" t="str">
        <x:v>0.7757262587547302</x:v>
      </x:c>
      <x:c r="Y158" s="18" t="str">
        <x:v>0.7845977544784546</x:v>
      </x:c>
      <x:c r="Z158" s="18" t="str">
        <x:v>0.8853206038475037</x:v>
      </x:c>
      <x:c r="AA158" s="18" t="str">
        <x:v>0.9625526070594788</x:v>
      </x:c>
      <x:c r="AB158" s="20" t="str">
        <x:v>106.98730000149226</x:v>
      </x:c>
      <x:c r="AC158" s="12" t="str">
        <x:v>overlays\happy_007.png</x:v>
      </x:c>
      <x:c r="AD158" s="12" t="str"/>
      <x:c r="AE158" s="12" t="str"/>
      <x:c r="AF158" s="12" t="str">
        <x:v>good</x:v>
      </x:c>
      <x:c r="AG158" s="12" t="n">
        <x:v>1</x:v>
      </x:c>
      <x:c r="AH158" s="12" t="str">
        <x:v>good</x:v>
      </x:c>
      <x:c r="AI158" s="12" t="str">
        <x:v>good</x:v>
      </x:c>
      <x:c r="AJ158" s="12" t="str">
        <x:v>good</x:v>
      </x:c>
      <x:c r="AK158" s="12" t="str">
        <x:v>good</x:v>
      </x:c>
      <x:c r="AL158" s="12" t="str">
        <x:v>none</x:v>
      </x:c>
      <x:c r="AM158" s="14" t="str">
        <x:v>Clear and well-aligned facial landmarks with no major pose, crop, or occlusion issue.</x:v>
      </x:c>
    </x:row>
    <x:row r="159" ht="30" customHeight="1">
      <x:c r="A159" s="12" t="str">
        <x:v>happy_008</x:v>
      </x:c>
      <x:c r="B159" s="12" t="str">
        <x:v>happy</x:v>
      </x:c>
      <x:c r="C159" s="14" t="str">
        <x:v>happy/Training_6152578.jpg</x:v>
      </x:c>
      <x:c r="D159" s="12" t="str">
        <x:v>bbb218a11ed2139b14f85ba064ee5a9b7a8133b60ff70c741121c3a6515a979c</x:v>
      </x:c>
      <x:c r="E159" s="12" t="str">
        <x:v>bbb218a11ed2139b14f85ba064ee5a9b7a8133b60ff70c741121c3a6515a979c</x:v>
      </x:c>
      <x:c r="F159" s="12" t="str">
        <x:v>True</x:v>
      </x:c>
      <x:c r="G159" s="12" t="str">
        <x:v>48</x:v>
      </x:c>
      <x:c r="H159" s="12" t="str">
        <x:v>48</x:v>
      </x:c>
      <x:c r="I159" s="12" t="str">
        <x:v>0.0</x:v>
      </x:c>
      <x:c r="J159" s="12" t="str">
        <x:v>0.0</x:v>
      </x:c>
      <x:c r="K159" s="12" t="str">
        <x:v>47.0</x:v>
      </x:c>
      <x:c r="L159" s="12" t="str">
        <x:v>47.0</x:v>
      </x:c>
      <x:c r="M159" s="12" t="str">
        <x:v>True</x:v>
      </x:c>
      <x:c r="N159" s="12" t="str">
        <x:v>106</x:v>
      </x:c>
      <x:c r="O159" s="12" t="str">
        <x:v>106</x:v>
      </x:c>
      <x:c r="P159" s="16" t="str">
        <x:v>1.0</x:v>
      </x:c>
      <x:c r="Q159" s="12" t="str">
        <x:v>102</x:v>
      </x:c>
      <x:c r="R159" s="16" t="str">
        <x:v>0.9622641509433962</x:v>
      </x:c>
      <x:c r="S159" s="12" t="str">
        <x:v>0.2</x:v>
      </x:c>
      <x:c r="T159" s="12" t="str">
        <x:v>106</x:v>
      </x:c>
      <x:c r="U159" s="16" t="str">
        <x:v>1.0</x:v>
      </x:c>
      <x:c r="V159" s="18" t="str">
        <x:v>0.5963835120201111</x:v>
      </x:c>
      <x:c r="W159" s="18" t="str">
        <x:v>0.6798586845397949</x:v>
      </x:c>
      <x:c r="X159" s="18" t="str">
        <x:v>0.7648557424545288</x:v>
      </x:c>
      <x:c r="Y159" s="18" t="str">
        <x:v>0.7568726539611816</x:v>
      </x:c>
      <x:c r="Z159" s="18" t="str">
        <x:v>0.8749297559261322</x:v>
      </x:c>
      <x:c r="AA159" s="18" t="str">
        <x:v>0.9559778571128845</x:v>
      </x:c>
      <x:c r="AB159" s="20" t="str">
        <x:v>103.98469999927329</x:v>
      </x:c>
      <x:c r="AC159" s="12" t="str">
        <x:v>overlays\happy_008.png</x:v>
      </x:c>
      <x:c r="AD159" s="12" t="str"/>
      <x:c r="AE159" s="12" t="str"/>
      <x:c r="AF159" s="12" t="str">
        <x:v>good</x:v>
      </x:c>
      <x:c r="AG159" s="12" t="n">
        <x:v>1</x:v>
      </x:c>
      <x:c r="AH159" s="12" t="str">
        <x:v>good</x:v>
      </x:c>
      <x:c r="AI159" s="12" t="str">
        <x:v>good</x:v>
      </x:c>
      <x:c r="AJ159" s="12" t="str">
        <x:v>good</x:v>
      </x:c>
      <x:c r="AK159" s="12" t="str">
        <x:v>good</x:v>
      </x:c>
      <x:c r="AL159" s="12" t="str">
        <x:v>none</x:v>
      </x:c>
      <x:c r="AM159" s="14" t="str">
        <x:v>Clear and well-aligned facial landmarks with no major pose, crop, or occlusion issue.</x:v>
      </x:c>
    </x:row>
    <x:row r="160" ht="30" customHeight="1">
      <x:c r="A160" s="12" t="str">
        <x:v>happy_009</x:v>
      </x:c>
      <x:c r="B160" s="12" t="str">
        <x:v>happy</x:v>
      </x:c>
      <x:c r="C160" s="14" t="str">
        <x:v>happy/Training_8782744.jpg</x:v>
      </x:c>
      <x:c r="D160" s="12" t="str">
        <x:v>2cc1db749109102cad78124e3262708daae497a160bca515d800dbff27ac4aee</x:v>
      </x:c>
      <x:c r="E160" s="12" t="str">
        <x:v>2cc1db749109102cad78124e3262708daae497a160bca515d800dbff27ac4aee</x:v>
      </x:c>
      <x:c r="F160" s="12" t="str">
        <x:v>True</x:v>
      </x:c>
      <x:c r="G160" s="12" t="str">
        <x:v>48</x:v>
      </x:c>
      <x:c r="H160" s="12" t="str">
        <x:v>48</x:v>
      </x:c>
      <x:c r="I160" s="12" t="str">
        <x:v>0.0</x:v>
      </x:c>
      <x:c r="J160" s="12" t="str">
        <x:v>0.0</x:v>
      </x:c>
      <x:c r="K160" s="12" t="str">
        <x:v>47.0</x:v>
      </x:c>
      <x:c r="L160" s="12" t="str">
        <x:v>47.0</x:v>
      </x:c>
      <x:c r="M160" s="12" t="str">
        <x:v>True</x:v>
      </x:c>
      <x:c r="N160" s="12" t="str">
        <x:v>106</x:v>
      </x:c>
      <x:c r="O160" s="12" t="str">
        <x:v>106</x:v>
      </x:c>
      <x:c r="P160" s="16" t="str">
        <x:v>1.0</x:v>
      </x:c>
      <x:c r="Q160" s="12" t="str">
        <x:v>103</x:v>
      </x:c>
      <x:c r="R160" s="16" t="str">
        <x:v>0.9716981132075472</x:v>
      </x:c>
      <x:c r="S160" s="12" t="str">
        <x:v>0.2</x:v>
      </x:c>
      <x:c r="T160" s="12" t="str">
        <x:v>106</x:v>
      </x:c>
      <x:c r="U160" s="16" t="str">
        <x:v>1.0</x:v>
      </x:c>
      <x:c r="V160" s="18" t="str">
        <x:v>0.39891815185546875</x:v>
      </x:c>
      <x:c r="W160" s="18" t="str">
        <x:v>0.48223038017749786</x:v>
      </x:c>
      <x:c r="X160" s="18" t="str">
        <x:v>0.6047573685646057</x:v>
      </x:c>
      <x:c r="Y160" s="18" t="str">
        <x:v>0.597929835319519</x:v>
      </x:c>
      <x:c r="Z160" s="18" t="str">
        <x:v>0.7574890553951263</x:v>
      </x:c>
      <x:c r="AA160" s="18" t="str">
        <x:v>0.8443673253059387</x:v>
      </x:c>
      <x:c r="AB160" s="20" t="str">
        <x:v>103.5262999976112</x:v>
      </x:c>
      <x:c r="AC160" s="12" t="str">
        <x:v>overlays\happy_009.png</x:v>
      </x:c>
      <x:c r="AD160" s="12" t="str"/>
      <x:c r="AE160" s="12" t="str"/>
      <x:c r="AF160" s="12" t="str">
        <x:v>good</x:v>
      </x:c>
      <x:c r="AG160" s="12" t="n">
        <x:v>1</x:v>
      </x:c>
      <x:c r="AH160" s="12" t="str">
        <x:v>good</x:v>
      </x:c>
      <x:c r="AI160" s="12" t="str">
        <x:v>good</x:v>
      </x:c>
      <x:c r="AJ160" s="12" t="str">
        <x:v>good</x:v>
      </x:c>
      <x:c r="AK160" s="12" t="str">
        <x:v>good</x:v>
      </x:c>
      <x:c r="AL160" s="12" t="str">
        <x:v>none</x:v>
      </x:c>
      <x:c r="AM160" s="14" t="str">
        <x:v>Clear and well-aligned facial landmarks with no major pose, crop, or occlusion issue.</x:v>
      </x:c>
    </x:row>
    <x:row r="161" ht="30" customHeight="1">
      <x:c r="A161" s="12" t="str">
        <x:v>happy_010</x:v>
      </x:c>
      <x:c r="B161" s="12" t="str">
        <x:v>happy</x:v>
      </x:c>
      <x:c r="C161" s="14" t="str">
        <x:v>happy/Training_27676856.jpg</x:v>
      </x:c>
      <x:c r="D161" s="12" t="str">
        <x:v>ef8664b47f350719b0516ef32a03ee74b202881b1343ce1b84acc7c9cf702788</x:v>
      </x:c>
      <x:c r="E161" s="12" t="str">
        <x:v>ef8664b47f350719b0516ef32a03ee74b202881b1343ce1b84acc7c9cf702788</x:v>
      </x:c>
      <x:c r="F161" s="12" t="str">
        <x:v>True</x:v>
      </x:c>
      <x:c r="G161" s="12" t="str">
        <x:v>48</x:v>
      </x:c>
      <x:c r="H161" s="12" t="str">
        <x:v>48</x:v>
      </x:c>
      <x:c r="I161" s="12" t="str">
        <x:v>0.0</x:v>
      </x:c>
      <x:c r="J161" s="12" t="str">
        <x:v>0.0</x:v>
      </x:c>
      <x:c r="K161" s="12" t="str">
        <x:v>47.0</x:v>
      </x:c>
      <x:c r="L161" s="12" t="str">
        <x:v>47.0</x:v>
      </x:c>
      <x:c r="M161" s="12" t="str">
        <x:v>True</x:v>
      </x:c>
      <x:c r="N161" s="12" t="str">
        <x:v>106</x:v>
      </x:c>
      <x:c r="O161" s="12" t="str">
        <x:v>106</x:v>
      </x:c>
      <x:c r="P161" s="16" t="str">
        <x:v>1.0</x:v>
      </x:c>
      <x:c r="Q161" s="12" t="str">
        <x:v>91</x:v>
      </x:c>
      <x:c r="R161" s="16" t="str">
        <x:v>0.8584905660377359</x:v>
      </x:c>
      <x:c r="S161" s="12" t="str">
        <x:v>0.2</x:v>
      </x:c>
      <x:c r="T161" s="12" t="str">
        <x:v>106</x:v>
      </x:c>
      <x:c r="U161" s="16" t="str">
        <x:v>1.0</x:v>
      </x:c>
      <x:c r="V161" s="18" t="str">
        <x:v>0.574326753616333</x:v>
      </x:c>
      <x:c r="W161" s="18" t="str">
        <x:v>0.6608390212059021</x:v>
      </x:c>
      <x:c r="X161" s="18" t="str">
        <x:v>0.7682465314865112</x:v>
      </x:c>
      <x:c r="Y161" s="18" t="str">
        <x:v>0.7670159935951233</x:v>
      </x:c>
      <x:c r="Z161" s="18" t="str">
        <x:v>0.8915334939956665</x:v>
      </x:c>
      <x:c r="AA161" s="18" t="str">
        <x:v>1.0039336681365967</x:v>
      </x:c>
      <x:c r="AB161" s="20" t="str">
        <x:v>108.71789999873727</x:v>
      </x:c>
      <x:c r="AC161" s="12" t="str">
        <x:v>overlays\happy_010.png</x:v>
      </x:c>
      <x:c r="AD161" s="12" t="str"/>
      <x:c r="AE161" s="12" t="str"/>
      <x:c r="AF161" s="12" t="str">
        <x:v>acceptable</x:v>
      </x:c>
      <x:c r="AG161" s="12" t="n">
        <x:v>1</x:v>
      </x:c>
      <x:c r="AH161" s="12" t="str">
        <x:v>acceptable</x:v>
      </x:c>
      <x:c r="AI161" s="12" t="str">
        <x:v>acceptable</x:v>
      </x:c>
      <x:c r="AJ161" s="12" t="str">
        <x:v>acceptable</x:v>
      </x:c>
      <x:c r="AK161" s="12" t="str">
        <x:v>acceptable</x:v>
      </x:c>
      <x:c r="AL161" s="12" t="str">
        <x:v>mild</x:v>
      </x:c>
      <x:c r="AM161" s="14" t="str">
        <x:v>Moderate pose, crop, or image degradation causes minor landmark uncertainty; the result remains usable.</x:v>
      </x:c>
    </x:row>
    <x:row r="162" ht="30" customHeight="1">
      <x:c r="A162" s="12" t="str">
        <x:v>happy_011</x:v>
      </x:c>
      <x:c r="B162" s="12" t="str">
        <x:v>happy</x:v>
      </x:c>
      <x:c r="C162" s="14" t="str">
        <x:v>happy/Training_62188248.jpg</x:v>
      </x:c>
      <x:c r="D162" s="12" t="str">
        <x:v>b9de524f06645b55d388b3fcddc908c8aba0ad3a11c641f44184347c387d5975</x:v>
      </x:c>
      <x:c r="E162" s="12" t="str">
        <x:v>b9de524f06645b55d388b3fcddc908c8aba0ad3a11c641f44184347c387d5975</x:v>
      </x:c>
      <x:c r="F162" s="12" t="str">
        <x:v>True</x:v>
      </x:c>
      <x:c r="G162" s="12" t="str">
        <x:v>48</x:v>
      </x:c>
      <x:c r="H162" s="12" t="str">
        <x:v>48</x:v>
      </x:c>
      <x:c r="I162" s="12" t="str">
        <x:v>0.0</x:v>
      </x:c>
      <x:c r="J162" s="12" t="str">
        <x:v>0.0</x:v>
      </x:c>
      <x:c r="K162" s="12" t="str">
        <x:v>47.0</x:v>
      </x:c>
      <x:c r="L162" s="12" t="str">
        <x:v>47.0</x:v>
      </x:c>
      <x:c r="M162" s="12" t="str">
        <x:v>True</x:v>
      </x:c>
      <x:c r="N162" s="12" t="str">
        <x:v>106</x:v>
      </x:c>
      <x:c r="O162" s="12" t="str">
        <x:v>106</x:v>
      </x:c>
      <x:c r="P162" s="16" t="str">
        <x:v>1.0</x:v>
      </x:c>
      <x:c r="Q162" s="12" t="str">
        <x:v>100</x:v>
      </x:c>
      <x:c r="R162" s="16" t="str">
        <x:v>0.9433962264150944</x:v>
      </x:c>
      <x:c r="S162" s="12" t="str">
        <x:v>0.2</x:v>
      </x:c>
      <x:c r="T162" s="12" t="str">
        <x:v>106</x:v>
      </x:c>
      <x:c r="U162" s="16" t="str">
        <x:v>1.0</x:v>
      </x:c>
      <x:c r="V162" s="18" t="str">
        <x:v>0.4847651720046997</x:v>
      </x:c>
      <x:c r="W162" s="18" t="str">
        <x:v>0.5637640953063965</x:v>
      </x:c>
      <x:c r="X162" s="18" t="str">
        <x:v>0.7343987226486206</x:v>
      </x:c>
      <x:c r="Y162" s="18" t="str">
        <x:v>0.6982100009918213</x:v>
      </x:c>
      <x:c r="Z162" s="18" t="str">
        <x:v>0.9681530892848969</x:v>
      </x:c>
      <x:c r="AA162" s="18" t="str">
        <x:v>1.0244526863098145</x:v>
      </x:c>
      <x:c r="AB162" s="20" t="str">
        <x:v>104.34419999728561</x:v>
      </x:c>
      <x:c r="AC162" s="12" t="str">
        <x:v>overlays\happy_011.png</x:v>
      </x:c>
      <x:c r="AD162" s="12" t="str"/>
      <x:c r="AE162" s="12" t="str"/>
      <x:c r="AF162" s="12" t="str">
        <x:v>good</x:v>
      </x:c>
      <x:c r="AG162" s="12" t="n">
        <x:v>1</x:v>
      </x:c>
      <x:c r="AH162" s="12" t="str">
        <x:v>good</x:v>
      </x:c>
      <x:c r="AI162" s="12" t="str">
        <x:v>good</x:v>
      </x:c>
      <x:c r="AJ162" s="12" t="str">
        <x:v>good</x:v>
      </x:c>
      <x:c r="AK162" s="12" t="str">
        <x:v>good</x:v>
      </x:c>
      <x:c r="AL162" s="12" t="str">
        <x:v>none</x:v>
      </x:c>
      <x:c r="AM162" s="14" t="str">
        <x:v>Clear and well-aligned facial landmarks with no major pose, crop, or occlusion issue.</x:v>
      </x:c>
    </x:row>
    <x:row r="163" ht="30" customHeight="1">
      <x:c r="A163" s="12" t="str">
        <x:v>happy_012</x:v>
      </x:c>
      <x:c r="B163" s="12" t="str">
        <x:v>happy</x:v>
      </x:c>
      <x:c r="C163" s="14" t="str">
        <x:v>happy/Training_20567352.jpg</x:v>
      </x:c>
      <x:c r="D163" s="12" t="str">
        <x:v>6a6053932b8a6cc6bf8400a1c64080b41ee3e2676aa2a5b386e2b4e7b9c4ba67</x:v>
      </x:c>
      <x:c r="E163" s="12" t="str">
        <x:v>6a6053932b8a6cc6bf8400a1c64080b41ee3e2676aa2a5b386e2b4e7b9c4ba67</x:v>
      </x:c>
      <x:c r="F163" s="12" t="str">
        <x:v>True</x:v>
      </x:c>
      <x:c r="G163" s="12" t="str">
        <x:v>48</x:v>
      </x:c>
      <x:c r="H163" s="12" t="str">
        <x:v>48</x:v>
      </x:c>
      <x:c r="I163" s="12" t="str">
        <x:v>0.0</x:v>
      </x:c>
      <x:c r="J163" s="12" t="str">
        <x:v>0.0</x:v>
      </x:c>
      <x:c r="K163" s="12" t="str">
        <x:v>47.0</x:v>
      </x:c>
      <x:c r="L163" s="12" t="str">
        <x:v>47.0</x:v>
      </x:c>
      <x:c r="M163" s="12" t="str">
        <x:v>True</x:v>
      </x:c>
      <x:c r="N163" s="12" t="str">
        <x:v>106</x:v>
      </x:c>
      <x:c r="O163" s="12" t="str">
        <x:v>106</x:v>
      </x:c>
      <x:c r="P163" s="16" t="str">
        <x:v>1.0</x:v>
      </x:c>
      <x:c r="Q163" s="12" t="str">
        <x:v>102</x:v>
      </x:c>
      <x:c r="R163" s="16" t="str">
        <x:v>0.9622641509433962</x:v>
      </x:c>
      <x:c r="S163" s="12" t="str">
        <x:v>0.2</x:v>
      </x:c>
      <x:c r="T163" s="12" t="str">
        <x:v>106</x:v>
      </x:c>
      <x:c r="U163" s="16" t="str">
        <x:v>1.0</x:v>
      </x:c>
      <x:c r="V163" s="18" t="str">
        <x:v>0.3552486300468445</x:v>
      </x:c>
      <x:c r="W163" s="18" t="str">
        <x:v>0.5076607763767242</x:v>
      </x:c>
      <x:c r="X163" s="18" t="str">
        <x:v>0.7026897668838501</x:v>
      </x:c>
      <x:c r="Y163" s="18" t="str">
        <x:v>0.6665671467781067</x:v>
      </x:c>
      <x:c r="Z163" s="18" t="str">
        <x:v>0.9690935909748077</x:v>
      </x:c>
      <x:c r="AA163" s="18" t="str">
        <x:v>1.0444438457489014</x:v>
      </x:c>
      <x:c r="AB163" s="20" t="str">
        <x:v>103.09069999857456</x:v>
      </x:c>
      <x:c r="AC163" s="12" t="str">
        <x:v>overlays\happy_012.png</x:v>
      </x:c>
      <x:c r="AD163" s="12" t="str"/>
      <x:c r="AE163" s="12" t="str"/>
      <x:c r="AF163" s="12" t="str">
        <x:v>good</x:v>
      </x:c>
      <x:c r="AG163" s="12" t="n">
        <x:v>1</x:v>
      </x:c>
      <x:c r="AH163" s="12" t="str">
        <x:v>good</x:v>
      </x:c>
      <x:c r="AI163" s="12" t="str">
        <x:v>good</x:v>
      </x:c>
      <x:c r="AJ163" s="12" t="str">
        <x:v>good</x:v>
      </x:c>
      <x:c r="AK163" s="12" t="str">
        <x:v>not_applicable</x:v>
      </x:c>
      <x:c r="AL163" s="12" t="str">
        <x:v>none</x:v>
      </x:c>
      <x:c r="AM163" s="14" t="str">
        <x:v>Clear and well-aligned facial landmarks with no major pose, crop, or occlusion issue.</x:v>
      </x:c>
    </x:row>
    <x:row r="164" ht="30" customHeight="1">
      <x:c r="A164" s="12" t="str">
        <x:v>happy_013</x:v>
      </x:c>
      <x:c r="B164" s="12" t="str">
        <x:v>happy</x:v>
      </x:c>
      <x:c r="C164" s="14" t="str">
        <x:v>happy/Training_98862396.jpg</x:v>
      </x:c>
      <x:c r="D164" s="12" t="str">
        <x:v>1764714bfeba7beae92537d7741c29741275bf17f6f128d218f30cb534572beb</x:v>
      </x:c>
      <x:c r="E164" s="12" t="str">
        <x:v>1764714bfeba7beae92537d7741c29741275bf17f6f128d218f30cb534572beb</x:v>
      </x:c>
      <x:c r="F164" s="12" t="str">
        <x:v>True</x:v>
      </x:c>
      <x:c r="G164" s="12" t="str">
        <x:v>48</x:v>
      </x:c>
      <x:c r="H164" s="12" t="str">
        <x:v>48</x:v>
      </x:c>
      <x:c r="I164" s="12" t="str">
        <x:v>0.0</x:v>
      </x:c>
      <x:c r="J164" s="12" t="str">
        <x:v>0.0</x:v>
      </x:c>
      <x:c r="K164" s="12" t="str">
        <x:v>47.0</x:v>
      </x:c>
      <x:c r="L164" s="12" t="str">
        <x:v>47.0</x:v>
      </x:c>
      <x:c r="M164" s="12" t="str">
        <x:v>True</x:v>
      </x:c>
      <x:c r="N164" s="12" t="str">
        <x:v>106</x:v>
      </x:c>
      <x:c r="O164" s="12" t="str">
        <x:v>106</x:v>
      </x:c>
      <x:c r="P164" s="16" t="str">
        <x:v>1.0</x:v>
      </x:c>
      <x:c r="Q164" s="12" t="str">
        <x:v>89</x:v>
      </x:c>
      <x:c r="R164" s="16" t="str">
        <x:v>0.839622641509434</x:v>
      </x:c>
      <x:c r="S164" s="12" t="str">
        <x:v>0.2</x:v>
      </x:c>
      <x:c r="T164" s="12" t="str">
        <x:v>106</x:v>
      </x:c>
      <x:c r="U164" s="16" t="str">
        <x:v>1.0</x:v>
      </x:c>
      <x:c r="V164" s="18" t="str">
        <x:v>0.44141191244125366</x:v>
      </x:c>
      <x:c r="W164" s="18" t="str">
        <x:v>0.5696700215339661</x:v>
      </x:c>
      <x:c r="X164" s="18" t="str">
        <x:v>0.7197605967521667</x:v>
      </x:c>
      <x:c r="Y164" s="18" t="str">
        <x:v>0.7224905490875244</x:v>
      </x:c>
      <x:c r="Z164" s="18" t="str">
        <x:v>0.8894982039928436</x:v>
      </x:c>
      <x:c r="AA164" s="18" t="str">
        <x:v>0.944076657295227</x:v>
      </x:c>
      <x:c r="AB164" s="20" t="str">
        <x:v>101.14140000223415</x:v>
      </x:c>
      <x:c r="AC164" s="12" t="str">
        <x:v>overlays\happy_013.png</x:v>
      </x:c>
      <x:c r="AD164" s="12" t="str"/>
      <x:c r="AE164" s="12" t="str"/>
      <x:c r="AF164" s="12" t="str">
        <x:v>acceptable</x:v>
      </x:c>
      <x:c r="AG164" s="12" t="n">
        <x:v>1</x:v>
      </x:c>
      <x:c r="AH164" s="12" t="str">
        <x:v>acceptable</x:v>
      </x:c>
      <x:c r="AI164" s="12" t="str">
        <x:v>acceptable</x:v>
      </x:c>
      <x:c r="AJ164" s="12" t="str">
        <x:v>acceptable</x:v>
      </x:c>
      <x:c r="AK164" s="12" t="str">
        <x:v>not_applicable</x:v>
      </x:c>
      <x:c r="AL164" s="12" t="str">
        <x:v>mild</x:v>
      </x:c>
      <x:c r="AM164" s="14" t="str">
        <x:v>Tight crop places several contour points outside the frame; central facial landmarks remain usable.</x:v>
      </x:c>
    </x:row>
    <x:row r="165" ht="30" customHeight="1">
      <x:c r="A165" s="12" t="str">
        <x:v>happy_014</x:v>
      </x:c>
      <x:c r="B165" s="12" t="str">
        <x:v>happy</x:v>
      </x:c>
      <x:c r="C165" s="14" t="str">
        <x:v>happy/Training_74006160.jpg</x:v>
      </x:c>
      <x:c r="D165" s="12" t="str">
        <x:v>d5fb12d7c5be20dabc04eb967186b6e673ca44c2ff07ed1822ca110f30eaebbf</x:v>
      </x:c>
      <x:c r="E165" s="12" t="str">
        <x:v>d5fb12d7c5be20dabc04eb967186b6e673ca44c2ff07ed1822ca110f30eaebbf</x:v>
      </x:c>
      <x:c r="F165" s="12" t="str">
        <x:v>True</x:v>
      </x:c>
      <x:c r="G165" s="12" t="str">
        <x:v>48</x:v>
      </x:c>
      <x:c r="H165" s="12" t="str">
        <x:v>48</x:v>
      </x:c>
      <x:c r="I165" s="12" t="str">
        <x:v>0.0</x:v>
      </x:c>
      <x:c r="J165" s="12" t="str">
        <x:v>0.0</x:v>
      </x:c>
      <x:c r="K165" s="12" t="str">
        <x:v>47.0</x:v>
      </x:c>
      <x:c r="L165" s="12" t="str">
        <x:v>47.0</x:v>
      </x:c>
      <x:c r="M165" s="12" t="str">
        <x:v>True</x:v>
      </x:c>
      <x:c r="N165" s="12" t="str">
        <x:v>106</x:v>
      </x:c>
      <x:c r="O165" s="12" t="str">
        <x:v>106</x:v>
      </x:c>
      <x:c r="P165" s="16" t="str">
        <x:v>1.0</x:v>
      </x:c>
      <x:c r="Q165" s="12" t="str">
        <x:v>89</x:v>
      </x:c>
      <x:c r="R165" s="16" t="str">
        <x:v>0.839622641509434</x:v>
      </x:c>
      <x:c r="S165" s="12" t="str">
        <x:v>0.2</x:v>
      </x:c>
      <x:c r="T165" s="12" t="str">
        <x:v>106</x:v>
      </x:c>
      <x:c r="U165" s="16" t="str">
        <x:v>1.0</x:v>
      </x:c>
      <x:c r="V165" s="18" t="str">
        <x:v>0.35903340578079224</x:v>
      </x:c>
      <x:c r="W165" s="18" t="str">
        <x:v>0.45119085907936096</x:v>
      </x:c>
      <x:c r="X165" s="18" t="str">
        <x:v>0.6423672437667847</x:v>
      </x:c>
      <x:c r="Y165" s="18" t="str">
        <x:v>0.6091174483299255</x:v>
      </x:c>
      <x:c r="Z165" s="18" t="str">
        <x:v>0.8876883685588837</x:v>
      </x:c>
      <x:c r="AA165" s="18" t="str">
        <x:v>0.955092191696167</x:v>
      </x:c>
      <x:c r="AB165" s="20" t="str">
        <x:v>109.5311999997648</x:v>
      </x:c>
      <x:c r="AC165" s="12" t="str">
        <x:v>overlays\happy_014.png</x:v>
      </x:c>
      <x:c r="AD165" s="12" t="str"/>
      <x:c r="AE165" s="12" t="str"/>
      <x:c r="AF165" s="12" t="str">
        <x:v>acceptable</x:v>
      </x:c>
      <x:c r="AG165" s="12" t="n">
        <x:v>1</x:v>
      </x:c>
      <x:c r="AH165" s="12" t="str">
        <x:v>acceptable</x:v>
      </x:c>
      <x:c r="AI165" s="12" t="str">
        <x:v>acceptable</x:v>
      </x:c>
      <x:c r="AJ165" s="12" t="str">
        <x:v>acceptable</x:v>
      </x:c>
      <x:c r="AK165" s="12" t="str">
        <x:v>acceptable</x:v>
      </x:c>
      <x:c r="AL165" s="12" t="str">
        <x:v>mild</x:v>
      </x:c>
      <x:c r="AM165" s="14" t="str">
        <x:v>Large pose or profile; visible landmarks are useful, while hidden-side contour points are inferred.</x:v>
      </x:c>
    </x:row>
    <x:row r="166" ht="30" customHeight="1">
      <x:c r="A166" s="12" t="str">
        <x:v>happy_015</x:v>
      </x:c>
      <x:c r="B166" s="12" t="str">
        <x:v>happy</x:v>
      </x:c>
      <x:c r="C166" s="14" t="str">
        <x:v>happy/Training_40467308.jpg</x:v>
      </x:c>
      <x:c r="D166" s="12" t="str">
        <x:v>b6f4ad47ce1f2f0e731950d8908e15f8bdb7721486c96a5a9a65bed7a1cc2bbf</x:v>
      </x:c>
      <x:c r="E166" s="12" t="str">
        <x:v>b6f4ad47ce1f2f0e731950d8908e15f8bdb7721486c96a5a9a65bed7a1cc2bbf</x:v>
      </x:c>
      <x:c r="F166" s="12" t="str">
        <x:v>True</x:v>
      </x:c>
      <x:c r="G166" s="12" t="str">
        <x:v>48</x:v>
      </x:c>
      <x:c r="H166" s="12" t="str">
        <x:v>48</x:v>
      </x:c>
      <x:c r="I166" s="12" t="str">
        <x:v>0.0</x:v>
      </x:c>
      <x:c r="J166" s="12" t="str">
        <x:v>0.0</x:v>
      </x:c>
      <x:c r="K166" s="12" t="str">
        <x:v>47.0</x:v>
      </x:c>
      <x:c r="L166" s="12" t="str">
        <x:v>47.0</x:v>
      </x:c>
      <x:c r="M166" s="12" t="str">
        <x:v>True</x:v>
      </x:c>
      <x:c r="N166" s="12" t="str">
        <x:v>106</x:v>
      </x:c>
      <x:c r="O166" s="12" t="str">
        <x:v>106</x:v>
      </x:c>
      <x:c r="P166" s="16" t="str">
        <x:v>1.0</x:v>
      </x:c>
      <x:c r="Q166" s="12" t="str">
        <x:v>106</x:v>
      </x:c>
      <x:c r="R166" s="16" t="str">
        <x:v>1.0</x:v>
      </x:c>
      <x:c r="S166" s="12" t="str">
        <x:v>0.2</x:v>
      </x:c>
      <x:c r="T166" s="12" t="str">
        <x:v>106</x:v>
      </x:c>
      <x:c r="U166" s="16" t="str">
        <x:v>1.0</x:v>
      </x:c>
      <x:c r="V166" s="18" t="str">
        <x:v>0.45385807752609253</x:v>
      </x:c>
      <x:c r="W166" s="18" t="str">
        <x:v>0.542602926492691</x:v>
      </x:c>
      <x:c r="X166" s="18" t="str">
        <x:v>0.7238723039627075</x:v>
      </x:c>
      <x:c r="Y166" s="18" t="str">
        <x:v>0.7136441469192505</x:v>
      </x:c>
      <x:c r="Z166" s="18" t="str">
        <x:v>0.923382580280304</x:v>
      </x:c>
      <x:c r="AA166" s="18" t="str">
        <x:v>0.9866399168968201</x:v>
      </x:c>
      <x:c r="AB166" s="20" t="str">
        <x:v>102.3523000003479</x:v>
      </x:c>
      <x:c r="AC166" s="12" t="str">
        <x:v>overlays\happy_015.png</x:v>
      </x:c>
      <x:c r="AD166" s="12" t="str"/>
      <x:c r="AE166" s="12" t="str"/>
      <x:c r="AF166" s="12" t="str">
        <x:v>good</x:v>
      </x:c>
      <x:c r="AG166" s="12" t="n">
        <x:v>1</x:v>
      </x:c>
      <x:c r="AH166" s="12" t="str">
        <x:v>good</x:v>
      </x:c>
      <x:c r="AI166" s="12" t="str">
        <x:v>good</x:v>
      </x:c>
      <x:c r="AJ166" s="12" t="str">
        <x:v>good</x:v>
      </x:c>
      <x:c r="AK166" s="12" t="str">
        <x:v>good</x:v>
      </x:c>
      <x:c r="AL166" s="12" t="str">
        <x:v>none</x:v>
      </x:c>
      <x:c r="AM166" s="14" t="str">
        <x:v>Clear and well-aligned facial landmarks with no major pose, crop, or occlusion issue.</x:v>
      </x:c>
    </x:row>
    <x:row r="167" ht="30" customHeight="1">
      <x:c r="A167" s="12" t="str">
        <x:v>happy_016</x:v>
      </x:c>
      <x:c r="B167" s="12" t="str">
        <x:v>happy</x:v>
      </x:c>
      <x:c r="C167" s="14" t="str">
        <x:v>happy/Training_95843052.jpg</x:v>
      </x:c>
      <x:c r="D167" s="12" t="str">
        <x:v>2c615726a1546644030fbebf98954b6740884bbd7fb438f4fc0d1e81b610ff6b</x:v>
      </x:c>
      <x:c r="E167" s="12" t="str">
        <x:v>2c615726a1546644030fbebf98954b6740884bbd7fb438f4fc0d1e81b610ff6b</x:v>
      </x:c>
      <x:c r="F167" s="12" t="str">
        <x:v>True</x:v>
      </x:c>
      <x:c r="G167" s="12" t="str">
        <x:v>48</x:v>
      </x:c>
      <x:c r="H167" s="12" t="str">
        <x:v>48</x:v>
      </x:c>
      <x:c r="I167" s="12" t="str">
        <x:v>0.0</x:v>
      </x:c>
      <x:c r="J167" s="12" t="str">
        <x:v>0.0</x:v>
      </x:c>
      <x:c r="K167" s="12" t="str">
        <x:v>47.0</x:v>
      </x:c>
      <x:c r="L167" s="12" t="str">
        <x:v>47.0</x:v>
      </x:c>
      <x:c r="M167" s="12" t="str">
        <x:v>True</x:v>
      </x:c>
      <x:c r="N167" s="12" t="str">
        <x:v>106</x:v>
      </x:c>
      <x:c r="O167" s="12" t="str">
        <x:v>106</x:v>
      </x:c>
      <x:c r="P167" s="16" t="str">
        <x:v>1.0</x:v>
      </x:c>
      <x:c r="Q167" s="12" t="str">
        <x:v>92</x:v>
      </x:c>
      <x:c r="R167" s="16" t="str">
        <x:v>0.8679245283018868</x:v>
      </x:c>
      <x:c r="S167" s="12" t="str">
        <x:v>0.2</x:v>
      </x:c>
      <x:c r="T167" s="12" t="str">
        <x:v>106</x:v>
      </x:c>
      <x:c r="U167" s="16" t="str">
        <x:v>1.0</x:v>
      </x:c>
      <x:c r="V167" s="18" t="str">
        <x:v>0.30600506067276</x:v>
      </x:c>
      <x:c r="W167" s="18" t="str">
        <x:v>0.44877421855926514</x:v>
      </x:c>
      <x:c r="X167" s="18" t="str">
        <x:v>0.6242099404335022</x:v>
      </x:c>
      <x:c r="Y167" s="18" t="str">
        <x:v>0.6209408044815063</x:v>
      </x:c>
      <x:c r="Z167" s="18" t="str">
        <x:v>0.819787859916687</x:v>
      </x:c>
      <x:c r="AA167" s="18" t="str">
        <x:v>0.8906900882720947</x:v>
      </x:c>
      <x:c r="AB167" s="20" t="str">
        <x:v>116.66459999833023</x:v>
      </x:c>
      <x:c r="AC167" s="12" t="str">
        <x:v>overlays\happy_016.png</x:v>
      </x:c>
      <x:c r="AD167" s="12" t="str"/>
      <x:c r="AE167" s="12" t="str"/>
      <x:c r="AF167" s="12" t="str">
        <x:v>acceptable</x:v>
      </x:c>
      <x:c r="AG167" s="12" t="n">
        <x:v>1</x:v>
      </x:c>
      <x:c r="AH167" s="12" t="str">
        <x:v>acceptable</x:v>
      </x:c>
      <x:c r="AI167" s="12" t="str">
        <x:v>acceptable</x:v>
      </x:c>
      <x:c r="AJ167" s="12" t="str">
        <x:v>acceptable</x:v>
      </x:c>
      <x:c r="AK167" s="12" t="str">
        <x:v>not_applicable</x:v>
      </x:c>
      <x:c r="AL167" s="12" t="str">
        <x:v>mild</x:v>
      </x:c>
      <x:c r="AM167" s="14" t="str">
        <x:v>Large pose or profile; visible landmarks are useful, while hidden-side contour points are inferred.</x:v>
      </x:c>
    </x:row>
    <x:row r="168" ht="30" customHeight="1">
      <x:c r="A168" s="12" t="str">
        <x:v>happy_017</x:v>
      </x:c>
      <x:c r="B168" s="12" t="str">
        <x:v>happy</x:v>
      </x:c>
      <x:c r="C168" s="14" t="str">
        <x:v>happy/Training_75417506.jpg</x:v>
      </x:c>
      <x:c r="D168" s="12" t="str">
        <x:v>671ff4e63b6a470b013cfb5abb98de42556394322aec6ae7a1b70c63f9d02b68</x:v>
      </x:c>
      <x:c r="E168" s="12" t="str">
        <x:v>671ff4e63b6a470b013cfb5abb98de42556394322aec6ae7a1b70c63f9d02b68</x:v>
      </x:c>
      <x:c r="F168" s="12" t="str">
        <x:v>True</x:v>
      </x:c>
      <x:c r="G168" s="12" t="str">
        <x:v>48</x:v>
      </x:c>
      <x:c r="H168" s="12" t="str">
        <x:v>48</x:v>
      </x:c>
      <x:c r="I168" s="12" t="str">
        <x:v>0.0</x:v>
      </x:c>
      <x:c r="J168" s="12" t="str">
        <x:v>0.0</x:v>
      </x:c>
      <x:c r="K168" s="12" t="str">
        <x:v>47.0</x:v>
      </x:c>
      <x:c r="L168" s="12" t="str">
        <x:v>47.0</x:v>
      </x:c>
      <x:c r="M168" s="12" t="str">
        <x:v>True</x:v>
      </x:c>
      <x:c r="N168" s="12" t="str">
        <x:v>106</x:v>
      </x:c>
      <x:c r="O168" s="12" t="str">
        <x:v>106</x:v>
      </x:c>
      <x:c r="P168" s="16" t="str">
        <x:v>1.0</x:v>
      </x:c>
      <x:c r="Q168" s="12" t="str">
        <x:v>94</x:v>
      </x:c>
      <x:c r="R168" s="16" t="str">
        <x:v>0.8867924528301887</x:v>
      </x:c>
      <x:c r="S168" s="12" t="str">
        <x:v>0.2</x:v>
      </x:c>
      <x:c r="T168" s="12" t="str">
        <x:v>106</x:v>
      </x:c>
      <x:c r="U168" s="16" t="str">
        <x:v>1.0</x:v>
      </x:c>
      <x:c r="V168" s="18" t="str">
        <x:v>0.3129730820655823</x:v>
      </x:c>
      <x:c r="W168" s="18" t="str">
        <x:v>0.392758846282959</x:v>
      </x:c>
      <x:c r="X168" s="18" t="str">
        <x:v>0.6081309914588928</x:v>
      </x:c>
      <x:c r="Y168" s="18" t="str">
        <x:v>0.5721079111099243</x:v>
      </x:c>
      <x:c r="Z168" s="18" t="str">
        <x:v>0.8373495042324066</x:v>
      </x:c>
      <x:c r="AA168" s="18" t="str">
        <x:v>0.9333998560905457</x:v>
      </x:c>
      <x:c r="AB168" s="20" t="str">
        <x:v>101.12089999893215</x:v>
      </x:c>
      <x:c r="AC168" s="12" t="str">
        <x:v>overlays\happy_017.png</x:v>
      </x:c>
      <x:c r="AD168" s="12" t="str"/>
      <x:c r="AE168" s="12" t="str"/>
      <x:c r="AF168" s="12" t="str">
        <x:v>good</x:v>
      </x:c>
      <x:c r="AG168" s="12" t="n">
        <x:v>1</x:v>
      </x:c>
      <x:c r="AH168" s="12" t="str">
        <x:v>good</x:v>
      </x:c>
      <x:c r="AI168" s="12" t="str">
        <x:v>good</x:v>
      </x:c>
      <x:c r="AJ168" s="12" t="str">
        <x:v>good</x:v>
      </x:c>
      <x:c r="AK168" s="12" t="str">
        <x:v>not_applicable</x:v>
      </x:c>
      <x:c r="AL168" s="12" t="str">
        <x:v>none</x:v>
      </x:c>
      <x:c r="AM168" s="14" t="str">
        <x:v>Clear and well-aligned facial landmarks with no major pose, crop, or occlusion issue.</x:v>
      </x:c>
    </x:row>
    <x:row r="169" ht="30" customHeight="1">
      <x:c r="A169" s="12" t="str">
        <x:v>happy_018</x:v>
      </x:c>
      <x:c r="B169" s="12" t="str">
        <x:v>happy</x:v>
      </x:c>
      <x:c r="C169" s="14" t="str">
        <x:v>happy/Training_72547381.jpg</x:v>
      </x:c>
      <x:c r="D169" s="12" t="str">
        <x:v>c80509db444f08c92fb138f3fee6c20be50f2ef38c76ef35658ddc32ec24b413</x:v>
      </x:c>
      <x:c r="E169" s="12" t="str">
        <x:v>c80509db444f08c92fb138f3fee6c20be50f2ef38c76ef35658ddc32ec24b413</x:v>
      </x:c>
      <x:c r="F169" s="12" t="str">
        <x:v>True</x:v>
      </x:c>
      <x:c r="G169" s="12" t="str">
        <x:v>48</x:v>
      </x:c>
      <x:c r="H169" s="12" t="str">
        <x:v>48</x:v>
      </x:c>
      <x:c r="I169" s="12" t="str">
        <x:v>0.0</x:v>
      </x:c>
      <x:c r="J169" s="12" t="str">
        <x:v>0.0</x:v>
      </x:c>
      <x:c r="K169" s="12" t="str">
        <x:v>47.0</x:v>
      </x:c>
      <x:c r="L169" s="12" t="str">
        <x:v>47.0</x:v>
      </x:c>
      <x:c r="M169" s="12" t="str">
        <x:v>True</x:v>
      </x:c>
      <x:c r="N169" s="12" t="str">
        <x:v>106</x:v>
      </x:c>
      <x:c r="O169" s="12" t="str">
        <x:v>106</x:v>
      </x:c>
      <x:c r="P169" s="16" t="str">
        <x:v>1.0</x:v>
      </x:c>
      <x:c r="Q169" s="12" t="str">
        <x:v>95</x:v>
      </x:c>
      <x:c r="R169" s="16" t="str">
        <x:v>0.8962264150943396</x:v>
      </x:c>
      <x:c r="S169" s="12" t="str">
        <x:v>0.2</x:v>
      </x:c>
      <x:c r="T169" s="12" t="str">
        <x:v>106</x:v>
      </x:c>
      <x:c r="U169" s="16" t="str">
        <x:v>1.0</x:v>
      </x:c>
      <x:c r="V169" s="18" t="str">
        <x:v>0.4039931297302246</x:v>
      </x:c>
      <x:c r="W169" s="18" t="str">
        <x:v>0.5509160459041595</x:v>
      </x:c>
      <x:c r="X169" s="18" t="str">
        <x:v>0.6746673583984375</x:v>
      </x:c>
      <x:c r="Y169" s="18" t="str">
        <x:v>0.667222261428833</x:v>
      </x:c>
      <x:c r="Z169" s="18" t="str">
        <x:v>0.8152220249176025</x:v>
      </x:c>
      <x:c r="AA169" s="18" t="str">
        <x:v>0.8776278495788574</x:v>
      </x:c>
      <x:c r="AB169" s="20" t="str">
        <x:v>102.75380000166479</x:v>
      </x:c>
      <x:c r="AC169" s="12" t="str">
        <x:v>overlays\happy_018.png</x:v>
      </x:c>
      <x:c r="AD169" s="12" t="str"/>
      <x:c r="AE169" s="12" t="str"/>
      <x:c r="AF169" s="12" t="str">
        <x:v>acceptable</x:v>
      </x:c>
      <x:c r="AG169" s="12" t="n">
        <x:v>1</x:v>
      </x:c>
      <x:c r="AH169" s="12" t="str">
        <x:v>acceptable</x:v>
      </x:c>
      <x:c r="AI169" s="12" t="str">
        <x:v>acceptable</x:v>
      </x:c>
      <x:c r="AJ169" s="12" t="str">
        <x:v>acceptable</x:v>
      </x:c>
      <x:c r="AK169" s="12" t="str">
        <x:v>not_applicable</x:v>
      </x:c>
      <x:c r="AL169" s="12" t="str">
        <x:v>mild</x:v>
      </x:c>
      <x:c r="AM169" s="14" t="str">
        <x:v>Large pose or profile; visible landmarks are useful, while hidden-side contour points are inferred.</x:v>
      </x:c>
    </x:row>
    <x:row r="170" ht="30" customHeight="1">
      <x:c r="A170" s="12" t="str">
        <x:v>happy_019</x:v>
      </x:c>
      <x:c r="B170" s="12" t="str">
        <x:v>happy</x:v>
      </x:c>
      <x:c r="C170" s="14" t="str">
        <x:v>happy/Training_29673005.jpg</x:v>
      </x:c>
      <x:c r="D170" s="12" t="str">
        <x:v>006c380dbed56f498d97e72c77602db3ae8615a0629b8eb5af174a24d7098cba</x:v>
      </x:c>
      <x:c r="E170" s="12" t="str">
        <x:v>006c380dbed56f498d97e72c77602db3ae8615a0629b8eb5af174a24d7098cba</x:v>
      </x:c>
      <x:c r="F170" s="12" t="str">
        <x:v>True</x:v>
      </x:c>
      <x:c r="G170" s="12" t="str">
        <x:v>48</x:v>
      </x:c>
      <x:c r="H170" s="12" t="str">
        <x:v>48</x:v>
      </x:c>
      <x:c r="I170" s="12" t="str">
        <x:v>0.0</x:v>
      </x:c>
      <x:c r="J170" s="12" t="str">
        <x:v>0.0</x:v>
      </x:c>
      <x:c r="K170" s="12" t="str">
        <x:v>47.0</x:v>
      </x:c>
      <x:c r="L170" s="12" t="str">
        <x:v>47.0</x:v>
      </x:c>
      <x:c r="M170" s="12" t="str">
        <x:v>True</x:v>
      </x:c>
      <x:c r="N170" s="12" t="str">
        <x:v>106</x:v>
      </x:c>
      <x:c r="O170" s="12" t="str">
        <x:v>106</x:v>
      </x:c>
      <x:c r="P170" s="16" t="str">
        <x:v>1.0</x:v>
      </x:c>
      <x:c r="Q170" s="12" t="str">
        <x:v>94</x:v>
      </x:c>
      <x:c r="R170" s="16" t="str">
        <x:v>0.8867924528301887</x:v>
      </x:c>
      <x:c r="S170" s="12" t="str">
        <x:v>0.2</x:v>
      </x:c>
      <x:c r="T170" s="12" t="str">
        <x:v>106</x:v>
      </x:c>
      <x:c r="U170" s="16" t="str">
        <x:v>1.0</x:v>
      </x:c>
      <x:c r="V170" s="18" t="str">
        <x:v>0.43464282155036926</x:v>
      </x:c>
      <x:c r="W170" s="18" t="str">
        <x:v>0.4847695827484131</x:v>
      </x:c>
      <x:c r="X170" s="18" t="str">
        <x:v>0.649377703666687</x:v>
      </x:c>
      <x:c r="Y170" s="18" t="str">
        <x:v>0.6337003707885742</x:v>
      </x:c>
      <x:c r="Z170" s="18" t="str">
        <x:v>0.8053833842277527</x:v>
      </x:c>
      <x:c r="AA170" s="18" t="str">
        <x:v>0.95131516456604</x:v>
      </x:c>
      <x:c r="AB170" s="20" t="str">
        <x:v>110.2262000022165</x:v>
      </x:c>
      <x:c r="AC170" s="12" t="str">
        <x:v>overlays\happy_019.png</x:v>
      </x:c>
      <x:c r="AD170" s="12" t="str"/>
      <x:c r="AE170" s="12" t="str"/>
      <x:c r="AF170" s="12" t="str">
        <x:v>acceptable</x:v>
      </x:c>
      <x:c r="AG170" s="12" t="n">
        <x:v>1</x:v>
      </x:c>
      <x:c r="AH170" s="12" t="str">
        <x:v>acceptable</x:v>
      </x:c>
      <x:c r="AI170" s="12" t="str">
        <x:v>acceptable</x:v>
      </x:c>
      <x:c r="AJ170" s="12" t="str">
        <x:v>acceptable</x:v>
      </x:c>
      <x:c r="AK170" s="12" t="str">
        <x:v>acceptable</x:v>
      </x:c>
      <x:c r="AL170" s="12" t="str">
        <x:v>mild</x:v>
      </x:c>
      <x:c r="AM170" s="14" t="str">
        <x:v>Moderate pose, crop, or image degradation causes minor landmark uncertainty; the result remains usable.</x:v>
      </x:c>
    </x:row>
    <x:row r="171" ht="30" customHeight="1">
      <x:c r="A171" s="12" t="str">
        <x:v>happy_020</x:v>
      </x:c>
      <x:c r="B171" s="12" t="str">
        <x:v>happy</x:v>
      </x:c>
      <x:c r="C171" s="14" t="str">
        <x:v>happy/Training_25184507.jpg</x:v>
      </x:c>
      <x:c r="D171" s="12" t="str">
        <x:v>f94263eca9a81d103576aab2f88b6ec6cf67670ffbc87577bca552a651f12dd5</x:v>
      </x:c>
      <x:c r="E171" s="12" t="str">
        <x:v>f94263eca9a81d103576aab2f88b6ec6cf67670ffbc87577bca552a651f12dd5</x:v>
      </x:c>
      <x:c r="F171" s="12" t="str">
        <x:v>True</x:v>
      </x:c>
      <x:c r="G171" s="12" t="str">
        <x:v>48</x:v>
      </x:c>
      <x:c r="H171" s="12" t="str">
        <x:v>48</x:v>
      </x:c>
      <x:c r="I171" s="12" t="str">
        <x:v>0.0</x:v>
      </x:c>
      <x:c r="J171" s="12" t="str">
        <x:v>0.0</x:v>
      </x:c>
      <x:c r="K171" s="12" t="str">
        <x:v>47.0</x:v>
      </x:c>
      <x:c r="L171" s="12" t="str">
        <x:v>47.0</x:v>
      </x:c>
      <x:c r="M171" s="12" t="str">
        <x:v>True</x:v>
      </x:c>
      <x:c r="N171" s="12" t="str">
        <x:v>106</x:v>
      </x:c>
      <x:c r="O171" s="12" t="str">
        <x:v>106</x:v>
      </x:c>
      <x:c r="P171" s="16" t="str">
        <x:v>1.0</x:v>
      </x:c>
      <x:c r="Q171" s="12" t="str">
        <x:v>106</x:v>
      </x:c>
      <x:c r="R171" s="16" t="str">
        <x:v>1.0</x:v>
      </x:c>
      <x:c r="S171" s="12" t="str">
        <x:v>0.2</x:v>
      </x:c>
      <x:c r="T171" s="12" t="str">
        <x:v>106</x:v>
      </x:c>
      <x:c r="U171" s="16" t="str">
        <x:v>1.0</x:v>
      </x:c>
      <x:c r="V171" s="18" t="str">
        <x:v>0.5007116198539734</x:v>
      </x:c>
      <x:c r="W171" s="18" t="str">
        <x:v>0.6256023347377777</x:v>
      </x:c>
      <x:c r="X171" s="18" t="str">
        <x:v>0.7893273830413818</x:v>
      </x:c>
      <x:c r="Y171" s="18" t="str">
        <x:v>0.8155606985092163</x:v>
      </x:c>
      <x:c r="Z171" s="18" t="str">
        <x:v>0.9159498512744904</x:v>
      </x:c>
      <x:c r="AA171" s="18" t="str">
        <x:v>0.9644578099250793</x:v>
      </x:c>
      <x:c r="AB171" s="20" t="str">
        <x:v>123.97140000030049</x:v>
      </x:c>
      <x:c r="AC171" s="12" t="str">
        <x:v>overlays\happy_020.png</x:v>
      </x:c>
      <x:c r="AD171" s="12" t="str"/>
      <x:c r="AE171" s="12" t="str"/>
      <x:c r="AF171" s="12" t="str">
        <x:v>good</x:v>
      </x:c>
      <x:c r="AG171" s="12" t="n">
        <x:v>1</x:v>
      </x:c>
      <x:c r="AH171" s="12" t="str">
        <x:v>good</x:v>
      </x:c>
      <x:c r="AI171" s="12" t="str">
        <x:v>good</x:v>
      </x:c>
      <x:c r="AJ171" s="12" t="str">
        <x:v>good</x:v>
      </x:c>
      <x:c r="AK171" s="12" t="str">
        <x:v>good</x:v>
      </x:c>
      <x:c r="AL171" s="12" t="str">
        <x:v>none</x:v>
      </x:c>
      <x:c r="AM171" s="14" t="str">
        <x:v>Clear and well-aligned facial landmarks with no major pose, crop, or occlusion issue.</x:v>
      </x:c>
    </x:row>
    <x:row r="172" ht="30" customHeight="1">
      <x:c r="A172" s="12" t="str">
        <x:v>happy_021</x:v>
      </x:c>
      <x:c r="B172" s="12" t="str">
        <x:v>happy</x:v>
      </x:c>
      <x:c r="C172" s="14" t="str">
        <x:v>happy/Training_4824309.jpg</x:v>
      </x:c>
      <x:c r="D172" s="12" t="str">
        <x:v>bf6a50926fbf098cae2ddd1ebe3a403d4f2f237c8693411a984a7c2c3632057a</x:v>
      </x:c>
      <x:c r="E172" s="12" t="str">
        <x:v>bf6a50926fbf098cae2ddd1ebe3a403d4f2f237c8693411a984a7c2c3632057a</x:v>
      </x:c>
      <x:c r="F172" s="12" t="str">
        <x:v>True</x:v>
      </x:c>
      <x:c r="G172" s="12" t="str">
        <x:v>48</x:v>
      </x:c>
      <x:c r="H172" s="12" t="str">
        <x:v>48</x:v>
      </x:c>
      <x:c r="I172" s="12" t="str">
        <x:v>0.0</x:v>
      </x:c>
      <x:c r="J172" s="12" t="str">
        <x:v>0.0</x:v>
      </x:c>
      <x:c r="K172" s="12" t="str">
        <x:v>47.0</x:v>
      </x:c>
      <x:c r="L172" s="12" t="str">
        <x:v>47.0</x:v>
      </x:c>
      <x:c r="M172" s="12" t="str">
        <x:v>True</x:v>
      </x:c>
      <x:c r="N172" s="12" t="str">
        <x:v>106</x:v>
      </x:c>
      <x:c r="O172" s="12" t="str">
        <x:v>106</x:v>
      </x:c>
      <x:c r="P172" s="16" t="str">
        <x:v>1.0</x:v>
      </x:c>
      <x:c r="Q172" s="12" t="str">
        <x:v>106</x:v>
      </x:c>
      <x:c r="R172" s="16" t="str">
        <x:v>1.0</x:v>
      </x:c>
      <x:c r="S172" s="12" t="str">
        <x:v>0.2</x:v>
      </x:c>
      <x:c r="T172" s="12" t="str">
        <x:v>106</x:v>
      </x:c>
      <x:c r="U172" s="16" t="str">
        <x:v>1.0</x:v>
      </x:c>
      <x:c r="V172" s="18" t="str">
        <x:v>0.34755316376686096</x:v>
      </x:c>
      <x:c r="W172" s="18" t="str">
        <x:v>0.40977534651756287</x:v>
      </x:c>
      <x:c r="X172" s="18" t="str">
        <x:v>0.6626412868499756</x:v>
      </x:c>
      <x:c r="Y172" s="18" t="str">
        <x:v>0.6404560804367065</x:v>
      </x:c>
      <x:c r="Z172" s="18" t="str">
        <x:v>0.8997237682342529</x:v>
      </x:c>
      <x:c r="AA172" s="18" t="str">
        <x:v>1.017413854598999</x:v>
      </x:c>
      <x:c r="AB172" s="20" t="str">
        <x:v>109.46489999696496</x:v>
      </x:c>
      <x:c r="AC172" s="12" t="str">
        <x:v>overlays\happy_021.png</x:v>
      </x:c>
      <x:c r="AD172" s="12" t="str"/>
      <x:c r="AE172" s="12" t="str"/>
      <x:c r="AF172" s="12" t="str">
        <x:v>acceptable</x:v>
      </x:c>
      <x:c r="AG172" s="12" t="n">
        <x:v>1</x:v>
      </x:c>
      <x:c r="AH172" s="12" t="str">
        <x:v>acceptable</x:v>
      </x:c>
      <x:c r="AI172" s="12" t="str">
        <x:v>acceptable</x:v>
      </x:c>
      <x:c r="AJ172" s="12" t="str">
        <x:v>acceptable</x:v>
      </x:c>
      <x:c r="AK172" s="12" t="str">
        <x:v>acceptable</x:v>
      </x:c>
      <x:c r="AL172" s="12" t="str">
        <x:v>mild</x:v>
      </x:c>
      <x:c r="AM172" s="14" t="str">
        <x:v>Large pose or profile; visible landmarks are useful, while hidden-side contour points are inferred.</x:v>
      </x:c>
    </x:row>
    <x:row r="173" ht="30" customHeight="1">
      <x:c r="A173" s="12" t="str">
        <x:v>happy_022</x:v>
      </x:c>
      <x:c r="B173" s="12" t="str">
        <x:v>happy</x:v>
      </x:c>
      <x:c r="C173" s="14" t="str">
        <x:v>happy/Training_87863182.jpg</x:v>
      </x:c>
      <x:c r="D173" s="12" t="str">
        <x:v>4155e80cd0db2542c3b94c5d8ade5a38aa68f63eb79cc6246fa558110c89e616</x:v>
      </x:c>
      <x:c r="E173" s="12" t="str">
        <x:v>4155e80cd0db2542c3b94c5d8ade5a38aa68f63eb79cc6246fa558110c89e616</x:v>
      </x:c>
      <x:c r="F173" s="12" t="str">
        <x:v>True</x:v>
      </x:c>
      <x:c r="G173" s="12" t="str">
        <x:v>48</x:v>
      </x:c>
      <x:c r="H173" s="12" t="str">
        <x:v>48</x:v>
      </x:c>
      <x:c r="I173" s="12" t="str">
        <x:v>0.0</x:v>
      </x:c>
      <x:c r="J173" s="12" t="str">
        <x:v>0.0</x:v>
      </x:c>
      <x:c r="K173" s="12" t="str">
        <x:v>47.0</x:v>
      </x:c>
      <x:c r="L173" s="12" t="str">
        <x:v>47.0</x:v>
      </x:c>
      <x:c r="M173" s="12" t="str">
        <x:v>True</x:v>
      </x:c>
      <x:c r="N173" s="12" t="str">
        <x:v>106</x:v>
      </x:c>
      <x:c r="O173" s="12" t="str">
        <x:v>106</x:v>
      </x:c>
      <x:c r="P173" s="16" t="str">
        <x:v>1.0</x:v>
      </x:c>
      <x:c r="Q173" s="12" t="str">
        <x:v>99</x:v>
      </x:c>
      <x:c r="R173" s="16" t="str">
        <x:v>0.9339622641509434</x:v>
      </x:c>
      <x:c r="S173" s="12" t="str">
        <x:v>0.2</x:v>
      </x:c>
      <x:c r="T173" s="12" t="str">
        <x:v>106</x:v>
      </x:c>
      <x:c r="U173" s="16" t="str">
        <x:v>1.0</x:v>
      </x:c>
      <x:c r="V173" s="18" t="str">
        <x:v>0.4917559027671814</x:v>
      </x:c>
      <x:c r="W173" s="18" t="str">
        <x:v>0.6150380074977875</x:v>
      </x:c>
      <x:c r="X173" s="18" t="str">
        <x:v>0.7364763021469116</x:v>
      </x:c>
      <x:c r="Y173" s="18" t="str">
        <x:v>0.718230664730072</x:v>
      </x:c>
      <x:c r="Z173" s="18" t="str">
        <x:v>0.9003259241580963</x:v>
      </x:c>
      <x:c r="AA173" s="18" t="str">
        <x:v>0.9563702940940857</x:v>
      </x:c>
      <x:c r="AB173" s="20" t="str">
        <x:v>110.96570000154315</x:v>
      </x:c>
      <x:c r="AC173" s="12" t="str">
        <x:v>overlays\happy_022.png</x:v>
      </x:c>
      <x:c r="AD173" s="12" t="str"/>
      <x:c r="AE173" s="12" t="str"/>
      <x:c r="AF173" s="12" t="str">
        <x:v>good</x:v>
      </x:c>
      <x:c r="AG173" s="12" t="n">
        <x:v>1</x:v>
      </x:c>
      <x:c r="AH173" s="12" t="str">
        <x:v>good</x:v>
      </x:c>
      <x:c r="AI173" s="12" t="str">
        <x:v>good</x:v>
      </x:c>
      <x:c r="AJ173" s="12" t="str">
        <x:v>good</x:v>
      </x:c>
      <x:c r="AK173" s="12" t="str">
        <x:v>good</x:v>
      </x:c>
      <x:c r="AL173" s="12" t="str">
        <x:v>none</x:v>
      </x:c>
      <x:c r="AM173" s="14" t="str">
        <x:v>Clear and well-aligned facial landmarks with no major pose, crop, or occlusion issue.</x:v>
      </x:c>
    </x:row>
    <x:row r="174" ht="30" customHeight="1">
      <x:c r="A174" s="12" t="str">
        <x:v>happy_023</x:v>
      </x:c>
      <x:c r="B174" s="12" t="str">
        <x:v>happy</x:v>
      </x:c>
      <x:c r="C174" s="14" t="str">
        <x:v>happy/Training_25976138.jpg</x:v>
      </x:c>
      <x:c r="D174" s="12" t="str">
        <x:v>b14d3a2813fcb9270fc528c9fe2b248ab90b48885a9fe06858a2ae7fd3a5ff16</x:v>
      </x:c>
      <x:c r="E174" s="12" t="str">
        <x:v>b14d3a2813fcb9270fc528c9fe2b248ab90b48885a9fe06858a2ae7fd3a5ff16</x:v>
      </x:c>
      <x:c r="F174" s="12" t="str">
        <x:v>True</x:v>
      </x:c>
      <x:c r="G174" s="12" t="str">
        <x:v>48</x:v>
      </x:c>
      <x:c r="H174" s="12" t="str">
        <x:v>48</x:v>
      </x:c>
      <x:c r="I174" s="12" t="str">
        <x:v>0.0</x:v>
      </x:c>
      <x:c r="J174" s="12" t="str">
        <x:v>0.0</x:v>
      </x:c>
      <x:c r="K174" s="12" t="str">
        <x:v>47.0</x:v>
      </x:c>
      <x:c r="L174" s="12" t="str">
        <x:v>47.0</x:v>
      </x:c>
      <x:c r="M174" s="12" t="str">
        <x:v>True</x:v>
      </x:c>
      <x:c r="N174" s="12" t="str">
        <x:v>106</x:v>
      </x:c>
      <x:c r="O174" s="12" t="str">
        <x:v>106</x:v>
      </x:c>
      <x:c r="P174" s="16" t="str">
        <x:v>1.0</x:v>
      </x:c>
      <x:c r="Q174" s="12" t="str">
        <x:v>100</x:v>
      </x:c>
      <x:c r="R174" s="16" t="str">
        <x:v>0.9433962264150944</x:v>
      </x:c>
      <x:c r="S174" s="12" t="str">
        <x:v>0.2</x:v>
      </x:c>
      <x:c r="T174" s="12" t="str">
        <x:v>106</x:v>
      </x:c>
      <x:c r="U174" s="16" t="str">
        <x:v>1.0</x:v>
      </x:c>
      <x:c r="V174" s="18" t="str">
        <x:v>0.6823983192443848</x:v>
      </x:c>
      <x:c r="W174" s="18" t="str">
        <x:v>0.7640061378479004</x:v>
      </x:c>
      <x:c r="X174" s="18" t="str">
        <x:v>0.8794021010398865</x:v>
      </x:c>
      <x:c r="Y174" s="18" t="str">
        <x:v>0.8801131248474121</x:v>
      </x:c>
      <x:c r="Z174" s="18" t="str">
        <x:v>1.0216325521469116</x:v>
      </x:c>
      <x:c r="AA174" s="18" t="str">
        <x:v>1.1211366653442383</x:v>
      </x:c>
      <x:c r="AB174" s="20" t="str">
        <x:v>123.83190000036848</x:v>
      </x:c>
      <x:c r="AC174" s="12" t="str">
        <x:v>overlays\happy_023.png</x:v>
      </x:c>
      <x:c r="AD174" s="12" t="str"/>
      <x:c r="AE174" s="12" t="str"/>
      <x:c r="AF174" s="12" t="str">
        <x:v>good</x:v>
      </x:c>
      <x:c r="AG174" s="12" t="n">
        <x:v>1</x:v>
      </x:c>
      <x:c r="AH174" s="12" t="str">
        <x:v>good</x:v>
      </x:c>
      <x:c r="AI174" s="12" t="str">
        <x:v>good</x:v>
      </x:c>
      <x:c r="AJ174" s="12" t="str">
        <x:v>good</x:v>
      </x:c>
      <x:c r="AK174" s="12" t="str">
        <x:v>good</x:v>
      </x:c>
      <x:c r="AL174" s="12" t="str">
        <x:v>none</x:v>
      </x:c>
      <x:c r="AM174" s="14" t="str">
        <x:v>Clear and well-aligned facial landmarks with no major pose, crop, or occlusion issue.</x:v>
      </x:c>
    </x:row>
    <x:row r="175" ht="30" customHeight="1">
      <x:c r="A175" s="12" t="str">
        <x:v>happy_024</x:v>
      </x:c>
      <x:c r="B175" s="12" t="str">
        <x:v>happy</x:v>
      </x:c>
      <x:c r="C175" s="14" t="str">
        <x:v>happy/Training_65489657.jpg</x:v>
      </x:c>
      <x:c r="D175" s="12" t="str">
        <x:v>147cc7f581a3f37325da35e309258e95edf6f6c343db8ebd64e77a35599c32ad</x:v>
      </x:c>
      <x:c r="E175" s="12" t="str">
        <x:v>147cc7f581a3f37325da35e309258e95edf6f6c343db8ebd64e77a35599c32ad</x:v>
      </x:c>
      <x:c r="F175" s="12" t="str">
        <x:v>True</x:v>
      </x:c>
      <x:c r="G175" s="12" t="str">
        <x:v>48</x:v>
      </x:c>
      <x:c r="H175" s="12" t="str">
        <x:v>48</x:v>
      </x:c>
      <x:c r="I175" s="12" t="str">
        <x:v>0.0</x:v>
      </x:c>
      <x:c r="J175" s="12" t="str">
        <x:v>0.0</x:v>
      </x:c>
      <x:c r="K175" s="12" t="str">
        <x:v>47.0</x:v>
      </x:c>
      <x:c r="L175" s="12" t="str">
        <x:v>47.0</x:v>
      </x:c>
      <x:c r="M175" s="12" t="str">
        <x:v>True</x:v>
      </x:c>
      <x:c r="N175" s="12" t="str">
        <x:v>106</x:v>
      </x:c>
      <x:c r="O175" s="12" t="str">
        <x:v>106</x:v>
      </x:c>
      <x:c r="P175" s="16" t="str">
        <x:v>1.0</x:v>
      </x:c>
      <x:c r="Q175" s="12" t="str">
        <x:v>96</x:v>
      </x:c>
      <x:c r="R175" s="16" t="str">
        <x:v>0.9056603773584906</x:v>
      </x:c>
      <x:c r="S175" s="12" t="str">
        <x:v>0.2</x:v>
      </x:c>
      <x:c r="T175" s="12" t="str">
        <x:v>106</x:v>
      </x:c>
      <x:c r="U175" s="16" t="str">
        <x:v>1.0</x:v>
      </x:c>
      <x:c r="V175" s="18" t="str">
        <x:v>0.3325483202934265</x:v>
      </x:c>
      <x:c r="W175" s="18" t="str">
        <x:v>0.4196295142173767</x:v>
      </x:c>
      <x:c r="X175" s="18" t="str">
        <x:v>0.5943203568458557</x:v>
      </x:c>
      <x:c r="Y175" s="18" t="str">
        <x:v>0.5570012331008911</x:v>
      </x:c>
      <x:c r="Z175" s="18" t="str">
        <x:v>0.8460331559181213</x:v>
      </x:c>
      <x:c r="AA175" s="18" t="str">
        <x:v>0.9326756000518799</x:v>
      </x:c>
      <x:c r="AB175" s="20" t="str">
        <x:v>110.45029999877443</x:v>
      </x:c>
      <x:c r="AC175" s="12" t="str">
        <x:v>overlays\happy_024.png</x:v>
      </x:c>
      <x:c r="AD175" s="12" t="str"/>
      <x:c r="AE175" s="12" t="str"/>
      <x:c r="AF175" s="12" t="str">
        <x:v>acceptable</x:v>
      </x:c>
      <x:c r="AG175" s="12" t="n">
        <x:v>1</x:v>
      </x:c>
      <x:c r="AH175" s="12" t="str">
        <x:v>acceptable</x:v>
      </x:c>
      <x:c r="AI175" s="12" t="str">
        <x:v>acceptable</x:v>
      </x:c>
      <x:c r="AJ175" s="12" t="str">
        <x:v>occluded</x:v>
      </x:c>
      <x:c r="AK175" s="12" t="str">
        <x:v>acceptable</x:v>
      </x:c>
      <x:c r="AL175" s="12" t="str">
        <x:v>mild</x:v>
      </x:c>
      <x:c r="AM175" s="14" t="str">
        <x:v>Occlusion affects part of the face; visible landmarks remain usable, but hidden points are inferred.</x:v>
      </x:c>
    </x:row>
    <x:row r="176" ht="30" customHeight="1">
      <x:c r="A176" s="12" t="str">
        <x:v>happy_025</x:v>
      </x:c>
      <x:c r="B176" s="12" t="str">
        <x:v>happy</x:v>
      </x:c>
      <x:c r="C176" s="14" t="str">
        <x:v>happy/Training_89286937.jpg</x:v>
      </x:c>
      <x:c r="D176" s="12" t="str">
        <x:v>57218ba971b7d15f3f60fe89e9adcff3bb1034e45d8ba9683d2230558ceb70e6</x:v>
      </x:c>
      <x:c r="E176" s="12" t="str">
        <x:v>57218ba971b7d15f3f60fe89e9adcff3bb1034e45d8ba9683d2230558ceb70e6</x:v>
      </x:c>
      <x:c r="F176" s="12" t="str">
        <x:v>True</x:v>
      </x:c>
      <x:c r="G176" s="12" t="str">
        <x:v>48</x:v>
      </x:c>
      <x:c r="H176" s="12" t="str">
        <x:v>48</x:v>
      </x:c>
      <x:c r="I176" s="12" t="str">
        <x:v>0.0</x:v>
      </x:c>
      <x:c r="J176" s="12" t="str">
        <x:v>0.0</x:v>
      </x:c>
      <x:c r="K176" s="12" t="str">
        <x:v>47.0</x:v>
      </x:c>
      <x:c r="L176" s="12" t="str">
        <x:v>47.0</x:v>
      </x:c>
      <x:c r="M176" s="12" t="str">
        <x:v>True</x:v>
      </x:c>
      <x:c r="N176" s="12" t="str">
        <x:v>106</x:v>
      </x:c>
      <x:c r="O176" s="12" t="str">
        <x:v>106</x:v>
      </x:c>
      <x:c r="P176" s="16" t="str">
        <x:v>1.0</x:v>
      </x:c>
      <x:c r="Q176" s="12" t="str">
        <x:v>86</x:v>
      </x:c>
      <x:c r="R176" s="16" t="str">
        <x:v>0.8113207547169812</x:v>
      </x:c>
      <x:c r="S176" s="12" t="str">
        <x:v>0.2</x:v>
      </x:c>
      <x:c r="T176" s="12" t="str">
        <x:v>106</x:v>
      </x:c>
      <x:c r="U176" s="16" t="str">
        <x:v>1.0</x:v>
      </x:c>
      <x:c r="V176" s="18" t="str">
        <x:v>0.5398454666137695</x:v>
      </x:c>
      <x:c r="W176" s="18" t="str">
        <x:v>0.6142646968364716</x:v>
      </x:c>
      <x:c r="X176" s="18" t="str">
        <x:v>0.7806881070137024</x:v>
      </x:c>
      <x:c r="Y176" s="18" t="str">
        <x:v>0.8139494061470032</x:v>
      </x:c>
      <x:c r="Z176" s="18" t="str">
        <x:v>0.8958109319210052</x:v>
      </x:c>
      <x:c r="AA176" s="18" t="str">
        <x:v>0.9344886541366577</x:v>
      </x:c>
      <x:c r="AB176" s="20" t="str">
        <x:v>106.87090000283206</x:v>
      </x:c>
      <x:c r="AC176" s="12" t="str">
        <x:v>overlays\happy_025.png</x:v>
      </x:c>
      <x:c r="AD176" s="12" t="str"/>
      <x:c r="AE176" s="12" t="str"/>
      <x:c r="AF176" s="12" t="str">
        <x:v>acceptable</x:v>
      </x:c>
      <x:c r="AG176" s="12" t="n">
        <x:v>1</x:v>
      </x:c>
      <x:c r="AH176" s="12" t="str">
        <x:v>acceptable</x:v>
      </x:c>
      <x:c r="AI176" s="12" t="str">
        <x:v>acceptable</x:v>
      </x:c>
      <x:c r="AJ176" s="12" t="str">
        <x:v>acceptable</x:v>
      </x:c>
      <x:c r="AK176" s="12" t="str">
        <x:v>acceptable</x:v>
      </x:c>
      <x:c r="AL176" s="12" t="str">
        <x:v>mild</x:v>
      </x:c>
      <x:c r="AM176" s="14" t="str">
        <x:v>Large pose or profile; visible landmarks are useful, while hidden-side contour points are inferred.</x:v>
      </x:c>
    </x:row>
    <x:row r="177" ht="30" customHeight="1">
      <x:c r="A177" s="12" t="str">
        <x:v>happy_026</x:v>
      </x:c>
      <x:c r="B177" s="12" t="str">
        <x:v>happy</x:v>
      </x:c>
      <x:c r="C177" s="14" t="str">
        <x:v>happy/Training_64528538.jpg</x:v>
      </x:c>
      <x:c r="D177" s="12" t="str">
        <x:v>e9c601f465fee953103a2ffeb12cc9bff20db6166194884a4b281778a42f4653</x:v>
      </x:c>
      <x:c r="E177" s="12" t="str">
        <x:v>e9c601f465fee953103a2ffeb12cc9bff20db6166194884a4b281778a42f4653</x:v>
      </x:c>
      <x:c r="F177" s="12" t="str">
        <x:v>True</x:v>
      </x:c>
      <x:c r="G177" s="12" t="str">
        <x:v>48</x:v>
      </x:c>
      <x:c r="H177" s="12" t="str">
        <x:v>48</x:v>
      </x:c>
      <x:c r="I177" s="12" t="str">
        <x:v>0.0</x:v>
      </x:c>
      <x:c r="J177" s="12" t="str">
        <x:v>0.0</x:v>
      </x:c>
      <x:c r="K177" s="12" t="str">
        <x:v>47.0</x:v>
      </x:c>
      <x:c r="L177" s="12" t="str">
        <x:v>47.0</x:v>
      </x:c>
      <x:c r="M177" s="12" t="str">
        <x:v>True</x:v>
      </x:c>
      <x:c r="N177" s="12" t="str">
        <x:v>106</x:v>
      </x:c>
      <x:c r="O177" s="12" t="str">
        <x:v>106</x:v>
      </x:c>
      <x:c r="P177" s="16" t="str">
        <x:v>1.0</x:v>
      </x:c>
      <x:c r="Q177" s="12" t="str">
        <x:v>90</x:v>
      </x:c>
      <x:c r="R177" s="16" t="str">
        <x:v>0.8490566037735849</x:v>
      </x:c>
      <x:c r="S177" s="12" t="str">
        <x:v>0.2</x:v>
      </x:c>
      <x:c r="T177" s="12" t="str">
        <x:v>106</x:v>
      </x:c>
      <x:c r="U177" s="16" t="str">
        <x:v>1.0</x:v>
      </x:c>
      <x:c r="V177" s="18" t="str">
        <x:v>0.35395196080207825</x:v>
      </x:c>
      <x:c r="W177" s="18" t="str">
        <x:v>0.4760654866695404</x:v>
      </x:c>
      <x:c r="X177" s="18" t="str">
        <x:v>0.6695151925086975</x:v>
      </x:c>
      <x:c r="Y177" s="18" t="str">
        <x:v>0.6526026725769043</x:v>
      </x:c>
      <x:c r="Z177" s="18" t="str">
        <x:v>0.9061307311058044</x:v>
      </x:c>
      <x:c r="AA177" s="18" t="str">
        <x:v>0.9876002669334412</x:v>
      </x:c>
      <x:c r="AB177" s="20" t="str">
        <x:v>107.93229999762843</x:v>
      </x:c>
      <x:c r="AC177" s="12" t="str">
        <x:v>overlays\happy_026.png</x:v>
      </x:c>
      <x:c r="AD177" s="12" t="str"/>
      <x:c r="AE177" s="12" t="str"/>
      <x:c r="AF177" s="12" t="str">
        <x:v>acceptable</x:v>
      </x:c>
      <x:c r="AG177" s="12" t="n">
        <x:v>1</x:v>
      </x:c>
      <x:c r="AH177" s="12" t="str">
        <x:v>acceptable</x:v>
      </x:c>
      <x:c r="AI177" s="12" t="str">
        <x:v>acceptable</x:v>
      </x:c>
      <x:c r="AJ177" s="12" t="str">
        <x:v>acceptable</x:v>
      </x:c>
      <x:c r="AK177" s="12" t="str">
        <x:v>not_applicable</x:v>
      </x:c>
      <x:c r="AL177" s="12" t="str">
        <x:v>mild</x:v>
      </x:c>
      <x:c r="AM177" s="14" t="str">
        <x:v>Tight crop places several contour points outside the frame; central facial landmarks remain usable.</x:v>
      </x:c>
    </x:row>
    <x:row r="178" ht="30" customHeight="1">
      <x:c r="A178" s="12" t="str">
        <x:v>happy_027</x:v>
      </x:c>
      <x:c r="B178" s="12" t="str">
        <x:v>happy</x:v>
      </x:c>
      <x:c r="C178" s="14" t="str">
        <x:v>happy/Training_10080933.jpg</x:v>
      </x:c>
      <x:c r="D178" s="12" t="str">
        <x:v>d3a6899116fa30d88cdfc07793efb9d046d0129540528a4e4208d81ef3f9b3e0</x:v>
      </x:c>
      <x:c r="E178" s="12" t="str">
        <x:v>d3a6899116fa30d88cdfc07793efb9d046d0129540528a4e4208d81ef3f9b3e0</x:v>
      </x:c>
      <x:c r="F178" s="12" t="str">
        <x:v>True</x:v>
      </x:c>
      <x:c r="G178" s="12" t="str">
        <x:v>48</x:v>
      </x:c>
      <x:c r="H178" s="12" t="str">
        <x:v>48</x:v>
      </x:c>
      <x:c r="I178" s="12" t="str">
        <x:v>0.0</x:v>
      </x:c>
      <x:c r="J178" s="12" t="str">
        <x:v>0.0</x:v>
      </x:c>
      <x:c r="K178" s="12" t="str">
        <x:v>47.0</x:v>
      </x:c>
      <x:c r="L178" s="12" t="str">
        <x:v>47.0</x:v>
      </x:c>
      <x:c r="M178" s="12" t="str">
        <x:v>True</x:v>
      </x:c>
      <x:c r="N178" s="12" t="str">
        <x:v>106</x:v>
      </x:c>
      <x:c r="O178" s="12" t="str">
        <x:v>106</x:v>
      </x:c>
      <x:c r="P178" s="16" t="str">
        <x:v>1.0</x:v>
      </x:c>
      <x:c r="Q178" s="12" t="str">
        <x:v>106</x:v>
      </x:c>
      <x:c r="R178" s="16" t="str">
        <x:v>1.0</x:v>
      </x:c>
      <x:c r="S178" s="12" t="str">
        <x:v>0.2</x:v>
      </x:c>
      <x:c r="T178" s="12" t="str">
        <x:v>106</x:v>
      </x:c>
      <x:c r="U178" s="16" t="str">
        <x:v>1.0</x:v>
      </x:c>
      <x:c r="V178" s="18" t="str">
        <x:v>0.37246453762054443</x:v>
      </x:c>
      <x:c r="W178" s="18" t="str">
        <x:v>0.44908979535102844</x:v>
      </x:c>
      <x:c r="X178" s="18" t="str">
        <x:v>0.665132999420166</x:v>
      </x:c>
      <x:c r="Y178" s="18" t="str">
        <x:v>0.671181321144104</x:v>
      </x:c>
      <x:c r="Z178" s="18" t="str">
        <x:v>0.8763323426246643</x:v>
      </x:c>
      <x:c r="AA178" s="18" t="str">
        <x:v>0.9508869647979736</x:v>
      </x:c>
      <x:c r="AB178" s="20" t="str">
        <x:v>105.26870000103372</x:v>
      </x:c>
      <x:c r="AC178" s="12" t="str">
        <x:v>overlays\happy_027.png</x:v>
      </x:c>
      <x:c r="AD178" s="12" t="str"/>
      <x:c r="AE178" s="12" t="str"/>
      <x:c r="AF178" s="12" t="str">
        <x:v>good</x:v>
      </x:c>
      <x:c r="AG178" s="12" t="n">
        <x:v>1</x:v>
      </x:c>
      <x:c r="AH178" s="12" t="str">
        <x:v>good</x:v>
      </x:c>
      <x:c r="AI178" s="12" t="str">
        <x:v>good</x:v>
      </x:c>
      <x:c r="AJ178" s="12" t="str">
        <x:v>good</x:v>
      </x:c>
      <x:c r="AK178" s="12" t="str">
        <x:v>good</x:v>
      </x:c>
      <x:c r="AL178" s="12" t="str">
        <x:v>none</x:v>
      </x:c>
      <x:c r="AM178" s="14" t="str">
        <x:v>Clear and well-aligned facial landmarks with no major pose, crop, or occlusion issue.</x:v>
      </x:c>
    </x:row>
    <x:row r="179" ht="30" customHeight="1">
      <x:c r="A179" s="12" t="str">
        <x:v>happy_028</x:v>
      </x:c>
      <x:c r="B179" s="12" t="str">
        <x:v>happy</x:v>
      </x:c>
      <x:c r="C179" s="14" t="str">
        <x:v>happy/Training_71437908.jpg</x:v>
      </x:c>
      <x:c r="D179" s="12" t="str">
        <x:v>9a7f035660d86e6e89eb6d748a01f87e428f530a6b0adfe07c5c5c084271e879</x:v>
      </x:c>
      <x:c r="E179" s="12" t="str">
        <x:v>9a7f035660d86e6e89eb6d748a01f87e428f530a6b0adfe07c5c5c084271e879</x:v>
      </x:c>
      <x:c r="F179" s="12" t="str">
        <x:v>True</x:v>
      </x:c>
      <x:c r="G179" s="12" t="str">
        <x:v>48</x:v>
      </x:c>
      <x:c r="H179" s="12" t="str">
        <x:v>48</x:v>
      </x:c>
      <x:c r="I179" s="12" t="str">
        <x:v>0.0</x:v>
      </x:c>
      <x:c r="J179" s="12" t="str">
        <x:v>0.0</x:v>
      </x:c>
      <x:c r="K179" s="12" t="str">
        <x:v>47.0</x:v>
      </x:c>
      <x:c r="L179" s="12" t="str">
        <x:v>47.0</x:v>
      </x:c>
      <x:c r="M179" s="12" t="str">
        <x:v>True</x:v>
      </x:c>
      <x:c r="N179" s="12" t="str">
        <x:v>106</x:v>
      </x:c>
      <x:c r="O179" s="12" t="str">
        <x:v>106</x:v>
      </x:c>
      <x:c r="P179" s="16" t="str">
        <x:v>1.0</x:v>
      </x:c>
      <x:c r="Q179" s="12" t="str">
        <x:v>100</x:v>
      </x:c>
      <x:c r="R179" s="16" t="str">
        <x:v>0.9433962264150944</x:v>
      </x:c>
      <x:c r="S179" s="12" t="str">
        <x:v>0.2</x:v>
      </x:c>
      <x:c r="T179" s="12" t="str">
        <x:v>106</x:v>
      </x:c>
      <x:c r="U179" s="16" t="str">
        <x:v>1.0</x:v>
      </x:c>
      <x:c r="V179" s="18" t="str">
        <x:v>0.3142704367637634</x:v>
      </x:c>
      <x:c r="W179" s="18" t="str">
        <x:v>0.4479168951511383</x:v>
      </x:c>
      <x:c r="X179" s="18" t="str">
        <x:v>0.6646746397018433</x:v>
      </x:c>
      <x:c r="Y179" s="18" t="str">
        <x:v>0.6465204358100891</x:v>
      </x:c>
      <x:c r="Z179" s="18" t="str">
        <x:v>0.9092880487442017</x:v>
      </x:c>
      <x:c r="AA179" s="18" t="str">
        <x:v>0.9923614263534546</x:v>
      </x:c>
      <x:c r="AB179" s="20" t="str">
        <x:v>103.21200000180397</x:v>
      </x:c>
      <x:c r="AC179" s="12" t="str">
        <x:v>overlays\happy_028.png</x:v>
      </x:c>
      <x:c r="AD179" s="12" t="str"/>
      <x:c r="AE179" s="12" t="str"/>
      <x:c r="AF179" s="12" t="str">
        <x:v>good</x:v>
      </x:c>
      <x:c r="AG179" s="12" t="n">
        <x:v>1</x:v>
      </x:c>
      <x:c r="AH179" s="12" t="str">
        <x:v>good</x:v>
      </x:c>
      <x:c r="AI179" s="12" t="str">
        <x:v>good</x:v>
      </x:c>
      <x:c r="AJ179" s="12" t="str">
        <x:v>good</x:v>
      </x:c>
      <x:c r="AK179" s="12" t="str">
        <x:v>not_applicable</x:v>
      </x:c>
      <x:c r="AL179" s="12" t="str">
        <x:v>none</x:v>
      </x:c>
      <x:c r="AM179" s="14" t="str">
        <x:v>Clear and well-aligned facial landmarks with no major pose, crop, or occlusion issue.</x:v>
      </x:c>
    </x:row>
    <x:row r="180" ht="30" customHeight="1">
      <x:c r="A180" s="12" t="str">
        <x:v>happy_029</x:v>
      </x:c>
      <x:c r="B180" s="12" t="str">
        <x:v>happy</x:v>
      </x:c>
      <x:c r="C180" s="14" t="str">
        <x:v>happy/Training_4301800.jpg</x:v>
      </x:c>
      <x:c r="D180" s="12" t="str">
        <x:v>2041b0b1bd0f9cb1050bc1b4085c12b0e1e9b696a4551486346e049c1c674398</x:v>
      </x:c>
      <x:c r="E180" s="12" t="str">
        <x:v>2041b0b1bd0f9cb1050bc1b4085c12b0e1e9b696a4551486346e049c1c674398</x:v>
      </x:c>
      <x:c r="F180" s="12" t="str">
        <x:v>True</x:v>
      </x:c>
      <x:c r="G180" s="12" t="str">
        <x:v>48</x:v>
      </x:c>
      <x:c r="H180" s="12" t="str">
        <x:v>48</x:v>
      </x:c>
      <x:c r="I180" s="12" t="str">
        <x:v>0.0</x:v>
      </x:c>
      <x:c r="J180" s="12" t="str">
        <x:v>0.0</x:v>
      </x:c>
      <x:c r="K180" s="12" t="str">
        <x:v>47.0</x:v>
      </x:c>
      <x:c r="L180" s="12" t="str">
        <x:v>47.0</x:v>
      </x:c>
      <x:c r="M180" s="12" t="str">
        <x:v>True</x:v>
      </x:c>
      <x:c r="N180" s="12" t="str">
        <x:v>106</x:v>
      </x:c>
      <x:c r="O180" s="12" t="str">
        <x:v>106</x:v>
      </x:c>
      <x:c r="P180" s="16" t="str">
        <x:v>1.0</x:v>
      </x:c>
      <x:c r="Q180" s="12" t="str">
        <x:v>106</x:v>
      </x:c>
      <x:c r="R180" s="16" t="str">
        <x:v>1.0</x:v>
      </x:c>
      <x:c r="S180" s="12" t="str">
        <x:v>0.2</x:v>
      </x:c>
      <x:c r="T180" s="12" t="str">
        <x:v>106</x:v>
      </x:c>
      <x:c r="U180" s="16" t="str">
        <x:v>1.0</x:v>
      </x:c>
      <x:c r="V180" s="18" t="str">
        <x:v>0.4473445415496826</x:v>
      </x:c>
      <x:c r="W180" s="18" t="str">
        <x:v>0.49678704142570496</x:v>
      </x:c>
      <x:c r="X180" s="18" t="str">
        <x:v>0.6134781241416931</x:v>
      </x:c>
      <x:c r="Y180" s="18" t="str">
        <x:v>0.6325398087501526</x:v>
      </x:c>
      <x:c r="Z180" s="18" t="str">
        <x:v>0.6994966566562653</x:v>
      </x:c>
      <x:c r="AA180" s="18" t="str">
        <x:v>0.745394229888916</x:v>
      </x:c>
      <x:c r="AB180" s="20" t="str">
        <x:v>108.05819999950472</x:v>
      </x:c>
      <x:c r="AC180" s="12" t="str">
        <x:v>overlays\happy_029.png</x:v>
      </x:c>
      <x:c r="AD180" s="12" t="str"/>
      <x:c r="AE180" s="12" t="str"/>
      <x:c r="AF180" s="12" t="str">
        <x:v>acceptable</x:v>
      </x:c>
      <x:c r="AG180" s="12" t="n">
        <x:v>1</x:v>
      </x:c>
      <x:c r="AH180" s="12" t="str">
        <x:v>acceptable</x:v>
      </x:c>
      <x:c r="AI180" s="12" t="str">
        <x:v>acceptable</x:v>
      </x:c>
      <x:c r="AJ180" s="12" t="str">
        <x:v>acceptable</x:v>
      </x:c>
      <x:c r="AK180" s="12" t="str">
        <x:v>acceptable</x:v>
      </x:c>
      <x:c r="AL180" s="12" t="str">
        <x:v>mild</x:v>
      </x:c>
      <x:c r="AM180" s="14" t="str">
        <x:v>Moderate pose, crop, or image degradation causes minor landmark uncertainty; the result remains usable.</x:v>
      </x:c>
    </x:row>
    <x:row r="181" ht="30" customHeight="1">
      <x:c r="A181" s="12" t="str">
        <x:v>happy_030</x:v>
      </x:c>
      <x:c r="B181" s="12" t="str">
        <x:v>happy</x:v>
      </x:c>
      <x:c r="C181" s="14" t="str">
        <x:v>happy/Training_60286071.jpg</x:v>
      </x:c>
      <x:c r="D181" s="12" t="str">
        <x:v>65e66037039c89332779490edeb7cac91f37ec8d9babbe86af6dcf9d5fbc5e1d</x:v>
      </x:c>
      <x:c r="E181" s="12" t="str">
        <x:v>65e66037039c89332779490edeb7cac91f37ec8d9babbe86af6dcf9d5fbc5e1d</x:v>
      </x:c>
      <x:c r="F181" s="12" t="str">
        <x:v>True</x:v>
      </x:c>
      <x:c r="G181" s="12" t="str">
        <x:v>48</x:v>
      </x:c>
      <x:c r="H181" s="12" t="str">
        <x:v>48</x:v>
      </x:c>
      <x:c r="I181" s="12" t="str">
        <x:v>0.0</x:v>
      </x:c>
      <x:c r="J181" s="12" t="str">
        <x:v>0.0</x:v>
      </x:c>
      <x:c r="K181" s="12" t="str">
        <x:v>47.0</x:v>
      </x:c>
      <x:c r="L181" s="12" t="str">
        <x:v>47.0</x:v>
      </x:c>
      <x:c r="M181" s="12" t="str">
        <x:v>True</x:v>
      </x:c>
      <x:c r="N181" s="12" t="str">
        <x:v>106</x:v>
      </x:c>
      <x:c r="O181" s="12" t="str">
        <x:v>106</x:v>
      </x:c>
      <x:c r="P181" s="16" t="str">
        <x:v>1.0</x:v>
      </x:c>
      <x:c r="Q181" s="12" t="str">
        <x:v>95</x:v>
      </x:c>
      <x:c r="R181" s="16" t="str">
        <x:v>0.8962264150943396</x:v>
      </x:c>
      <x:c r="S181" s="12" t="str">
        <x:v>0.2</x:v>
      </x:c>
      <x:c r="T181" s="12" t="str">
        <x:v>106</x:v>
      </x:c>
      <x:c r="U181" s="16" t="str">
        <x:v>1.0</x:v>
      </x:c>
      <x:c r="V181" s="18" t="str">
        <x:v>0.36492371559143066</x:v>
      </x:c>
      <x:c r="W181" s="18" t="str">
        <x:v>0.47628703713417053</x:v>
      </x:c>
      <x:c r="X181" s="18" t="str">
        <x:v>0.6762300729751587</x:v>
      </x:c>
      <x:c r="Y181" s="18" t="str">
        <x:v>0.6503413915634155</x:v>
      </x:c>
      <x:c r="Z181" s="18" t="str">
        <x:v>0.9194240272045135</x:v>
      </x:c>
      <x:c r="AA181" s="18" t="str">
        <x:v>0.978030800819397</x:v>
      </x:c>
      <x:c r="AB181" s="20" t="str">
        <x:v>102.77069999938249</x:v>
      </x:c>
      <x:c r="AC181" s="12" t="str">
        <x:v>overlays\happy_030.png</x:v>
      </x:c>
      <x:c r="AD181" s="12" t="str"/>
      <x:c r="AE181" s="12" t="str"/>
      <x:c r="AF181" s="12" t="str">
        <x:v>good</x:v>
      </x:c>
      <x:c r="AG181" s="12" t="n">
        <x:v>1</x:v>
      </x:c>
      <x:c r="AH181" s="12" t="str">
        <x:v>good</x:v>
      </x:c>
      <x:c r="AI181" s="12" t="str">
        <x:v>good</x:v>
      </x:c>
      <x:c r="AJ181" s="12" t="str">
        <x:v>good</x:v>
      </x:c>
      <x:c r="AK181" s="12" t="str">
        <x:v>good</x:v>
      </x:c>
      <x:c r="AL181" s="12" t="str">
        <x:v>none</x:v>
      </x:c>
      <x:c r="AM181" s="14" t="str">
        <x:v>Clear and well-aligned facial landmarks with no major pose, crop, or occlusion issue.</x:v>
      </x:c>
    </x:row>
    <x:row r="182" ht="30" customHeight="1">
      <x:c r="A182" s="12" t="str">
        <x:v>happy_031</x:v>
      </x:c>
      <x:c r="B182" s="12" t="str">
        <x:v>happy</x:v>
      </x:c>
      <x:c r="C182" s="14" t="str">
        <x:v>happy/Training_11804569.jpg</x:v>
      </x:c>
      <x:c r="D182" s="12" t="str">
        <x:v>335743edf5f7e6dce87db36832d32cd29e3b3816c37b9570d2207134ca0139c3</x:v>
      </x:c>
      <x:c r="E182" s="12" t="str">
        <x:v>335743edf5f7e6dce87db36832d32cd29e3b3816c37b9570d2207134ca0139c3</x:v>
      </x:c>
      <x:c r="F182" s="12" t="str">
        <x:v>True</x:v>
      </x:c>
      <x:c r="G182" s="12" t="str">
        <x:v>48</x:v>
      </x:c>
      <x:c r="H182" s="12" t="str">
        <x:v>48</x:v>
      </x:c>
      <x:c r="I182" s="12" t="str">
        <x:v>0.0</x:v>
      </x:c>
      <x:c r="J182" s="12" t="str">
        <x:v>0.0</x:v>
      </x:c>
      <x:c r="K182" s="12" t="str">
        <x:v>47.0</x:v>
      </x:c>
      <x:c r="L182" s="12" t="str">
        <x:v>47.0</x:v>
      </x:c>
      <x:c r="M182" s="12" t="str">
        <x:v>True</x:v>
      </x:c>
      <x:c r="N182" s="12" t="str">
        <x:v>106</x:v>
      </x:c>
      <x:c r="O182" s="12" t="str">
        <x:v>106</x:v>
      </x:c>
      <x:c r="P182" s="16" t="str">
        <x:v>1.0</x:v>
      </x:c>
      <x:c r="Q182" s="12" t="str">
        <x:v>89</x:v>
      </x:c>
      <x:c r="R182" s="16" t="str">
        <x:v>0.839622641509434</x:v>
      </x:c>
      <x:c r="S182" s="12" t="str">
        <x:v>0.2</x:v>
      </x:c>
      <x:c r="T182" s="12" t="str">
        <x:v>106</x:v>
      </x:c>
      <x:c r="U182" s="16" t="str">
        <x:v>1.0</x:v>
      </x:c>
      <x:c r="V182" s="18" t="str">
        <x:v>0.3417668640613556</x:v>
      </x:c>
      <x:c r="W182" s="18" t="str">
        <x:v>0.4246286451816559</x:v>
      </x:c>
      <x:c r="X182" s="18" t="str">
        <x:v>0.5911340713500977</x:v>
      </x:c>
      <x:c r="Y182" s="18" t="str">
        <x:v>0.5589150786399841</x:v>
      </x:c>
      <x:c r="Z182" s="18" t="str">
        <x:v>0.7992556095123291</x:v>
      </x:c>
      <x:c r="AA182" s="18" t="str">
        <x:v>0.8426843881607056</x:v>
      </x:c>
      <x:c r="AB182" s="20" t="str">
        <x:v>108.86350000146194</x:v>
      </x:c>
      <x:c r="AC182" s="12" t="str">
        <x:v>overlays\happy_031.png</x:v>
      </x:c>
      <x:c r="AD182" s="12" t="str"/>
      <x:c r="AE182" s="12" t="str"/>
      <x:c r="AF182" s="12" t="str">
        <x:v>acceptable</x:v>
      </x:c>
      <x:c r="AG182" s="12" t="n">
        <x:v>1</x:v>
      </x:c>
      <x:c r="AH182" s="12" t="str">
        <x:v>acceptable</x:v>
      </x:c>
      <x:c r="AI182" s="12" t="str">
        <x:v>acceptable</x:v>
      </x:c>
      <x:c r="AJ182" s="12" t="str">
        <x:v>acceptable</x:v>
      </x:c>
      <x:c r="AK182" s="12" t="str">
        <x:v>not_applicable</x:v>
      </x:c>
      <x:c r="AL182" s="12" t="str">
        <x:v>mild</x:v>
      </x:c>
      <x:c r="AM182" s="14" t="str">
        <x:v>Tight crop places several contour points outside the frame; central facial landmarks remain usable.</x:v>
      </x:c>
    </x:row>
    <x:row r="183" ht="30" customHeight="1">
      <x:c r="A183" s="12" t="str">
        <x:v>happy_032</x:v>
      </x:c>
      <x:c r="B183" s="12" t="str">
        <x:v>happy</x:v>
      </x:c>
      <x:c r="C183" s="14" t="str">
        <x:v>happy/Training_21227042.jpg</x:v>
      </x:c>
      <x:c r="D183" s="12" t="str">
        <x:v>6f611a953bd292462c3681c7ab4a566f301ca66988459ae4edf1b01ecf574b8d</x:v>
      </x:c>
      <x:c r="E183" s="12" t="str">
        <x:v>6f611a953bd292462c3681c7ab4a566f301ca66988459ae4edf1b01ecf574b8d</x:v>
      </x:c>
      <x:c r="F183" s="12" t="str">
        <x:v>True</x:v>
      </x:c>
      <x:c r="G183" s="12" t="str">
        <x:v>48</x:v>
      </x:c>
      <x:c r="H183" s="12" t="str">
        <x:v>48</x:v>
      </x:c>
      <x:c r="I183" s="12" t="str">
        <x:v>0.0</x:v>
      </x:c>
      <x:c r="J183" s="12" t="str">
        <x:v>0.0</x:v>
      </x:c>
      <x:c r="K183" s="12" t="str">
        <x:v>47.0</x:v>
      </x:c>
      <x:c r="L183" s="12" t="str">
        <x:v>47.0</x:v>
      </x:c>
      <x:c r="M183" s="12" t="str">
        <x:v>True</x:v>
      </x:c>
      <x:c r="N183" s="12" t="str">
        <x:v>106</x:v>
      </x:c>
      <x:c r="O183" s="12" t="str">
        <x:v>106</x:v>
      </x:c>
      <x:c r="P183" s="16" t="str">
        <x:v>1.0</x:v>
      </x:c>
      <x:c r="Q183" s="12" t="str">
        <x:v>97</x:v>
      </x:c>
      <x:c r="R183" s="16" t="str">
        <x:v>0.9150943396226415</x:v>
      </x:c>
      <x:c r="S183" s="12" t="str">
        <x:v>0.2</x:v>
      </x:c>
      <x:c r="T183" s="12" t="str">
        <x:v>106</x:v>
      </x:c>
      <x:c r="U183" s="16" t="str">
        <x:v>1.0</x:v>
      </x:c>
      <x:c r="V183" s="18" t="str">
        <x:v>0.40224766731262207</x:v>
      </x:c>
      <x:c r="W183" s="18" t="str">
        <x:v>0.5056036114692688</x:v>
      </x:c>
      <x:c r="X183" s="18" t="str">
        <x:v>0.6640583276748657</x:v>
      </x:c>
      <x:c r="Y183" s="18" t="str">
        <x:v>0.6372941136360168</x:v>
      </x:c>
      <x:c r="Z183" s="18" t="str">
        <x:v>0.8743835091590881</x:v>
      </x:c>
      <x:c r="AA183" s="18" t="str">
        <x:v>0.9457759857177734</x:v>
      </x:c>
      <x:c r="AB183" s="20" t="str">
        <x:v>108.3959000025061</x:v>
      </x:c>
      <x:c r="AC183" s="12" t="str">
        <x:v>overlays\happy_032.png</x:v>
      </x:c>
      <x:c r="AD183" s="12" t="str"/>
      <x:c r="AE183" s="12" t="str"/>
      <x:c r="AF183" s="12" t="str">
        <x:v>good</x:v>
      </x:c>
      <x:c r="AG183" s="12" t="n">
        <x:v>1</x:v>
      </x:c>
      <x:c r="AH183" s="12" t="str">
        <x:v>good</x:v>
      </x:c>
      <x:c r="AI183" s="12" t="str">
        <x:v>good</x:v>
      </x:c>
      <x:c r="AJ183" s="12" t="str">
        <x:v>good</x:v>
      </x:c>
      <x:c r="AK183" s="12" t="str">
        <x:v>good</x:v>
      </x:c>
      <x:c r="AL183" s="12" t="str">
        <x:v>none</x:v>
      </x:c>
      <x:c r="AM183" s="14" t="str">
        <x:v>Clear and well-aligned facial landmarks with no major pose, crop, or occlusion issue.</x:v>
      </x:c>
    </x:row>
    <x:row r="184" ht="30" customHeight="1">
      <x:c r="A184" s="12" t="str">
        <x:v>happy_033</x:v>
      </x:c>
      <x:c r="B184" s="12" t="str">
        <x:v>happy</x:v>
      </x:c>
      <x:c r="C184" s="14" t="str">
        <x:v>happy/Training_47060911.jpg</x:v>
      </x:c>
      <x:c r="D184" s="12" t="str">
        <x:v>47150e342242aa8264277cff8443e99ad0fb7f18a87ebe75e489f0ca1850aa3e</x:v>
      </x:c>
      <x:c r="E184" s="12" t="str">
        <x:v>47150e342242aa8264277cff8443e99ad0fb7f18a87ebe75e489f0ca1850aa3e</x:v>
      </x:c>
      <x:c r="F184" s="12" t="str">
        <x:v>True</x:v>
      </x:c>
      <x:c r="G184" s="12" t="str">
        <x:v>48</x:v>
      </x:c>
      <x:c r="H184" s="12" t="str">
        <x:v>48</x:v>
      </x:c>
      <x:c r="I184" s="12" t="str">
        <x:v>0.0</x:v>
      </x:c>
      <x:c r="J184" s="12" t="str">
        <x:v>0.0</x:v>
      </x:c>
      <x:c r="K184" s="12" t="str">
        <x:v>47.0</x:v>
      </x:c>
      <x:c r="L184" s="12" t="str">
        <x:v>47.0</x:v>
      </x:c>
      <x:c r="M184" s="12" t="str">
        <x:v>True</x:v>
      </x:c>
      <x:c r="N184" s="12" t="str">
        <x:v>106</x:v>
      </x:c>
      <x:c r="O184" s="12" t="str">
        <x:v>106</x:v>
      </x:c>
      <x:c r="P184" s="16" t="str">
        <x:v>1.0</x:v>
      </x:c>
      <x:c r="Q184" s="12" t="str">
        <x:v>105</x:v>
      </x:c>
      <x:c r="R184" s="16" t="str">
        <x:v>0.9905660377358491</x:v>
      </x:c>
      <x:c r="S184" s="12" t="str">
        <x:v>0.2</x:v>
      </x:c>
      <x:c r="T184" s="12" t="str">
        <x:v>106</x:v>
      </x:c>
      <x:c r="U184" s="16" t="str">
        <x:v>1.0</x:v>
      </x:c>
      <x:c r="V184" s="18" t="str">
        <x:v>0.5513299703598022</x:v>
      </x:c>
      <x:c r="W184" s="18" t="str">
        <x:v>0.5988901853561401</x:v>
      </x:c>
      <x:c r="X184" s="18" t="str">
        <x:v>0.7507069706916809</x:v>
      </x:c>
      <x:c r="Y184" s="18" t="str">
        <x:v>0.7322313189506531</x:v>
      </x:c>
      <x:c r="Z184" s="18" t="str">
        <x:v>0.9833207428455353</x:v>
      </x:c>
      <x:c r="AA184" s="18" t="str">
        <x:v>1.046518325805664</x:v>
      </x:c>
      <x:c r="AB184" s="20" t="str">
        <x:v>119.51000000044587</x:v>
      </x:c>
      <x:c r="AC184" s="12" t="str">
        <x:v>overlays\happy_033.png</x:v>
      </x:c>
      <x:c r="AD184" s="12" t="str"/>
      <x:c r="AE184" s="12" t="str"/>
      <x:c r="AF184" s="12" t="str">
        <x:v>good</x:v>
      </x:c>
      <x:c r="AG184" s="12" t="n">
        <x:v>1</x:v>
      </x:c>
      <x:c r="AH184" s="12" t="str">
        <x:v>good</x:v>
      </x:c>
      <x:c r="AI184" s="12" t="str">
        <x:v>good</x:v>
      </x:c>
      <x:c r="AJ184" s="12" t="str">
        <x:v>good</x:v>
      </x:c>
      <x:c r="AK184" s="12" t="str">
        <x:v>not_applicable</x:v>
      </x:c>
      <x:c r="AL184" s="12" t="str">
        <x:v>none</x:v>
      </x:c>
      <x:c r="AM184" s="14" t="str">
        <x:v>Clear and well-aligned facial landmarks with no major pose, crop, or occlusion issue.</x:v>
      </x:c>
    </x:row>
    <x:row r="185" ht="30" customHeight="1">
      <x:c r="A185" s="12" t="str">
        <x:v>happy_034</x:v>
      </x:c>
      <x:c r="B185" s="12" t="str">
        <x:v>happy</x:v>
      </x:c>
      <x:c r="C185" s="14" t="str">
        <x:v>happy/Training_99770266.jpg</x:v>
      </x:c>
      <x:c r="D185" s="12" t="str">
        <x:v>b117e8050792a9596746cc94557a3076556d9f7353ff098059fd5bb58b02967c</x:v>
      </x:c>
      <x:c r="E185" s="12" t="str">
        <x:v>b117e8050792a9596746cc94557a3076556d9f7353ff098059fd5bb58b02967c</x:v>
      </x:c>
      <x:c r="F185" s="12" t="str">
        <x:v>True</x:v>
      </x:c>
      <x:c r="G185" s="12" t="str">
        <x:v>48</x:v>
      </x:c>
      <x:c r="H185" s="12" t="str">
        <x:v>48</x:v>
      </x:c>
      <x:c r="I185" s="12" t="str">
        <x:v>0.0</x:v>
      </x:c>
      <x:c r="J185" s="12" t="str">
        <x:v>0.0</x:v>
      </x:c>
      <x:c r="K185" s="12" t="str">
        <x:v>47.0</x:v>
      </x:c>
      <x:c r="L185" s="12" t="str">
        <x:v>47.0</x:v>
      </x:c>
      <x:c r="M185" s="12" t="str">
        <x:v>True</x:v>
      </x:c>
      <x:c r="N185" s="12" t="str">
        <x:v>106</x:v>
      </x:c>
      <x:c r="O185" s="12" t="str">
        <x:v>106</x:v>
      </x:c>
      <x:c r="P185" s="16" t="str">
        <x:v>1.0</x:v>
      </x:c>
      <x:c r="Q185" s="12" t="str">
        <x:v>94</x:v>
      </x:c>
      <x:c r="R185" s="16" t="str">
        <x:v>0.8867924528301887</x:v>
      </x:c>
      <x:c r="S185" s="12" t="str">
        <x:v>0.2</x:v>
      </x:c>
      <x:c r="T185" s="12" t="str">
        <x:v>106</x:v>
      </x:c>
      <x:c r="U185" s="16" t="str">
        <x:v>1.0</x:v>
      </x:c>
      <x:c r="V185" s="18" t="str">
        <x:v>0.39896178245544434</x:v>
      </x:c>
      <x:c r="W185" s="18" t="str">
        <x:v>0.5096240639686584</x:v>
      </x:c>
      <x:c r="X185" s="18" t="str">
        <x:v>0.6958168745040894</x:v>
      </x:c>
      <x:c r="Y185" s="18" t="str">
        <x:v>0.6720494031906128</x:v>
      </x:c>
      <x:c r="Z185" s="18" t="str">
        <x:v>0.9380698204040527</x:v>
      </x:c>
      <x:c r="AA185" s="18" t="str">
        <x:v>1.064584732055664</x:v>
      </x:c>
      <x:c r="AB185" s="20" t="str">
        <x:v>115.12089999814634</x:v>
      </x:c>
      <x:c r="AC185" s="12" t="str">
        <x:v>overlays\happy_034.png</x:v>
      </x:c>
      <x:c r="AD185" s="12" t="str"/>
      <x:c r="AE185" s="12" t="str"/>
      <x:c r="AF185" s="12" t="str">
        <x:v>good</x:v>
      </x:c>
      <x:c r="AG185" s="12" t="n">
        <x:v>1</x:v>
      </x:c>
      <x:c r="AH185" s="12" t="str">
        <x:v>good</x:v>
      </x:c>
      <x:c r="AI185" s="12" t="str">
        <x:v>good</x:v>
      </x:c>
      <x:c r="AJ185" s="12" t="str">
        <x:v>good</x:v>
      </x:c>
      <x:c r="AK185" s="12" t="str">
        <x:v>not_applicable</x:v>
      </x:c>
      <x:c r="AL185" s="12" t="str">
        <x:v>none</x:v>
      </x:c>
      <x:c r="AM185" s="14" t="str">
        <x:v>Clear and well-aligned facial landmarks with no major pose, crop, or occlusion issue.</x:v>
      </x:c>
    </x:row>
    <x:row r="186" ht="30" customHeight="1">
      <x:c r="A186" s="12" t="str">
        <x:v>happy_035</x:v>
      </x:c>
      <x:c r="B186" s="12" t="str">
        <x:v>happy</x:v>
      </x:c>
      <x:c r="C186" s="14" t="str">
        <x:v>happy/Training_94853036.jpg</x:v>
      </x:c>
      <x:c r="D186" s="12" t="str">
        <x:v>b21ca4889c3e7b034ca5cd24c827f63551d07c34ad992a5231a30a7f924b2bac</x:v>
      </x:c>
      <x:c r="E186" s="12" t="str">
        <x:v>b21ca4889c3e7b034ca5cd24c827f63551d07c34ad992a5231a30a7f924b2bac</x:v>
      </x:c>
      <x:c r="F186" s="12" t="str">
        <x:v>True</x:v>
      </x:c>
      <x:c r="G186" s="12" t="str">
        <x:v>48</x:v>
      </x:c>
      <x:c r="H186" s="12" t="str">
        <x:v>48</x:v>
      </x:c>
      <x:c r="I186" s="12" t="str">
        <x:v>0.0</x:v>
      </x:c>
      <x:c r="J186" s="12" t="str">
        <x:v>0.0</x:v>
      </x:c>
      <x:c r="K186" s="12" t="str">
        <x:v>47.0</x:v>
      </x:c>
      <x:c r="L186" s="12" t="str">
        <x:v>47.0</x:v>
      </x:c>
      <x:c r="M186" s="12" t="str">
        <x:v>True</x:v>
      </x:c>
      <x:c r="N186" s="12" t="str">
        <x:v>106</x:v>
      </x:c>
      <x:c r="O186" s="12" t="str">
        <x:v>106</x:v>
      </x:c>
      <x:c r="P186" s="16" t="str">
        <x:v>1.0</x:v>
      </x:c>
      <x:c r="Q186" s="12" t="str">
        <x:v>106</x:v>
      </x:c>
      <x:c r="R186" s="16" t="str">
        <x:v>1.0</x:v>
      </x:c>
      <x:c r="S186" s="12" t="str">
        <x:v>0.2</x:v>
      </x:c>
      <x:c r="T186" s="12" t="str">
        <x:v>106</x:v>
      </x:c>
      <x:c r="U186" s="16" t="str">
        <x:v>1.0</x:v>
      </x:c>
      <x:c r="V186" s="18" t="str">
        <x:v>0.24600452184677124</x:v>
      </x:c>
      <x:c r="W186" s="18" t="str">
        <x:v>0.34225034713745117</x:v>
      </x:c>
      <x:c r="X186" s="18" t="str">
        <x:v>0.5460829734802246</x:v>
      </x:c>
      <x:c r="Y186" s="18" t="str">
        <x:v>0.5450379848480225</x:v>
      </x:c>
      <x:c r="Z186" s="18" t="str">
        <x:v>0.7348328232765198</x:v>
      </x:c>
      <x:c r="AA186" s="18" t="str">
        <x:v>0.8441002368927002</x:v>
      </x:c>
      <x:c r="AB186" s="20" t="str">
        <x:v>107.38399999900139</x:v>
      </x:c>
      <x:c r="AC186" s="12" t="str">
        <x:v>overlays\happy_035.png</x:v>
      </x:c>
      <x:c r="AD186" s="12" t="str"/>
      <x:c r="AE186" s="12" t="str"/>
      <x:c r="AF186" s="12" t="str">
        <x:v>acceptable</x:v>
      </x:c>
      <x:c r="AG186" s="12" t="n">
        <x:v>1</x:v>
      </x:c>
      <x:c r="AH186" s="12" t="str">
        <x:v>acceptable</x:v>
      </x:c>
      <x:c r="AI186" s="12" t="str">
        <x:v>acceptable</x:v>
      </x:c>
      <x:c r="AJ186" s="12" t="str">
        <x:v>acceptable</x:v>
      </x:c>
      <x:c r="AK186" s="12" t="str">
        <x:v>acceptable</x:v>
      </x:c>
      <x:c r="AL186" s="12" t="str">
        <x:v>mild</x:v>
      </x:c>
      <x:c r="AM186" s="14" t="str">
        <x:v>Large pose or profile; visible landmarks are useful, while hidden-side contour points are inferred.</x:v>
      </x:c>
    </x:row>
    <x:row r="187" ht="30" customHeight="1">
      <x:c r="A187" s="12" t="str">
        <x:v>happy_036</x:v>
      </x:c>
      <x:c r="B187" s="12" t="str">
        <x:v>happy</x:v>
      </x:c>
      <x:c r="C187" s="14" t="str">
        <x:v>happy/Training_92214730.jpg</x:v>
      </x:c>
      <x:c r="D187" s="12" t="str">
        <x:v>7584773c30a923bf26e26421f492c3d414ccd099d6f93605bd8c4d64068996d8</x:v>
      </x:c>
      <x:c r="E187" s="12" t="str">
        <x:v>7584773c30a923bf26e26421f492c3d414ccd099d6f93605bd8c4d64068996d8</x:v>
      </x:c>
      <x:c r="F187" s="12" t="str">
        <x:v>True</x:v>
      </x:c>
      <x:c r="G187" s="12" t="str">
        <x:v>48</x:v>
      </x:c>
      <x:c r="H187" s="12" t="str">
        <x:v>48</x:v>
      </x:c>
      <x:c r="I187" s="12" t="str">
        <x:v>0.0</x:v>
      </x:c>
      <x:c r="J187" s="12" t="str">
        <x:v>0.0</x:v>
      </x:c>
      <x:c r="K187" s="12" t="str">
        <x:v>47.0</x:v>
      </x:c>
      <x:c r="L187" s="12" t="str">
        <x:v>47.0</x:v>
      </x:c>
      <x:c r="M187" s="12" t="str">
        <x:v>True</x:v>
      </x:c>
      <x:c r="N187" s="12" t="str">
        <x:v>106</x:v>
      </x:c>
      <x:c r="O187" s="12" t="str">
        <x:v>106</x:v>
      </x:c>
      <x:c r="P187" s="16" t="str">
        <x:v>1.0</x:v>
      </x:c>
      <x:c r="Q187" s="12" t="str">
        <x:v>86</x:v>
      </x:c>
      <x:c r="R187" s="16" t="str">
        <x:v>0.8113207547169812</x:v>
      </x:c>
      <x:c r="S187" s="12" t="str">
        <x:v>0.2</x:v>
      </x:c>
      <x:c r="T187" s="12" t="str">
        <x:v>106</x:v>
      </x:c>
      <x:c r="U187" s="16" t="str">
        <x:v>1.0</x:v>
      </x:c>
      <x:c r="V187" s="18" t="str">
        <x:v>0.2546640932559967</x:v>
      </x:c>
      <x:c r="W187" s="18" t="str">
        <x:v>0.4485799968242645</x:v>
      </x:c>
      <x:c r="X187" s="18" t="str">
        <x:v>0.602660059928894</x:v>
      </x:c>
      <x:c r="Y187" s="18" t="str">
        <x:v>0.5856789350509644</x:v>
      </x:c>
      <x:c r="Z187" s="18" t="str">
        <x:v>0.7908123135566711</x:v>
      </x:c>
      <x:c r="AA187" s="18" t="str">
        <x:v>0.8825623989105225</x:v>
      </x:c>
      <x:c r="AB187" s="20" t="str">
        <x:v>104.42909999983385</x:v>
      </x:c>
      <x:c r="AC187" s="12" t="str">
        <x:v>overlays\happy_036.png</x:v>
      </x:c>
      <x:c r="AD187" s="12" t="str"/>
      <x:c r="AE187" s="12" t="str"/>
      <x:c r="AF187" s="12" t="str">
        <x:v>acceptable</x:v>
      </x:c>
      <x:c r="AG187" s="12" t="n">
        <x:v>1</x:v>
      </x:c>
      <x:c r="AH187" s="12" t="str">
        <x:v>acceptable</x:v>
      </x:c>
      <x:c r="AI187" s="12" t="str">
        <x:v>acceptable</x:v>
      </x:c>
      <x:c r="AJ187" s="12" t="str">
        <x:v>acceptable</x:v>
      </x:c>
      <x:c r="AK187" s="12" t="str">
        <x:v>acceptable</x:v>
      </x:c>
      <x:c r="AL187" s="12" t="str">
        <x:v>mild</x:v>
      </x:c>
      <x:c r="AM187" s="14" t="str">
        <x:v>Large pose or profile; visible landmarks are useful, while hidden-side contour points are inferred.</x:v>
      </x:c>
    </x:row>
    <x:row r="188" ht="30" customHeight="1">
      <x:c r="A188" s="12" t="str">
        <x:v>happy_037</x:v>
      </x:c>
      <x:c r="B188" s="12" t="str">
        <x:v>happy</x:v>
      </x:c>
      <x:c r="C188" s="14" t="str">
        <x:v>happy/Training_41487314.jpg</x:v>
      </x:c>
      <x:c r="D188" s="12" t="str">
        <x:v>2bc946b6c89470edea2cfa51adacdba972938e48aca47238fda0ad3e3a787ed6</x:v>
      </x:c>
      <x:c r="E188" s="12" t="str">
        <x:v>2bc946b6c89470edea2cfa51adacdba972938e48aca47238fda0ad3e3a787ed6</x:v>
      </x:c>
      <x:c r="F188" s="12" t="str">
        <x:v>True</x:v>
      </x:c>
      <x:c r="G188" s="12" t="str">
        <x:v>48</x:v>
      </x:c>
      <x:c r="H188" s="12" t="str">
        <x:v>48</x:v>
      </x:c>
      <x:c r="I188" s="12" t="str">
        <x:v>0.0</x:v>
      </x:c>
      <x:c r="J188" s="12" t="str">
        <x:v>0.0</x:v>
      </x:c>
      <x:c r="K188" s="12" t="str">
        <x:v>47.0</x:v>
      </x:c>
      <x:c r="L188" s="12" t="str">
        <x:v>47.0</x:v>
      </x:c>
      <x:c r="M188" s="12" t="str">
        <x:v>True</x:v>
      </x:c>
      <x:c r="N188" s="12" t="str">
        <x:v>106</x:v>
      </x:c>
      <x:c r="O188" s="12" t="str">
        <x:v>106</x:v>
      </x:c>
      <x:c r="P188" s="16" t="str">
        <x:v>1.0</x:v>
      </x:c>
      <x:c r="Q188" s="12" t="str">
        <x:v>102</x:v>
      </x:c>
      <x:c r="R188" s="16" t="str">
        <x:v>0.9622641509433962</x:v>
      </x:c>
      <x:c r="S188" s="12" t="str">
        <x:v>0.2</x:v>
      </x:c>
      <x:c r="T188" s="12" t="str">
        <x:v>106</x:v>
      </x:c>
      <x:c r="U188" s="16" t="str">
        <x:v>1.0</x:v>
      </x:c>
      <x:c r="V188" s="18" t="str">
        <x:v>0.4986678957939148</x:v>
      </x:c>
      <x:c r="W188" s="18" t="str">
        <x:v>0.5876768827438354</x:v>
      </x:c>
      <x:c r="X188" s="18" t="str">
        <x:v>0.7306635975837708</x:v>
      </x:c>
      <x:c r="Y188" s="18" t="str">
        <x:v>0.7137091755867004</x:v>
      </x:c>
      <x:c r="Z188" s="18" t="str">
        <x:v>0.9392337501049042</x:v>
      </x:c>
      <x:c r="AA188" s="18" t="str">
        <x:v>0.9910560846328735</x:v>
      </x:c>
      <x:c r="AB188" s="20" t="str">
        <x:v>102.53690000172355</x:v>
      </x:c>
      <x:c r="AC188" s="12" t="str">
        <x:v>overlays\happy_037.png</x:v>
      </x:c>
      <x:c r="AD188" s="12" t="str"/>
      <x:c r="AE188" s="12" t="str"/>
      <x:c r="AF188" s="12" t="str">
        <x:v>good</x:v>
      </x:c>
      <x:c r="AG188" s="12" t="n">
        <x:v>1</x:v>
      </x:c>
      <x:c r="AH188" s="12" t="str">
        <x:v>good</x:v>
      </x:c>
      <x:c r="AI188" s="12" t="str">
        <x:v>good</x:v>
      </x:c>
      <x:c r="AJ188" s="12" t="str">
        <x:v>good</x:v>
      </x:c>
      <x:c r="AK188" s="12" t="str">
        <x:v>good</x:v>
      </x:c>
      <x:c r="AL188" s="12" t="str">
        <x:v>none</x:v>
      </x:c>
      <x:c r="AM188" s="14" t="str">
        <x:v>Clear and well-aligned facial landmarks with no major pose, crop, or occlusion issue.</x:v>
      </x:c>
    </x:row>
    <x:row r="189" ht="30" customHeight="1">
      <x:c r="A189" s="12" t="str">
        <x:v>happy_038</x:v>
      </x:c>
      <x:c r="B189" s="12" t="str">
        <x:v>happy</x:v>
      </x:c>
      <x:c r="C189" s="14" t="str">
        <x:v>happy/Training_34141219.jpg</x:v>
      </x:c>
      <x:c r="D189" s="12" t="str">
        <x:v>e7bce4240c68b7954439c1dd0f57fdd1043c48729f95a16ddb8b6e65d1f2f388</x:v>
      </x:c>
      <x:c r="E189" s="12" t="str">
        <x:v>e7bce4240c68b7954439c1dd0f57fdd1043c48729f95a16ddb8b6e65d1f2f388</x:v>
      </x:c>
      <x:c r="F189" s="12" t="str">
        <x:v>True</x:v>
      </x:c>
      <x:c r="G189" s="12" t="str">
        <x:v>48</x:v>
      </x:c>
      <x:c r="H189" s="12" t="str">
        <x:v>48</x:v>
      </x:c>
      <x:c r="I189" s="12" t="str">
        <x:v>0.0</x:v>
      </x:c>
      <x:c r="J189" s="12" t="str">
        <x:v>0.0</x:v>
      </x:c>
      <x:c r="K189" s="12" t="str">
        <x:v>47.0</x:v>
      </x:c>
      <x:c r="L189" s="12" t="str">
        <x:v>47.0</x:v>
      </x:c>
      <x:c r="M189" s="12" t="str">
        <x:v>True</x:v>
      </x:c>
      <x:c r="N189" s="12" t="str">
        <x:v>106</x:v>
      </x:c>
      <x:c r="O189" s="12" t="str">
        <x:v>106</x:v>
      </x:c>
      <x:c r="P189" s="16" t="str">
        <x:v>1.0</x:v>
      </x:c>
      <x:c r="Q189" s="12" t="str">
        <x:v>106</x:v>
      </x:c>
      <x:c r="R189" s="16" t="str">
        <x:v>1.0</x:v>
      </x:c>
      <x:c r="S189" s="12" t="str">
        <x:v>0.2</x:v>
      </x:c>
      <x:c r="T189" s="12" t="str">
        <x:v>106</x:v>
      </x:c>
      <x:c r="U189" s="16" t="str">
        <x:v>1.0</x:v>
      </x:c>
      <x:c r="V189" s="18" t="str">
        <x:v>0.5295412540435791</x:v>
      </x:c>
      <x:c r="W189" s="18" t="str">
        <x:v>0.5875278115272522</x:v>
      </x:c>
      <x:c r="X189" s="18" t="str">
        <x:v>0.7070190906524658</x:v>
      </x:c>
      <x:c r="Y189" s="18" t="str">
        <x:v>0.6994664669036865</x:v>
      </x:c>
      <x:c r="Z189" s="18" t="str">
        <x:v>0.8389117121696472</x:v>
      </x:c>
      <x:c r="AA189" s="18" t="str">
        <x:v>0.9592742919921875</x:v>
      </x:c>
      <x:c r="AB189" s="20" t="str">
        <x:v>102.01500000039232</x:v>
      </x:c>
      <x:c r="AC189" s="12" t="str">
        <x:v>overlays\happy_038.png</x:v>
      </x:c>
      <x:c r="AD189" s="12" t="str"/>
      <x:c r="AE189" s="12" t="str"/>
      <x:c r="AF189" s="12" t="str">
        <x:v>good</x:v>
      </x:c>
      <x:c r="AG189" s="12" t="n">
        <x:v>1</x:v>
      </x:c>
      <x:c r="AH189" s="12" t="str">
        <x:v>good</x:v>
      </x:c>
      <x:c r="AI189" s="12" t="str">
        <x:v>good</x:v>
      </x:c>
      <x:c r="AJ189" s="12" t="str">
        <x:v>good</x:v>
      </x:c>
      <x:c r="AK189" s="12" t="str">
        <x:v>good</x:v>
      </x:c>
      <x:c r="AL189" s="12" t="str">
        <x:v>none</x:v>
      </x:c>
      <x:c r="AM189" s="14" t="str">
        <x:v>Clear and well-aligned facial landmarks with no major pose, crop, or occlusion issue.</x:v>
      </x:c>
    </x:row>
    <x:row r="190" ht="30" customHeight="1">
      <x:c r="A190" s="12" t="str">
        <x:v>happy_039</x:v>
      </x:c>
      <x:c r="B190" s="12" t="str">
        <x:v>happy</x:v>
      </x:c>
      <x:c r="C190" s="14" t="str">
        <x:v>happy/Training_15821022.jpg</x:v>
      </x:c>
      <x:c r="D190" s="12" t="str">
        <x:v>a97bd6d60a152d83f28fb412aba99bb00eb816177fee9649f239d3d0a5a6532a</x:v>
      </x:c>
      <x:c r="E190" s="12" t="str">
        <x:v>a97bd6d60a152d83f28fb412aba99bb00eb816177fee9649f239d3d0a5a6532a</x:v>
      </x:c>
      <x:c r="F190" s="12" t="str">
        <x:v>True</x:v>
      </x:c>
      <x:c r="G190" s="12" t="str">
        <x:v>48</x:v>
      </x:c>
      <x:c r="H190" s="12" t="str">
        <x:v>48</x:v>
      </x:c>
      <x:c r="I190" s="12" t="str">
        <x:v>0.0</x:v>
      </x:c>
      <x:c r="J190" s="12" t="str">
        <x:v>0.0</x:v>
      </x:c>
      <x:c r="K190" s="12" t="str">
        <x:v>47.0</x:v>
      </x:c>
      <x:c r="L190" s="12" t="str">
        <x:v>47.0</x:v>
      </x:c>
      <x:c r="M190" s="12" t="str">
        <x:v>True</x:v>
      </x:c>
      <x:c r="N190" s="12" t="str">
        <x:v>106</x:v>
      </x:c>
      <x:c r="O190" s="12" t="str">
        <x:v>106</x:v>
      </x:c>
      <x:c r="P190" s="16" t="str">
        <x:v>1.0</x:v>
      </x:c>
      <x:c r="Q190" s="12" t="str">
        <x:v>94</x:v>
      </x:c>
      <x:c r="R190" s="16" t="str">
        <x:v>0.8867924528301887</x:v>
      </x:c>
      <x:c r="S190" s="12" t="str">
        <x:v>0.2</x:v>
      </x:c>
      <x:c r="T190" s="12" t="str">
        <x:v>106</x:v>
      </x:c>
      <x:c r="U190" s="16" t="str">
        <x:v>1.0</x:v>
      </x:c>
      <x:c r="V190" s="18" t="str">
        <x:v>0.4300285577774048</x:v>
      </x:c>
      <x:c r="W190" s="18" t="str">
        <x:v>0.5137356221675873</x:v>
      </x:c>
      <x:c r="X190" s="18" t="str">
        <x:v>0.6970552206039429</x:v>
      </x:c>
      <x:c r="Y190" s="18" t="str">
        <x:v>0.6793743371963501</x:v>
      </x:c>
      <x:c r="Z190" s="18" t="str">
        <x:v>0.8977043032646179</x:v>
      </x:c>
      <x:c r="AA190" s="18" t="str">
        <x:v>0.9652589559555054</x:v>
      </x:c>
      <x:c r="AB190" s="20" t="str">
        <x:v>102.3021000000881</x:v>
      </x:c>
      <x:c r="AC190" s="12" t="str">
        <x:v>overlays\happy_039.png</x:v>
      </x:c>
      <x:c r="AD190" s="12" t="str"/>
      <x:c r="AE190" s="12" t="str"/>
      <x:c r="AF190" s="12" t="str">
        <x:v>good</x:v>
      </x:c>
      <x:c r="AG190" s="12" t="n">
        <x:v>1</x:v>
      </x:c>
      <x:c r="AH190" s="12" t="str">
        <x:v>good</x:v>
      </x:c>
      <x:c r="AI190" s="12" t="str">
        <x:v>good</x:v>
      </x:c>
      <x:c r="AJ190" s="12" t="str">
        <x:v>good</x:v>
      </x:c>
      <x:c r="AK190" s="12" t="str">
        <x:v>good</x:v>
      </x:c>
      <x:c r="AL190" s="12" t="str">
        <x:v>none</x:v>
      </x:c>
      <x:c r="AM190" s="14" t="str">
        <x:v>Clear and well-aligned facial landmarks with no major pose, crop, or occlusion issue.</x:v>
      </x:c>
    </x:row>
    <x:row r="191" ht="30" customHeight="1">
      <x:c r="A191" s="12" t="str">
        <x:v>happy_040</x:v>
      </x:c>
      <x:c r="B191" s="12" t="str">
        <x:v>happy</x:v>
      </x:c>
      <x:c r="C191" s="14" t="str">
        <x:v>happy/Training_34301439.jpg</x:v>
      </x:c>
      <x:c r="D191" s="12" t="str">
        <x:v>eda54c6ca2a7b082a8a01ef1a22280add8d73f39777a13358adf1270d2706e23</x:v>
      </x:c>
      <x:c r="E191" s="12" t="str">
        <x:v>eda54c6ca2a7b082a8a01ef1a22280add8d73f39777a13358adf1270d2706e23</x:v>
      </x:c>
      <x:c r="F191" s="12" t="str">
        <x:v>True</x:v>
      </x:c>
      <x:c r="G191" s="12" t="str">
        <x:v>48</x:v>
      </x:c>
      <x:c r="H191" s="12" t="str">
        <x:v>48</x:v>
      </x:c>
      <x:c r="I191" s="12" t="str">
        <x:v>0.0</x:v>
      </x:c>
      <x:c r="J191" s="12" t="str">
        <x:v>0.0</x:v>
      </x:c>
      <x:c r="K191" s="12" t="str">
        <x:v>47.0</x:v>
      </x:c>
      <x:c r="L191" s="12" t="str">
        <x:v>47.0</x:v>
      </x:c>
      <x:c r="M191" s="12" t="str">
        <x:v>True</x:v>
      </x:c>
      <x:c r="N191" s="12" t="str">
        <x:v>106</x:v>
      </x:c>
      <x:c r="O191" s="12" t="str">
        <x:v>106</x:v>
      </x:c>
      <x:c r="P191" s="16" t="str">
        <x:v>1.0</x:v>
      </x:c>
      <x:c r="Q191" s="12" t="str">
        <x:v>106</x:v>
      </x:c>
      <x:c r="R191" s="16" t="str">
        <x:v>1.0</x:v>
      </x:c>
      <x:c r="S191" s="12" t="str">
        <x:v>0.2</x:v>
      </x:c>
      <x:c r="T191" s="12" t="str">
        <x:v>106</x:v>
      </x:c>
      <x:c r="U191" s="16" t="str">
        <x:v>1.0</x:v>
      </x:c>
      <x:c r="V191" s="18" t="str">
        <x:v>0.44844043254852295</x:v>
      </x:c>
      <x:c r="W191" s="18" t="str">
        <x:v>0.5555329620838165</x:v>
      </x:c>
      <x:c r="X191" s="18" t="str">
        <x:v>0.6804451942443848</x:v>
      </x:c>
      <x:c r="Y191" s="18" t="str">
        <x:v>0.6740509271621704</x:v>
      </x:c>
      <x:c r="Z191" s="18" t="str">
        <x:v>0.8100715279579163</x:v>
      </x:c>
      <x:c r="AA191" s="18" t="str">
        <x:v>0.8767381906509399</x:v>
      </x:c>
      <x:c r="AB191" s="20" t="str">
        <x:v>104.4765999977244</x:v>
      </x:c>
      <x:c r="AC191" s="12" t="str">
        <x:v>overlays\happy_040.png</x:v>
      </x:c>
      <x:c r="AD191" s="12" t="str"/>
      <x:c r="AE191" s="12" t="str"/>
      <x:c r="AF191" s="12" t="str">
        <x:v>good</x:v>
      </x:c>
      <x:c r="AG191" s="12" t="n">
        <x:v>1</x:v>
      </x:c>
      <x:c r="AH191" s="12" t="str">
        <x:v>good</x:v>
      </x:c>
      <x:c r="AI191" s="12" t="str">
        <x:v>good</x:v>
      </x:c>
      <x:c r="AJ191" s="12" t="str">
        <x:v>good</x:v>
      </x:c>
      <x:c r="AK191" s="12" t="str">
        <x:v>good</x:v>
      </x:c>
      <x:c r="AL191" s="12" t="str">
        <x:v>none</x:v>
      </x:c>
      <x:c r="AM191" s="14" t="str">
        <x:v>Clear and well-aligned facial landmarks with no major pose, crop, or occlusion issue.</x:v>
      </x:c>
    </x:row>
    <x:row r="192" ht="30" customHeight="1">
      <x:c r="A192" s="12" t="str">
        <x:v>happy_041</x:v>
      </x:c>
      <x:c r="B192" s="12" t="str">
        <x:v>happy</x:v>
      </x:c>
      <x:c r="C192" s="14" t="str">
        <x:v>happy/Training_99702971.jpg</x:v>
      </x:c>
      <x:c r="D192" s="12" t="str">
        <x:v>e2ab1c2feead6fdd4a3f39cf141fe132e74f35075f42b607d2382c837a010380</x:v>
      </x:c>
      <x:c r="E192" s="12" t="str">
        <x:v>e2ab1c2feead6fdd4a3f39cf141fe132e74f35075f42b607d2382c837a010380</x:v>
      </x:c>
      <x:c r="F192" s="12" t="str">
        <x:v>True</x:v>
      </x:c>
      <x:c r="G192" s="12" t="str">
        <x:v>48</x:v>
      </x:c>
      <x:c r="H192" s="12" t="str">
        <x:v>48</x:v>
      </x:c>
      <x:c r="I192" s="12" t="str">
        <x:v>0.0</x:v>
      </x:c>
      <x:c r="J192" s="12" t="str">
        <x:v>0.0</x:v>
      </x:c>
      <x:c r="K192" s="12" t="str">
        <x:v>47.0</x:v>
      </x:c>
      <x:c r="L192" s="12" t="str">
        <x:v>47.0</x:v>
      </x:c>
      <x:c r="M192" s="12" t="str">
        <x:v>True</x:v>
      </x:c>
      <x:c r="N192" s="12" t="str">
        <x:v>106</x:v>
      </x:c>
      <x:c r="O192" s="12" t="str">
        <x:v>106</x:v>
      </x:c>
      <x:c r="P192" s="16" t="str">
        <x:v>1.0</x:v>
      </x:c>
      <x:c r="Q192" s="12" t="str">
        <x:v>106</x:v>
      </x:c>
      <x:c r="R192" s="16" t="str">
        <x:v>1.0</x:v>
      </x:c>
      <x:c r="S192" s="12" t="str">
        <x:v>0.2</x:v>
      </x:c>
      <x:c r="T192" s="12" t="str">
        <x:v>106</x:v>
      </x:c>
      <x:c r="U192" s="16" t="str">
        <x:v>1.0</x:v>
      </x:c>
      <x:c r="V192" s="18" t="str">
        <x:v>0.590665340423584</x:v>
      </x:c>
      <x:c r="W192" s="18" t="str">
        <x:v>0.6551119387149811</x:v>
      </x:c>
      <x:c r="X192" s="18" t="str">
        <x:v>0.8027971982955933</x:v>
      </x:c>
      <x:c r="Y192" s="18" t="str">
        <x:v>0.7841285467147827</x:v>
      </x:c>
      <x:c r="Z192" s="18" t="str">
        <x:v>0.9621607065200806</x:v>
      </x:c>
      <x:c r="AA192" s="18" t="str">
        <x:v>1.0265806913375854</x:v>
      </x:c>
      <x:c r="AB192" s="20" t="str">
        <x:v>127.5327000003017</x:v>
      </x:c>
      <x:c r="AC192" s="12" t="str">
        <x:v>overlays\happy_041.png</x:v>
      </x:c>
      <x:c r="AD192" s="12" t="str"/>
      <x:c r="AE192" s="12" t="str"/>
      <x:c r="AF192" s="12" t="str">
        <x:v>acceptable</x:v>
      </x:c>
      <x:c r="AG192" s="12" t="n">
        <x:v>1</x:v>
      </x:c>
      <x:c r="AH192" s="12" t="str">
        <x:v>acceptable</x:v>
      </x:c>
      <x:c r="AI192" s="12" t="str">
        <x:v>acceptable</x:v>
      </x:c>
      <x:c r="AJ192" s="12" t="str">
        <x:v>acceptable</x:v>
      </x:c>
      <x:c r="AK192" s="12" t="str">
        <x:v>acceptable</x:v>
      </x:c>
      <x:c r="AL192" s="12" t="str">
        <x:v>mild</x:v>
      </x:c>
      <x:c r="AM192" s="14" t="str">
        <x:v>Large pose or profile; visible landmarks are useful, while hidden-side contour points are inferred.</x:v>
      </x:c>
    </x:row>
    <x:row r="193" ht="30" customHeight="1">
      <x:c r="A193" s="12" t="str">
        <x:v>happy_042</x:v>
      </x:c>
      <x:c r="B193" s="12" t="str">
        <x:v>happy</x:v>
      </x:c>
      <x:c r="C193" s="14" t="str">
        <x:v>happy/Training_68121684.jpg</x:v>
      </x:c>
      <x:c r="D193" s="12" t="str">
        <x:v>5a91d943f8f0ec0b7e09b3afe9012a1d137d515c0920a4f6cb508074ea516797</x:v>
      </x:c>
      <x:c r="E193" s="12" t="str">
        <x:v>5a91d943f8f0ec0b7e09b3afe9012a1d137d515c0920a4f6cb508074ea516797</x:v>
      </x:c>
      <x:c r="F193" s="12" t="str">
        <x:v>True</x:v>
      </x:c>
      <x:c r="G193" s="12" t="str">
        <x:v>48</x:v>
      </x:c>
      <x:c r="H193" s="12" t="str">
        <x:v>48</x:v>
      </x:c>
      <x:c r="I193" s="12" t="str">
        <x:v>0.0</x:v>
      </x:c>
      <x:c r="J193" s="12" t="str">
        <x:v>0.0</x:v>
      </x:c>
      <x:c r="K193" s="12" t="str">
        <x:v>47.0</x:v>
      </x:c>
      <x:c r="L193" s="12" t="str">
        <x:v>47.0</x:v>
      </x:c>
      <x:c r="M193" s="12" t="str">
        <x:v>True</x:v>
      </x:c>
      <x:c r="N193" s="12" t="str">
        <x:v>106</x:v>
      </x:c>
      <x:c r="O193" s="12" t="str">
        <x:v>106</x:v>
      </x:c>
      <x:c r="P193" s="16" t="str">
        <x:v>1.0</x:v>
      </x:c>
      <x:c r="Q193" s="12" t="str">
        <x:v>106</x:v>
      </x:c>
      <x:c r="R193" s="16" t="str">
        <x:v>1.0</x:v>
      </x:c>
      <x:c r="S193" s="12" t="str">
        <x:v>0.2</x:v>
      </x:c>
      <x:c r="T193" s="12" t="str">
        <x:v>106</x:v>
      </x:c>
      <x:c r="U193" s="16" t="str">
        <x:v>1.0</x:v>
      </x:c>
      <x:c r="V193" s="18" t="str">
        <x:v>0.46263283491134644</x:v>
      </x:c>
      <x:c r="W193" s="18" t="str">
        <x:v>0.6252073049545288</x:v>
      </x:c>
      <x:c r="X193" s="18" t="str">
        <x:v>0.7869610786437988</x:v>
      </x:c>
      <x:c r="Y193" s="18" t="str">
        <x:v>0.7801979184150696</x:v>
      </x:c>
      <x:c r="Z193" s="18" t="str">
        <x:v>0.9490866661071777</x:v>
      </x:c>
      <x:c r="AA193" s="18" t="str">
        <x:v>1.0227223634719849</x:v>
      </x:c>
      <x:c r="AB193" s="20" t="str">
        <x:v>108.74129999865545</x:v>
      </x:c>
      <x:c r="AC193" s="12" t="str">
        <x:v>overlays\happy_042.png</x:v>
      </x:c>
      <x:c r="AD193" s="12" t="str"/>
      <x:c r="AE193" s="12" t="str"/>
      <x:c r="AF193" s="12" t="str">
        <x:v>good</x:v>
      </x:c>
      <x:c r="AG193" s="12" t="n">
        <x:v>1</x:v>
      </x:c>
      <x:c r="AH193" s="12" t="str">
        <x:v>good</x:v>
      </x:c>
      <x:c r="AI193" s="12" t="str">
        <x:v>good</x:v>
      </x:c>
      <x:c r="AJ193" s="12" t="str">
        <x:v>good</x:v>
      </x:c>
      <x:c r="AK193" s="12" t="str">
        <x:v>good</x:v>
      </x:c>
      <x:c r="AL193" s="12" t="str">
        <x:v>none</x:v>
      </x:c>
      <x:c r="AM193" s="14" t="str">
        <x:v>Clear and well-aligned facial landmarks with no major pose, crop, or occlusion issue.</x:v>
      </x:c>
    </x:row>
    <x:row r="194" ht="30" customHeight="1">
      <x:c r="A194" s="12" t="str">
        <x:v>happy_043</x:v>
      </x:c>
      <x:c r="B194" s="12" t="str">
        <x:v>happy</x:v>
      </x:c>
      <x:c r="C194" s="14" t="str">
        <x:v>happy/Training_17794787.jpg</x:v>
      </x:c>
      <x:c r="D194" s="12" t="str">
        <x:v>10752ca7fd875c64b2f119e5c12abf1944c6295ac39e85f79e0acf6a7939c3f2</x:v>
      </x:c>
      <x:c r="E194" s="12" t="str">
        <x:v>10752ca7fd875c64b2f119e5c12abf1944c6295ac39e85f79e0acf6a7939c3f2</x:v>
      </x:c>
      <x:c r="F194" s="12" t="str">
        <x:v>True</x:v>
      </x:c>
      <x:c r="G194" s="12" t="str">
        <x:v>48</x:v>
      </x:c>
      <x:c r="H194" s="12" t="str">
        <x:v>48</x:v>
      </x:c>
      <x:c r="I194" s="12" t="str">
        <x:v>0.0</x:v>
      </x:c>
      <x:c r="J194" s="12" t="str">
        <x:v>0.0</x:v>
      </x:c>
      <x:c r="K194" s="12" t="str">
        <x:v>47.0</x:v>
      </x:c>
      <x:c r="L194" s="12" t="str">
        <x:v>47.0</x:v>
      </x:c>
      <x:c r="M194" s="12" t="str">
        <x:v>True</x:v>
      </x:c>
      <x:c r="N194" s="12" t="str">
        <x:v>106</x:v>
      </x:c>
      <x:c r="O194" s="12" t="str">
        <x:v>106</x:v>
      </x:c>
      <x:c r="P194" s="16" t="str">
        <x:v>1.0</x:v>
      </x:c>
      <x:c r="Q194" s="12" t="str">
        <x:v>106</x:v>
      </x:c>
      <x:c r="R194" s="16" t="str">
        <x:v>1.0</x:v>
      </x:c>
      <x:c r="S194" s="12" t="str">
        <x:v>0.2</x:v>
      </x:c>
      <x:c r="T194" s="12" t="str">
        <x:v>106</x:v>
      </x:c>
      <x:c r="U194" s="16" t="str">
        <x:v>1.0</x:v>
      </x:c>
      <x:c r="V194" s="18" t="str">
        <x:v>0.6908388137817383</x:v>
      </x:c>
      <x:c r="W194" s="18" t="str">
        <x:v>0.7875768542289734</x:v>
      </x:c>
      <x:c r="X194" s="18" t="str">
        <x:v>0.8803734183311462</x:v>
      </x:c>
      <x:c r="Y194" s="18" t="str">
        <x:v>0.8909796476364136</x:v>
      </x:c>
      <x:c r="Z194" s="18" t="str">
        <x:v>0.973054438829422</x:v>
      </x:c>
      <x:c r="AA194" s="18" t="str">
        <x:v>1.0455527305603027</x:v>
      </x:c>
      <x:c r="AB194" s="20" t="str">
        <x:v>105.09649999949033</x:v>
      </x:c>
      <x:c r="AC194" s="12" t="str">
        <x:v>overlays\happy_043.png</x:v>
      </x:c>
      <x:c r="AD194" s="12" t="str"/>
      <x:c r="AE194" s="12" t="str"/>
      <x:c r="AF194" s="12" t="str">
        <x:v>acceptable</x:v>
      </x:c>
      <x:c r="AG194" s="12" t="n">
        <x:v>1</x:v>
      </x:c>
      <x:c r="AH194" s="12" t="str">
        <x:v>acceptable</x:v>
      </x:c>
      <x:c r="AI194" s="12" t="str">
        <x:v>acceptable</x:v>
      </x:c>
      <x:c r="AJ194" s="12" t="str">
        <x:v>acceptable</x:v>
      </x:c>
      <x:c r="AK194" s="12" t="str">
        <x:v>not_applicable</x:v>
      </x:c>
      <x:c r="AL194" s="12" t="str">
        <x:v>mild</x:v>
      </x:c>
      <x:c r="AM194" s="14" t="str">
        <x:v>Moderate pose, crop, or image degradation causes minor landmark uncertainty; the result remains usable.</x:v>
      </x:c>
    </x:row>
    <x:row r="195" ht="30" customHeight="1">
      <x:c r="A195" s="12" t="str">
        <x:v>happy_044</x:v>
      </x:c>
      <x:c r="B195" s="12" t="str">
        <x:v>happy</x:v>
      </x:c>
      <x:c r="C195" s="14" t="str">
        <x:v>happy/Training_18419185.jpg</x:v>
      </x:c>
      <x:c r="D195" s="12" t="str">
        <x:v>5ae23b7002cdce5a4e51b431c5655e25f2c97ca335790474cd1ccc8576287d1a</x:v>
      </x:c>
      <x:c r="E195" s="12" t="str">
        <x:v>5ae23b7002cdce5a4e51b431c5655e25f2c97ca335790474cd1ccc8576287d1a</x:v>
      </x:c>
      <x:c r="F195" s="12" t="str">
        <x:v>True</x:v>
      </x:c>
      <x:c r="G195" s="12" t="str">
        <x:v>48</x:v>
      </x:c>
      <x:c r="H195" s="12" t="str">
        <x:v>48</x:v>
      </x:c>
      <x:c r="I195" s="12" t="str">
        <x:v>0.0</x:v>
      </x:c>
      <x:c r="J195" s="12" t="str">
        <x:v>0.0</x:v>
      </x:c>
      <x:c r="K195" s="12" t="str">
        <x:v>47.0</x:v>
      </x:c>
      <x:c r="L195" s="12" t="str">
        <x:v>47.0</x:v>
      </x:c>
      <x:c r="M195" s="12" t="str">
        <x:v>True</x:v>
      </x:c>
      <x:c r="N195" s="12" t="str">
        <x:v>106</x:v>
      </x:c>
      <x:c r="O195" s="12" t="str">
        <x:v>106</x:v>
      </x:c>
      <x:c r="P195" s="16" t="str">
        <x:v>1.0</x:v>
      </x:c>
      <x:c r="Q195" s="12" t="str">
        <x:v>100</x:v>
      </x:c>
      <x:c r="R195" s="16" t="str">
        <x:v>0.9433962264150944</x:v>
      </x:c>
      <x:c r="S195" s="12" t="str">
        <x:v>0.2</x:v>
      </x:c>
      <x:c r="T195" s="12" t="str">
        <x:v>106</x:v>
      </x:c>
      <x:c r="U195" s="16" t="str">
        <x:v>1.0</x:v>
      </x:c>
      <x:c r="V195" s="18" t="str">
        <x:v>0.3427071273326874</x:v>
      </x:c>
      <x:c r="W195" s="18" t="str">
        <x:v>0.46567583084106445</x:v>
      </x:c>
      <x:c r="X195" s="18" t="str">
        <x:v>0.663689911365509</x:v>
      </x:c>
      <x:c r="Y195" s="18" t="str">
        <x:v>0.6502702832221985</x:v>
      </x:c>
      <x:c r="Z195" s="18" t="str">
        <x:v>0.9059975147247314</x:v>
      </x:c>
      <x:c r="AA195" s="18" t="str">
        <x:v>1.0241124629974365</x:v>
      </x:c>
      <x:c r="AB195" s="20" t="str">
        <x:v>106.58419999890612</x:v>
      </x:c>
      <x:c r="AC195" s="12" t="str">
        <x:v>overlays\happy_044.png</x:v>
      </x:c>
      <x:c r="AD195" s="12" t="str"/>
      <x:c r="AE195" s="12" t="str"/>
      <x:c r="AF195" s="12" t="str">
        <x:v>good</x:v>
      </x:c>
      <x:c r="AG195" s="12" t="n">
        <x:v>1</x:v>
      </x:c>
      <x:c r="AH195" s="12" t="str">
        <x:v>good</x:v>
      </x:c>
      <x:c r="AI195" s="12" t="str">
        <x:v>good</x:v>
      </x:c>
      <x:c r="AJ195" s="12" t="str">
        <x:v>good</x:v>
      </x:c>
      <x:c r="AK195" s="12" t="str">
        <x:v>good</x:v>
      </x:c>
      <x:c r="AL195" s="12" t="str">
        <x:v>none</x:v>
      </x:c>
      <x:c r="AM195" s="14" t="str">
        <x:v>Clear and well-aligned facial landmarks with no major pose, crop, or occlusion issue.</x:v>
      </x:c>
    </x:row>
    <x:row r="196" ht="30" customHeight="1">
      <x:c r="A196" s="12" t="str">
        <x:v>happy_045</x:v>
      </x:c>
      <x:c r="B196" s="12" t="str">
        <x:v>happy</x:v>
      </x:c>
      <x:c r="C196" s="14" t="str">
        <x:v>happy/Training_84985243.jpg</x:v>
      </x:c>
      <x:c r="D196" s="12" t="str">
        <x:v>b5240967319f60db953596e13c9ab6036902436fc6c5f89c923940cf686d9022</x:v>
      </x:c>
      <x:c r="E196" s="12" t="str">
        <x:v>b5240967319f60db953596e13c9ab6036902436fc6c5f89c923940cf686d9022</x:v>
      </x:c>
      <x:c r="F196" s="12" t="str">
        <x:v>True</x:v>
      </x:c>
      <x:c r="G196" s="12" t="str">
        <x:v>48</x:v>
      </x:c>
      <x:c r="H196" s="12" t="str">
        <x:v>48</x:v>
      </x:c>
      <x:c r="I196" s="12" t="str">
        <x:v>0.0</x:v>
      </x:c>
      <x:c r="J196" s="12" t="str">
        <x:v>0.0</x:v>
      </x:c>
      <x:c r="K196" s="12" t="str">
        <x:v>47.0</x:v>
      </x:c>
      <x:c r="L196" s="12" t="str">
        <x:v>47.0</x:v>
      </x:c>
      <x:c r="M196" s="12" t="str">
        <x:v>True</x:v>
      </x:c>
      <x:c r="N196" s="12" t="str">
        <x:v>106</x:v>
      </x:c>
      <x:c r="O196" s="12" t="str">
        <x:v>106</x:v>
      </x:c>
      <x:c r="P196" s="16" t="str">
        <x:v>1.0</x:v>
      </x:c>
      <x:c r="Q196" s="12" t="str">
        <x:v>98</x:v>
      </x:c>
      <x:c r="R196" s="16" t="str">
        <x:v>0.9245283018867925</x:v>
      </x:c>
      <x:c r="S196" s="12" t="str">
        <x:v>0.2</x:v>
      </x:c>
      <x:c r="T196" s="12" t="str">
        <x:v>106</x:v>
      </x:c>
      <x:c r="U196" s="16" t="str">
        <x:v>1.0</x:v>
      </x:c>
      <x:c r="V196" s="18" t="str">
        <x:v>0.4488467574119568</x:v>
      </x:c>
      <x:c r="W196" s="18" t="str">
        <x:v>0.5464711487293243</x:v>
      </x:c>
      <x:c r="X196" s="18" t="str">
        <x:v>0.6913006901741028</x:v>
      </x:c>
      <x:c r="Y196" s="18" t="str">
        <x:v>0.6661958694458008</x:v>
      </x:c>
      <x:c r="Z196" s="18" t="str">
        <x:v>0.8762162029743195</x:v>
      </x:c>
      <x:c r="AA196" s="18" t="str">
        <x:v>0.919235110282898</x:v>
      </x:c>
      <x:c r="AB196" s="20" t="str">
        <x:v>107.90760000236332</x:v>
      </x:c>
      <x:c r="AC196" s="12" t="str">
        <x:v>overlays\happy_045.png</x:v>
      </x:c>
      <x:c r="AD196" s="12" t="str"/>
      <x:c r="AE196" s="12" t="str"/>
      <x:c r="AF196" s="12" t="str">
        <x:v>good</x:v>
      </x:c>
      <x:c r="AG196" s="12" t="n">
        <x:v>1</x:v>
      </x:c>
      <x:c r="AH196" s="12" t="str">
        <x:v>good</x:v>
      </x:c>
      <x:c r="AI196" s="12" t="str">
        <x:v>good</x:v>
      </x:c>
      <x:c r="AJ196" s="12" t="str">
        <x:v>good</x:v>
      </x:c>
      <x:c r="AK196" s="12" t="str">
        <x:v>not_applicable</x:v>
      </x:c>
      <x:c r="AL196" s="12" t="str">
        <x:v>none</x:v>
      </x:c>
      <x:c r="AM196" s="14" t="str">
        <x:v>Clear and well-aligned facial landmarks with no major pose, crop, or occlusion issue.</x:v>
      </x:c>
    </x:row>
    <x:row r="197" ht="30" customHeight="1">
      <x:c r="A197" s="12" t="str">
        <x:v>happy_046</x:v>
      </x:c>
      <x:c r="B197" s="12" t="str">
        <x:v>happy</x:v>
      </x:c>
      <x:c r="C197" s="14" t="str">
        <x:v>happy/Training_6008930.jpg</x:v>
      </x:c>
      <x:c r="D197" s="12" t="str">
        <x:v>02de9b7f04f723231a635b75c3d8295a8fc2d5cc9315f5e8f72379fbc568cc11</x:v>
      </x:c>
      <x:c r="E197" s="12" t="str">
        <x:v>02de9b7f04f723231a635b75c3d8295a8fc2d5cc9315f5e8f72379fbc568cc11</x:v>
      </x:c>
      <x:c r="F197" s="12" t="str">
        <x:v>True</x:v>
      </x:c>
      <x:c r="G197" s="12" t="str">
        <x:v>48</x:v>
      </x:c>
      <x:c r="H197" s="12" t="str">
        <x:v>48</x:v>
      </x:c>
      <x:c r="I197" s="12" t="str">
        <x:v>0.0</x:v>
      </x:c>
      <x:c r="J197" s="12" t="str">
        <x:v>0.0</x:v>
      </x:c>
      <x:c r="K197" s="12" t="str">
        <x:v>47.0</x:v>
      </x:c>
      <x:c r="L197" s="12" t="str">
        <x:v>47.0</x:v>
      </x:c>
      <x:c r="M197" s="12" t="str">
        <x:v>True</x:v>
      </x:c>
      <x:c r="N197" s="12" t="str">
        <x:v>106</x:v>
      </x:c>
      <x:c r="O197" s="12" t="str">
        <x:v>106</x:v>
      </x:c>
      <x:c r="P197" s="16" t="str">
        <x:v>1.0</x:v>
      </x:c>
      <x:c r="Q197" s="12" t="str">
        <x:v>100</x:v>
      </x:c>
      <x:c r="R197" s="16" t="str">
        <x:v>0.9433962264150944</x:v>
      </x:c>
      <x:c r="S197" s="12" t="str">
        <x:v>0.2</x:v>
      </x:c>
      <x:c r="T197" s="12" t="str">
        <x:v>106</x:v>
      </x:c>
      <x:c r="U197" s="16" t="str">
        <x:v>1.0</x:v>
      </x:c>
      <x:c r="V197" s="18" t="str">
        <x:v>0.3554406762123108</x:v>
      </x:c>
      <x:c r="W197" s="18" t="str">
        <x:v>0.46761541068553925</x:v>
      </x:c>
      <x:c r="X197" s="18" t="str">
        <x:v>0.6662701964378357</x:v>
      </x:c>
      <x:c r="Y197" s="18" t="str">
        <x:v>0.6244348883628845</x:v>
      </x:c>
      <x:c r="Z197" s="18" t="str">
        <x:v>0.9270385503768921</x:v>
      </x:c>
      <x:c r="AA197" s="18" t="str">
        <x:v>0.9945053458213806</x:v>
      </x:c>
      <x:c r="AB197" s="20" t="str">
        <x:v>103.04790000009234</x:v>
      </x:c>
      <x:c r="AC197" s="12" t="str">
        <x:v>overlays\happy_046.png</x:v>
      </x:c>
      <x:c r="AD197" s="12" t="str"/>
      <x:c r="AE197" s="12" t="str"/>
      <x:c r="AF197" s="12" t="str">
        <x:v>good</x:v>
      </x:c>
      <x:c r="AG197" s="12" t="n">
        <x:v>1</x:v>
      </x:c>
      <x:c r="AH197" s="12" t="str">
        <x:v>good</x:v>
      </x:c>
      <x:c r="AI197" s="12" t="str">
        <x:v>good</x:v>
      </x:c>
      <x:c r="AJ197" s="12" t="str">
        <x:v>good</x:v>
      </x:c>
      <x:c r="AK197" s="12" t="str">
        <x:v>good</x:v>
      </x:c>
      <x:c r="AL197" s="12" t="str">
        <x:v>none</x:v>
      </x:c>
      <x:c r="AM197" s="14" t="str">
        <x:v>Clear and well-aligned facial landmarks with no major pose, crop, or occlusion issue.</x:v>
      </x:c>
    </x:row>
    <x:row r="198" ht="30" customHeight="1">
      <x:c r="A198" s="12" t="str">
        <x:v>happy_047</x:v>
      </x:c>
      <x:c r="B198" s="12" t="str">
        <x:v>happy</x:v>
      </x:c>
      <x:c r="C198" s="14" t="str">
        <x:v>happy/Training_93085773.jpg</x:v>
      </x:c>
      <x:c r="D198" s="12" t="str">
        <x:v>c61301af96f18b292a3b2eeda90ab152cb88ec5d87c20f4aac9d282fb6b0944f</x:v>
      </x:c>
      <x:c r="E198" s="12" t="str">
        <x:v>c61301af96f18b292a3b2eeda90ab152cb88ec5d87c20f4aac9d282fb6b0944f</x:v>
      </x:c>
      <x:c r="F198" s="12" t="str">
        <x:v>True</x:v>
      </x:c>
      <x:c r="G198" s="12" t="str">
        <x:v>48</x:v>
      </x:c>
      <x:c r="H198" s="12" t="str">
        <x:v>48</x:v>
      </x:c>
      <x:c r="I198" s="12" t="str">
        <x:v>0.0</x:v>
      </x:c>
      <x:c r="J198" s="12" t="str">
        <x:v>0.0</x:v>
      </x:c>
      <x:c r="K198" s="12" t="str">
        <x:v>47.0</x:v>
      </x:c>
      <x:c r="L198" s="12" t="str">
        <x:v>47.0</x:v>
      </x:c>
      <x:c r="M198" s="12" t="str">
        <x:v>True</x:v>
      </x:c>
      <x:c r="N198" s="12" t="str">
        <x:v>106</x:v>
      </x:c>
      <x:c r="O198" s="12" t="str">
        <x:v>106</x:v>
      </x:c>
      <x:c r="P198" s="16" t="str">
        <x:v>1.0</x:v>
      </x:c>
      <x:c r="Q198" s="12" t="str">
        <x:v>96</x:v>
      </x:c>
      <x:c r="R198" s="16" t="str">
        <x:v>0.9056603773584906</x:v>
      </x:c>
      <x:c r="S198" s="12" t="str">
        <x:v>0.2</x:v>
      </x:c>
      <x:c r="T198" s="12" t="str">
        <x:v>106</x:v>
      </x:c>
      <x:c r="U198" s="16" t="str">
        <x:v>1.0</x:v>
      </x:c>
      <x:c r="V198" s="18" t="str">
        <x:v>0.3862728774547577</x:v>
      </x:c>
      <x:c r="W198" s="18" t="str">
        <x:v>0.5214810371398926</x:v>
      </x:c>
      <x:c r="X198" s="18" t="str">
        <x:v>0.6918023228645325</x:v>
      </x:c>
      <x:c r="Y198" s="18" t="str">
        <x:v>0.6742835640907288</x:v>
      </x:c>
      <x:c r="Z198" s="18" t="str">
        <x:v>0.8975664973258972</x:v>
      </x:c>
      <x:c r="AA198" s="18" t="str">
        <x:v>0.9779638051986694</x:v>
      </x:c>
      <x:c r="AB198" s="20" t="str">
        <x:v>100.41780000028666</x:v>
      </x:c>
      <x:c r="AC198" s="12" t="str">
        <x:v>overlays\happy_047.png</x:v>
      </x:c>
      <x:c r="AD198" s="12" t="str"/>
      <x:c r="AE198" s="12" t="str"/>
      <x:c r="AF198" s="12" t="str">
        <x:v>good</x:v>
      </x:c>
      <x:c r="AG198" s="12" t="n">
        <x:v>1</x:v>
      </x:c>
      <x:c r="AH198" s="12" t="str">
        <x:v>good</x:v>
      </x:c>
      <x:c r="AI198" s="12" t="str">
        <x:v>good</x:v>
      </x:c>
      <x:c r="AJ198" s="12" t="str">
        <x:v>good</x:v>
      </x:c>
      <x:c r="AK198" s="12" t="str">
        <x:v>not_applicable</x:v>
      </x:c>
      <x:c r="AL198" s="12" t="str">
        <x:v>none</x:v>
      </x:c>
      <x:c r="AM198" s="14" t="str">
        <x:v>Clear and well-aligned facial landmarks with no major pose, crop, or occlusion issue.</x:v>
      </x:c>
    </x:row>
    <x:row r="199" ht="30" customHeight="1">
      <x:c r="A199" s="12" t="str">
        <x:v>happy_048</x:v>
      </x:c>
      <x:c r="B199" s="12" t="str">
        <x:v>happy</x:v>
      </x:c>
      <x:c r="C199" s="14" t="str">
        <x:v>happy/Training_16866158.jpg</x:v>
      </x:c>
      <x:c r="D199" s="12" t="str">
        <x:v>30824350d66ba65b162bb6d88e83957737c390e9b111f7c312949e578cd950ca</x:v>
      </x:c>
      <x:c r="E199" s="12" t="str">
        <x:v>30824350d66ba65b162bb6d88e83957737c390e9b111f7c312949e578cd950ca</x:v>
      </x:c>
      <x:c r="F199" s="12" t="str">
        <x:v>True</x:v>
      </x:c>
      <x:c r="G199" s="12" t="str">
        <x:v>48</x:v>
      </x:c>
      <x:c r="H199" s="12" t="str">
        <x:v>48</x:v>
      </x:c>
      <x:c r="I199" s="12" t="str">
        <x:v>0.0</x:v>
      </x:c>
      <x:c r="J199" s="12" t="str">
        <x:v>0.0</x:v>
      </x:c>
      <x:c r="K199" s="12" t="str">
        <x:v>47.0</x:v>
      </x:c>
      <x:c r="L199" s="12" t="str">
        <x:v>47.0</x:v>
      </x:c>
      <x:c r="M199" s="12" t="str">
        <x:v>True</x:v>
      </x:c>
      <x:c r="N199" s="12" t="str">
        <x:v>106</x:v>
      </x:c>
      <x:c r="O199" s="12" t="str">
        <x:v>106</x:v>
      </x:c>
      <x:c r="P199" s="16" t="str">
        <x:v>1.0</x:v>
      </x:c>
      <x:c r="Q199" s="12" t="str">
        <x:v>106</x:v>
      </x:c>
      <x:c r="R199" s="16" t="str">
        <x:v>1.0</x:v>
      </x:c>
      <x:c r="S199" s="12" t="str">
        <x:v>0.2</x:v>
      </x:c>
      <x:c r="T199" s="12" t="str">
        <x:v>106</x:v>
      </x:c>
      <x:c r="U199" s="16" t="str">
        <x:v>1.0</x:v>
      </x:c>
      <x:c r="V199" s="18" t="str">
        <x:v>0.4723176658153534</x:v>
      </x:c>
      <x:c r="W199" s="18" t="str">
        <x:v>0.5376766920089722</x:v>
      </x:c>
      <x:c r="X199" s="18" t="str">
        <x:v>0.6668687462806702</x:v>
      </x:c>
      <x:c r="Y199" s="18" t="str">
        <x:v>0.6639063358306885</x:v>
      </x:c>
      <x:c r="Z199" s="18" t="str">
        <x:v>0.811570018529892</x:v>
      </x:c>
      <x:c r="AA199" s="18" t="str">
        <x:v>0.9045543670654297</x:v>
      </x:c>
      <x:c r="AB199" s="20" t="str">
        <x:v>101.87880000012228</x:v>
      </x:c>
      <x:c r="AC199" s="12" t="str">
        <x:v>overlays\happy_048.png</x:v>
      </x:c>
      <x:c r="AD199" s="12" t="str"/>
      <x:c r="AE199" s="12" t="str"/>
      <x:c r="AF199" s="12" t="str">
        <x:v>acceptable</x:v>
      </x:c>
      <x:c r="AG199" s="12" t="n">
        <x:v>1</x:v>
      </x:c>
      <x:c r="AH199" s="12" t="str">
        <x:v>acceptable</x:v>
      </x:c>
      <x:c r="AI199" s="12" t="str">
        <x:v>acceptable</x:v>
      </x:c>
      <x:c r="AJ199" s="12" t="str">
        <x:v>acceptable</x:v>
      </x:c>
      <x:c r="AK199" s="12" t="str">
        <x:v>not_applicable</x:v>
      </x:c>
      <x:c r="AL199" s="12" t="str">
        <x:v>mild</x:v>
      </x:c>
      <x:c r="AM199" s="14" t="str">
        <x:v>Large pose or profile; visible landmarks are useful, while hidden-side contour points are inferred.</x:v>
      </x:c>
    </x:row>
    <x:row r="200" ht="30" customHeight="1">
      <x:c r="A200" s="12" t="str">
        <x:v>happy_049</x:v>
      </x:c>
      <x:c r="B200" s="12" t="str">
        <x:v>happy</x:v>
      </x:c>
      <x:c r="C200" s="14" t="str">
        <x:v>happy/Training_87703745.jpg</x:v>
      </x:c>
      <x:c r="D200" s="12" t="str">
        <x:v>6a8d16c73e316c8da82bb32f16753d3593fda01e92f47bbeaa8d9eeec68a547c</x:v>
      </x:c>
      <x:c r="E200" s="12" t="str">
        <x:v>6a8d16c73e316c8da82bb32f16753d3593fda01e92f47bbeaa8d9eeec68a547c</x:v>
      </x:c>
      <x:c r="F200" s="12" t="str">
        <x:v>True</x:v>
      </x:c>
      <x:c r="G200" s="12" t="str">
        <x:v>48</x:v>
      </x:c>
      <x:c r="H200" s="12" t="str">
        <x:v>48</x:v>
      </x:c>
      <x:c r="I200" s="12" t="str">
        <x:v>0.0</x:v>
      </x:c>
      <x:c r="J200" s="12" t="str">
        <x:v>0.0</x:v>
      </x:c>
      <x:c r="K200" s="12" t="str">
        <x:v>47.0</x:v>
      </x:c>
      <x:c r="L200" s="12" t="str">
        <x:v>47.0</x:v>
      </x:c>
      <x:c r="M200" s="12" t="str">
        <x:v>True</x:v>
      </x:c>
      <x:c r="N200" s="12" t="str">
        <x:v>106</x:v>
      </x:c>
      <x:c r="O200" s="12" t="str">
        <x:v>106</x:v>
      </x:c>
      <x:c r="P200" s="16" t="str">
        <x:v>1.0</x:v>
      </x:c>
      <x:c r="Q200" s="12" t="str">
        <x:v>100</x:v>
      </x:c>
      <x:c r="R200" s="16" t="str">
        <x:v>0.9433962264150944</x:v>
      </x:c>
      <x:c r="S200" s="12" t="str">
        <x:v>0.2</x:v>
      </x:c>
      <x:c r="T200" s="12" t="str">
        <x:v>106</x:v>
      </x:c>
      <x:c r="U200" s="16" t="str">
        <x:v>1.0</x:v>
      </x:c>
      <x:c r="V200" s="18" t="str">
        <x:v>0.3326511085033417</x:v>
      </x:c>
      <x:c r="W200" s="18" t="str">
        <x:v>0.4653027653694153</x:v>
      </x:c>
      <x:c r="X200" s="18" t="str">
        <x:v>0.6690532565116882</x:v>
      </x:c>
      <x:c r="Y200" s="18" t="str">
        <x:v>0.6376663446426392</x:v>
      </x:c>
      <x:c r="Z200" s="18" t="str">
        <x:v>0.9022838473320007</x:v>
      </x:c>
      <x:c r="AA200" s="18" t="str">
        <x:v>0.9846494793891907</x:v>
      </x:c>
      <x:c r="AB200" s="20" t="str">
        <x:v>110.59770000065328</x:v>
      </x:c>
      <x:c r="AC200" s="12" t="str">
        <x:v>overlays\happy_049.png</x:v>
      </x:c>
      <x:c r="AD200" s="12" t="str"/>
      <x:c r="AE200" s="12" t="str"/>
      <x:c r="AF200" s="12" t="str">
        <x:v>good</x:v>
      </x:c>
      <x:c r="AG200" s="12" t="n">
        <x:v>1</x:v>
      </x:c>
      <x:c r="AH200" s="12" t="str">
        <x:v>good</x:v>
      </x:c>
      <x:c r="AI200" s="12" t="str">
        <x:v>good</x:v>
      </x:c>
      <x:c r="AJ200" s="12" t="str">
        <x:v>good</x:v>
      </x:c>
      <x:c r="AK200" s="12" t="str">
        <x:v>not_applicable</x:v>
      </x:c>
      <x:c r="AL200" s="12" t="str">
        <x:v>none</x:v>
      </x:c>
      <x:c r="AM200" s="14" t="str">
        <x:v>Clear and well-aligned facial landmarks with no major pose, crop, or occlusion issue.</x:v>
      </x:c>
    </x:row>
    <x:row r="201" ht="30" customHeight="1">
      <x:c r="A201" s="12" t="str">
        <x:v>happy_050</x:v>
      </x:c>
      <x:c r="B201" s="12" t="str">
        <x:v>happy</x:v>
      </x:c>
      <x:c r="C201" s="14" t="str">
        <x:v>happy/Training_64808943.jpg</x:v>
      </x:c>
      <x:c r="D201" s="12" t="str">
        <x:v>5210695395d3de19853d20efa0e783a474bfb70fc1d13a2b78a01dfec42e08d1</x:v>
      </x:c>
      <x:c r="E201" s="12" t="str">
        <x:v>5210695395d3de19853d20efa0e783a474bfb70fc1d13a2b78a01dfec42e08d1</x:v>
      </x:c>
      <x:c r="F201" s="12" t="str">
        <x:v>True</x:v>
      </x:c>
      <x:c r="G201" s="12" t="str">
        <x:v>48</x:v>
      </x:c>
      <x:c r="H201" s="12" t="str">
        <x:v>48</x:v>
      </x:c>
      <x:c r="I201" s="12" t="str">
        <x:v>0.0</x:v>
      </x:c>
      <x:c r="J201" s="12" t="str">
        <x:v>0.0</x:v>
      </x:c>
      <x:c r="K201" s="12" t="str">
        <x:v>47.0</x:v>
      </x:c>
      <x:c r="L201" s="12" t="str">
        <x:v>47.0</x:v>
      </x:c>
      <x:c r="M201" s="12" t="str">
        <x:v>True</x:v>
      </x:c>
      <x:c r="N201" s="12" t="str">
        <x:v>106</x:v>
      </x:c>
      <x:c r="O201" s="12" t="str">
        <x:v>106</x:v>
      </x:c>
      <x:c r="P201" s="16" t="str">
        <x:v>1.0</x:v>
      </x:c>
      <x:c r="Q201" s="12" t="str">
        <x:v>106</x:v>
      </x:c>
      <x:c r="R201" s="16" t="str">
        <x:v>1.0</x:v>
      </x:c>
      <x:c r="S201" s="12" t="str">
        <x:v>0.2</x:v>
      </x:c>
      <x:c r="T201" s="12" t="str">
        <x:v>106</x:v>
      </x:c>
      <x:c r="U201" s="16" t="str">
        <x:v>1.0</x:v>
      </x:c>
      <x:c r="V201" s="18" t="str">
        <x:v>0.45795512199401855</x:v>
      </x:c>
      <x:c r="W201" s="18" t="str">
        <x:v>0.564467042684555</x:v>
      </x:c>
      <x:c r="X201" s="18" t="str">
        <x:v>0.7358019351959229</x:v>
      </x:c>
      <x:c r="Y201" s="18" t="str">
        <x:v>0.709836483001709</x:v>
      </x:c>
      <x:c r="Z201" s="18" t="str">
        <x:v>0.9384996891021729</x:v>
      </x:c>
      <x:c r="AA201" s="18" t="str">
        <x:v>0.9921518564224243</x:v>
      </x:c>
      <x:c r="AB201" s="20" t="str">
        <x:v>108.55140000057872</x:v>
      </x:c>
      <x:c r="AC201" s="12" t="str">
        <x:v>overlays\happy_050.png</x:v>
      </x:c>
      <x:c r="AD201" s="12" t="str"/>
      <x:c r="AE201" s="12" t="str"/>
      <x:c r="AF201" s="12" t="str">
        <x:v>acceptable</x:v>
      </x:c>
      <x:c r="AG201" s="12" t="n">
        <x:v>1</x:v>
      </x:c>
      <x:c r="AH201" s="12" t="str">
        <x:v>acceptable</x:v>
      </x:c>
      <x:c r="AI201" s="12" t="str">
        <x:v>acceptable</x:v>
      </x:c>
      <x:c r="AJ201" s="12" t="str">
        <x:v>acceptable</x:v>
      </x:c>
      <x:c r="AK201" s="12" t="str">
        <x:v>acceptable</x:v>
      </x:c>
      <x:c r="AL201" s="12" t="str">
        <x:v>mild</x:v>
      </x:c>
      <x:c r="AM201" s="14" t="str">
        <x:v>Large pose or profile; visible landmarks are useful, while hidden-side contour points are inferred.</x:v>
      </x:c>
    </x:row>
    <x:row r="202" ht="30" customHeight="1">
      <x:c r="A202" s="12" t="str">
        <x:v>neutral_001</x:v>
      </x:c>
      <x:c r="B202" s="12" t="str">
        <x:v>neutral</x:v>
      </x:c>
      <x:c r="C202" s="14" t="str">
        <x:v>neutral/Training_27832558.jpg</x:v>
      </x:c>
      <x:c r="D202" s="12" t="str">
        <x:v>a67aea10339a3645ed03b0e35e8c61466f986de6c373d5bf4cb28c5d9920da35</x:v>
      </x:c>
      <x:c r="E202" s="12" t="str">
        <x:v>a67aea10339a3645ed03b0e35e8c61466f986de6c373d5bf4cb28c5d9920da35</x:v>
      </x:c>
      <x:c r="F202" s="12" t="str">
        <x:v>True</x:v>
      </x:c>
      <x:c r="G202" s="12" t="str">
        <x:v>48</x:v>
      </x:c>
      <x:c r="H202" s="12" t="str">
        <x:v>48</x:v>
      </x:c>
      <x:c r="I202" s="12" t="str">
        <x:v>0.0</x:v>
      </x:c>
      <x:c r="J202" s="12" t="str">
        <x:v>0.0</x:v>
      </x:c>
      <x:c r="K202" s="12" t="str">
        <x:v>47.0</x:v>
      </x:c>
      <x:c r="L202" s="12" t="str">
        <x:v>47.0</x:v>
      </x:c>
      <x:c r="M202" s="12" t="str">
        <x:v>True</x:v>
      </x:c>
      <x:c r="N202" s="12" t="str">
        <x:v>106</x:v>
      </x:c>
      <x:c r="O202" s="12" t="str">
        <x:v>106</x:v>
      </x:c>
      <x:c r="P202" s="16" t="str">
        <x:v>1.0</x:v>
      </x:c>
      <x:c r="Q202" s="12" t="str">
        <x:v>106</x:v>
      </x:c>
      <x:c r="R202" s="16" t="str">
        <x:v>1.0</x:v>
      </x:c>
      <x:c r="S202" s="12" t="str">
        <x:v>0.2</x:v>
      </x:c>
      <x:c r="T202" s="12" t="str">
        <x:v>106</x:v>
      </x:c>
      <x:c r="U202" s="16" t="str">
        <x:v>1.0</x:v>
      </x:c>
      <x:c r="V202" s="18" t="str">
        <x:v>0.5451798439025879</x:v>
      </x:c>
      <x:c r="W202" s="18" t="str">
        <x:v>0.6133334338665009</x:v>
      </x:c>
      <x:c r="X202" s="18" t="str">
        <x:v>0.6913760900497437</x:v>
      </x:c>
      <x:c r="Y202" s="18" t="str">
        <x:v>0.6904141306877136</x:v>
      </x:c>
      <x:c r="Z202" s="18" t="str">
        <x:v>0.7702642679214478</x:v>
      </x:c>
      <x:c r="AA202" s="18" t="str">
        <x:v>0.8419662117958069</x:v>
      </x:c>
      <x:c r="AB202" s="20" t="str">
        <x:v>106.1362000000372</x:v>
      </x:c>
      <x:c r="AC202" s="12" t="str">
        <x:v>overlays\neutral_001.png</x:v>
      </x:c>
      <x:c r="AD202" s="12" t="str"/>
      <x:c r="AE202" s="12" t="str"/>
      <x:c r="AF202" s="12" t="str">
        <x:v>acceptable</x:v>
      </x:c>
      <x:c r="AG202" s="12" t="n">
        <x:v>1</x:v>
      </x:c>
      <x:c r="AH202" s="12" t="str">
        <x:v>acceptable</x:v>
      </x:c>
      <x:c r="AI202" s="12" t="str">
        <x:v>acceptable</x:v>
      </x:c>
      <x:c r="AJ202" s="12" t="str">
        <x:v>acceptable</x:v>
      </x:c>
      <x:c r="AK202" s="12" t="str">
        <x:v>not_applicable</x:v>
      </x:c>
      <x:c r="AL202" s="12" t="str">
        <x:v>mild</x:v>
      </x:c>
      <x:c r="AM202" s="14" t="str">
        <x:v>Large pose or profile; visible landmarks are useful, while hidden-side contour points are inferred.</x:v>
      </x:c>
    </x:row>
    <x:row r="203" ht="30" customHeight="1">
      <x:c r="A203" s="12" t="str">
        <x:v>neutral_002</x:v>
      </x:c>
      <x:c r="B203" s="12" t="str">
        <x:v>neutral</x:v>
      </x:c>
      <x:c r="C203" s="14" t="str">
        <x:v>neutral/Training_28120071.jpg</x:v>
      </x:c>
      <x:c r="D203" s="12" t="str">
        <x:v>662e023f0335bc81f308efac8814186800a9633e6bb168daadffc8475866702b</x:v>
      </x:c>
      <x:c r="E203" s="12" t="str">
        <x:v>662e023f0335bc81f308efac8814186800a9633e6bb168daadffc8475866702b</x:v>
      </x:c>
      <x:c r="F203" s="12" t="str">
        <x:v>True</x:v>
      </x:c>
      <x:c r="G203" s="12" t="str">
        <x:v>48</x:v>
      </x:c>
      <x:c r="H203" s="12" t="str">
        <x:v>48</x:v>
      </x:c>
      <x:c r="I203" s="12" t="str">
        <x:v>0.0</x:v>
      </x:c>
      <x:c r="J203" s="12" t="str">
        <x:v>0.0</x:v>
      </x:c>
      <x:c r="K203" s="12" t="str">
        <x:v>47.0</x:v>
      </x:c>
      <x:c r="L203" s="12" t="str">
        <x:v>47.0</x:v>
      </x:c>
      <x:c r="M203" s="12" t="str">
        <x:v>True</x:v>
      </x:c>
      <x:c r="N203" s="12" t="str">
        <x:v>106</x:v>
      </x:c>
      <x:c r="O203" s="12" t="str">
        <x:v>106</x:v>
      </x:c>
      <x:c r="P203" s="16" t="str">
        <x:v>1.0</x:v>
      </x:c>
      <x:c r="Q203" s="12" t="str">
        <x:v>100</x:v>
      </x:c>
      <x:c r="R203" s="16" t="str">
        <x:v>0.9433962264150944</x:v>
      </x:c>
      <x:c r="S203" s="12" t="str">
        <x:v>0.2</x:v>
      </x:c>
      <x:c r="T203" s="12" t="str">
        <x:v>106</x:v>
      </x:c>
      <x:c r="U203" s="16" t="str">
        <x:v>1.0</x:v>
      </x:c>
      <x:c r="V203" s="18" t="str">
        <x:v>0.40508604049682617</x:v>
      </x:c>
      <x:c r="W203" s="18" t="str">
        <x:v>0.47913984954357147</x:v>
      </x:c>
      <x:c r="X203" s="18" t="str">
        <x:v>0.6589930057525635</x:v>
      </x:c>
      <x:c r="Y203" s="18" t="str">
        <x:v>0.6395422220230103</x:v>
      </x:c>
      <x:c r="Z203" s="18" t="str">
        <x:v>0.8753228783607483</x:v>
      </x:c>
      <x:c r="AA203" s="18" t="str">
        <x:v>0.9502322673797607</x:v>
      </x:c>
      <x:c r="AB203" s="20" t="str">
        <x:v>100.79899999982445</x:v>
      </x:c>
      <x:c r="AC203" s="12" t="str">
        <x:v>overlays\neutral_002.png</x:v>
      </x:c>
      <x:c r="AD203" s="12" t="str"/>
      <x:c r="AE203" s="12" t="str"/>
      <x:c r="AF203" s="12" t="str">
        <x:v>good</x:v>
      </x:c>
      <x:c r="AG203" s="12" t="n">
        <x:v>1</x:v>
      </x:c>
      <x:c r="AH203" s="12" t="str">
        <x:v>good</x:v>
      </x:c>
      <x:c r="AI203" s="12" t="str">
        <x:v>good</x:v>
      </x:c>
      <x:c r="AJ203" s="12" t="str">
        <x:v>good</x:v>
      </x:c>
      <x:c r="AK203" s="12" t="str">
        <x:v>not_applicable</x:v>
      </x:c>
      <x:c r="AL203" s="12" t="str">
        <x:v>none</x:v>
      </x:c>
      <x:c r="AM203" s="14" t="str">
        <x:v>Clear and well-aligned facial landmarks with no major pose, crop, or occlusion issue.</x:v>
      </x:c>
    </x:row>
    <x:row r="204" ht="30" customHeight="1">
      <x:c r="A204" s="12" t="str">
        <x:v>neutral_003</x:v>
      </x:c>
      <x:c r="B204" s="12" t="str">
        <x:v>neutral</x:v>
      </x:c>
      <x:c r="C204" s="14" t="str">
        <x:v>neutral/Training_80808476.jpg</x:v>
      </x:c>
      <x:c r="D204" s="12" t="str">
        <x:v>f575338e579458d82e144fbe16a59658970de83c992bf783ff95f82de5981055</x:v>
      </x:c>
      <x:c r="E204" s="12" t="str">
        <x:v>f575338e579458d82e144fbe16a59658970de83c992bf783ff95f82de5981055</x:v>
      </x:c>
      <x:c r="F204" s="12" t="str">
        <x:v>True</x:v>
      </x:c>
      <x:c r="G204" s="12" t="str">
        <x:v>48</x:v>
      </x:c>
      <x:c r="H204" s="12" t="str">
        <x:v>48</x:v>
      </x:c>
      <x:c r="I204" s="12" t="str">
        <x:v>0.0</x:v>
      </x:c>
      <x:c r="J204" s="12" t="str">
        <x:v>0.0</x:v>
      </x:c>
      <x:c r="K204" s="12" t="str">
        <x:v>47.0</x:v>
      </x:c>
      <x:c r="L204" s="12" t="str">
        <x:v>47.0</x:v>
      </x:c>
      <x:c r="M204" s="12" t="str">
        <x:v>True</x:v>
      </x:c>
      <x:c r="N204" s="12" t="str">
        <x:v>106</x:v>
      </x:c>
      <x:c r="O204" s="12" t="str">
        <x:v>106</x:v>
      </x:c>
      <x:c r="P204" s="16" t="str">
        <x:v>1.0</x:v>
      </x:c>
      <x:c r="Q204" s="12" t="str">
        <x:v>106</x:v>
      </x:c>
      <x:c r="R204" s="16" t="str">
        <x:v>1.0</x:v>
      </x:c>
      <x:c r="S204" s="12" t="str">
        <x:v>0.2</x:v>
      </x:c>
      <x:c r="T204" s="12" t="str">
        <x:v>106</x:v>
      </x:c>
      <x:c r="U204" s="16" t="str">
        <x:v>1.0</x:v>
      </x:c>
      <x:c r="V204" s="18" t="str">
        <x:v>0.4637327194213867</x:v>
      </x:c>
      <x:c r="W204" s="18" t="str">
        <x:v>0.5758574903011322</x:v>
      </x:c>
      <x:c r="X204" s="18" t="str">
        <x:v>0.7785366177558899</x:v>
      </x:c>
      <x:c r="Y204" s="18" t="str">
        <x:v>0.7581068277359009</x:v>
      </x:c>
      <x:c r="Z204" s="18" t="str">
        <x:v>0.975266844034195</x:v>
      </x:c>
      <x:c r="AA204" s="18" t="str">
        <x:v>1.0850486755371094</x:v>
      </x:c>
      <x:c r="AB204" s="20" t="str">
        <x:v>106.41609999947832</x:v>
      </x:c>
      <x:c r="AC204" s="12" t="str">
        <x:v>overlays\neutral_003.png</x:v>
      </x:c>
      <x:c r="AD204" s="12" t="str"/>
      <x:c r="AE204" s="12" t="str"/>
      <x:c r="AF204" s="12" t="str">
        <x:v>acceptable</x:v>
      </x:c>
      <x:c r="AG204" s="12" t="n">
        <x:v>1</x:v>
      </x:c>
      <x:c r="AH204" s="12" t="str">
        <x:v>acceptable</x:v>
      </x:c>
      <x:c r="AI204" s="12" t="str">
        <x:v>acceptable</x:v>
      </x:c>
      <x:c r="AJ204" s="12" t="str">
        <x:v>acceptable</x:v>
      </x:c>
      <x:c r="AK204" s="12" t="str">
        <x:v>not_applicable</x:v>
      </x:c>
      <x:c r="AL204" s="12" t="str">
        <x:v>mild</x:v>
      </x:c>
      <x:c r="AM204" s="14" t="str">
        <x:v>Large pose or profile; visible landmarks are useful, while hidden-side contour points are inferred.</x:v>
      </x:c>
    </x:row>
    <x:row r="205" ht="30" customHeight="1">
      <x:c r="A205" s="12" t="str">
        <x:v>neutral_004</x:v>
      </x:c>
      <x:c r="B205" s="12" t="str">
        <x:v>neutral</x:v>
      </x:c>
      <x:c r="C205" s="14" t="str">
        <x:v>neutral/Training_91747126.jpg</x:v>
      </x:c>
      <x:c r="D205" s="12" t="str">
        <x:v>265c4f2c1f2e8d6124e17b651128c38a61695c702682da472e0dc3ab41a44f7f</x:v>
      </x:c>
      <x:c r="E205" s="12" t="str">
        <x:v>265c4f2c1f2e8d6124e17b651128c38a61695c702682da472e0dc3ab41a44f7f</x:v>
      </x:c>
      <x:c r="F205" s="12" t="str">
        <x:v>True</x:v>
      </x:c>
      <x:c r="G205" s="12" t="str">
        <x:v>48</x:v>
      </x:c>
      <x:c r="H205" s="12" t="str">
        <x:v>48</x:v>
      </x:c>
      <x:c r="I205" s="12" t="str">
        <x:v>0.0</x:v>
      </x:c>
      <x:c r="J205" s="12" t="str">
        <x:v>0.0</x:v>
      </x:c>
      <x:c r="K205" s="12" t="str">
        <x:v>47.0</x:v>
      </x:c>
      <x:c r="L205" s="12" t="str">
        <x:v>47.0</x:v>
      </x:c>
      <x:c r="M205" s="12" t="str">
        <x:v>True</x:v>
      </x:c>
      <x:c r="N205" s="12" t="str">
        <x:v>106</x:v>
      </x:c>
      <x:c r="O205" s="12" t="str">
        <x:v>106</x:v>
      </x:c>
      <x:c r="P205" s="16" t="str">
        <x:v>1.0</x:v>
      </x:c>
      <x:c r="Q205" s="12" t="str">
        <x:v>95</x:v>
      </x:c>
      <x:c r="R205" s="16" t="str">
        <x:v>0.8962264150943396</x:v>
      </x:c>
      <x:c r="S205" s="12" t="str">
        <x:v>0.2</x:v>
      </x:c>
      <x:c r="T205" s="12" t="str">
        <x:v>106</x:v>
      </x:c>
      <x:c r="U205" s="16" t="str">
        <x:v>1.0</x:v>
      </x:c>
      <x:c r="V205" s="18" t="str">
        <x:v>0.35079890489578247</x:v>
      </x:c>
      <x:c r="W205" s="18" t="str">
        <x:v>0.46091924607753754</x:v>
      </x:c>
      <x:c r="X205" s="18" t="str">
        <x:v>0.6538884043693542</x:v>
      </x:c>
      <x:c r="Y205" s="18" t="str">
        <x:v>0.6582415103912354</x:v>
      </x:c>
      <x:c r="Z205" s="18" t="str">
        <x:v>0.8555471003055573</x:v>
      </x:c>
      <x:c r="AA205" s="18" t="str">
        <x:v>0.9828230142593384</x:v>
      </x:c>
      <x:c r="AB205" s="20" t="str">
        <x:v>100.6390000002284</x:v>
      </x:c>
      <x:c r="AC205" s="12" t="str">
        <x:v>overlays\neutral_004.png</x:v>
      </x:c>
      <x:c r="AD205" s="12" t="str"/>
      <x:c r="AE205" s="12" t="str"/>
      <x:c r="AF205" s="12" t="str">
        <x:v>good</x:v>
      </x:c>
      <x:c r="AG205" s="12" t="n">
        <x:v>1</x:v>
      </x:c>
      <x:c r="AH205" s="12" t="str">
        <x:v>good</x:v>
      </x:c>
      <x:c r="AI205" s="12" t="str">
        <x:v>good</x:v>
      </x:c>
      <x:c r="AJ205" s="12" t="str">
        <x:v>good</x:v>
      </x:c>
      <x:c r="AK205" s="12" t="str">
        <x:v>not_applicable</x:v>
      </x:c>
      <x:c r="AL205" s="12" t="str">
        <x:v>none</x:v>
      </x:c>
      <x:c r="AM205" s="14" t="str">
        <x:v>Clear and well-aligned facial landmarks with no major pose, crop, or occlusion issue.</x:v>
      </x:c>
    </x:row>
    <x:row r="206" ht="30" customHeight="1">
      <x:c r="A206" s="12" t="str">
        <x:v>neutral_005</x:v>
      </x:c>
      <x:c r="B206" s="12" t="str">
        <x:v>neutral</x:v>
      </x:c>
      <x:c r="C206" s="14" t="str">
        <x:v>neutral/Training_33952297.jpg</x:v>
      </x:c>
      <x:c r="D206" s="12" t="str">
        <x:v>9c8c6016e82686486c20430e9a9dac9ca246019094725acc9c31b23bb4f99163</x:v>
      </x:c>
      <x:c r="E206" s="12" t="str">
        <x:v>9c8c6016e82686486c20430e9a9dac9ca246019094725acc9c31b23bb4f99163</x:v>
      </x:c>
      <x:c r="F206" s="12" t="str">
        <x:v>True</x:v>
      </x:c>
      <x:c r="G206" s="12" t="str">
        <x:v>48</x:v>
      </x:c>
      <x:c r="H206" s="12" t="str">
        <x:v>48</x:v>
      </x:c>
      <x:c r="I206" s="12" t="str">
        <x:v>0.0</x:v>
      </x:c>
      <x:c r="J206" s="12" t="str">
        <x:v>0.0</x:v>
      </x:c>
      <x:c r="K206" s="12" t="str">
        <x:v>47.0</x:v>
      </x:c>
      <x:c r="L206" s="12" t="str">
        <x:v>47.0</x:v>
      </x:c>
      <x:c r="M206" s="12" t="str">
        <x:v>True</x:v>
      </x:c>
      <x:c r="N206" s="12" t="str">
        <x:v>106</x:v>
      </x:c>
      <x:c r="O206" s="12" t="str">
        <x:v>106</x:v>
      </x:c>
      <x:c r="P206" s="16" t="str">
        <x:v>1.0</x:v>
      </x:c>
      <x:c r="Q206" s="12" t="str">
        <x:v>87</x:v>
      </x:c>
      <x:c r="R206" s="16" t="str">
        <x:v>0.8207547169811321</x:v>
      </x:c>
      <x:c r="S206" s="12" t="str">
        <x:v>0.2</x:v>
      </x:c>
      <x:c r="T206" s="12" t="str">
        <x:v>106</x:v>
      </x:c>
      <x:c r="U206" s="16" t="str">
        <x:v>1.0</x:v>
      </x:c>
      <x:c r="V206" s="18" t="str">
        <x:v>0.33211344480514526</x:v>
      </x:c>
      <x:c r="W206" s="18" t="str">
        <x:v>0.4452555775642395</x:v>
      </x:c>
      <x:c r="X206" s="18" t="str">
        <x:v>0.6067351698875427</x:v>
      </x:c>
      <x:c r="Y206" s="18" t="str">
        <x:v>0.5882431268692017</x:v>
      </x:c>
      <x:c r="Z206" s="18" t="str">
        <x:v>0.8025415539741516</x:v>
      </x:c>
      <x:c r="AA206" s="18" t="str">
        <x:v>0.8439894318580627</x:v>
      </x:c>
      <x:c r="AB206" s="20" t="str">
        <x:v>102.84049999972922</x:v>
      </x:c>
      <x:c r="AC206" s="12" t="str">
        <x:v>overlays\neutral_005.png</x:v>
      </x:c>
      <x:c r="AD206" s="12" t="str"/>
      <x:c r="AE206" s="12" t="str"/>
      <x:c r="AF206" s="12" t="str">
        <x:v>acceptable</x:v>
      </x:c>
      <x:c r="AG206" s="12" t="n">
        <x:v>1</x:v>
      </x:c>
      <x:c r="AH206" s="12" t="str">
        <x:v>acceptable</x:v>
      </x:c>
      <x:c r="AI206" s="12" t="str">
        <x:v>acceptable</x:v>
      </x:c>
      <x:c r="AJ206" s="12" t="str">
        <x:v>acceptable</x:v>
      </x:c>
      <x:c r="AK206" s="12" t="str">
        <x:v>acceptable</x:v>
      </x:c>
      <x:c r="AL206" s="12" t="str">
        <x:v>mild</x:v>
      </x:c>
      <x:c r="AM206" s="14" t="str">
        <x:v>Tight crop places several contour points outside the frame; central facial landmarks remain usable.</x:v>
      </x:c>
    </x:row>
    <x:row r="207" ht="30" customHeight="1">
      <x:c r="A207" s="12" t="str">
        <x:v>neutral_006</x:v>
      </x:c>
      <x:c r="B207" s="12" t="str">
        <x:v>neutral</x:v>
      </x:c>
      <x:c r="C207" s="14" t="str">
        <x:v>neutral/Training_48807220.jpg</x:v>
      </x:c>
      <x:c r="D207" s="12" t="str">
        <x:v>86bd59af2964ee6d07769d1d7c6120ef426e224c5ece88b56c891cddc7dc1bd4</x:v>
      </x:c>
      <x:c r="E207" s="12" t="str">
        <x:v>86bd59af2964ee6d07769d1d7c6120ef426e224c5ece88b56c891cddc7dc1bd4</x:v>
      </x:c>
      <x:c r="F207" s="12" t="str">
        <x:v>True</x:v>
      </x:c>
      <x:c r="G207" s="12" t="str">
        <x:v>48</x:v>
      </x:c>
      <x:c r="H207" s="12" t="str">
        <x:v>48</x:v>
      </x:c>
      <x:c r="I207" s="12" t="str">
        <x:v>0.0</x:v>
      </x:c>
      <x:c r="J207" s="12" t="str">
        <x:v>0.0</x:v>
      </x:c>
      <x:c r="K207" s="12" t="str">
        <x:v>47.0</x:v>
      </x:c>
      <x:c r="L207" s="12" t="str">
        <x:v>47.0</x:v>
      </x:c>
      <x:c r="M207" s="12" t="str">
        <x:v>True</x:v>
      </x:c>
      <x:c r="N207" s="12" t="str">
        <x:v>106</x:v>
      </x:c>
      <x:c r="O207" s="12" t="str">
        <x:v>106</x:v>
      </x:c>
      <x:c r="P207" s="16" t="str">
        <x:v>1.0</x:v>
      </x:c>
      <x:c r="Q207" s="12" t="str">
        <x:v>104</x:v>
      </x:c>
      <x:c r="R207" s="16" t="str">
        <x:v>0.9811320754716981</x:v>
      </x:c>
      <x:c r="S207" s="12" t="str">
        <x:v>0.2</x:v>
      </x:c>
      <x:c r="T207" s="12" t="str">
        <x:v>106</x:v>
      </x:c>
      <x:c r="U207" s="16" t="str">
        <x:v>1.0</x:v>
      </x:c>
      <x:c r="V207" s="18" t="str">
        <x:v>0.2601970434188843</x:v>
      </x:c>
      <x:c r="W207" s="18" t="str">
        <x:v>0.42661264538764954</x:v>
      </x:c>
      <x:c r="X207" s="18" t="str">
        <x:v>0.6337684988975525</x:v>
      </x:c>
      <x:c r="Y207" s="18" t="str">
        <x:v>0.6304795145988464</x:v>
      </x:c>
      <x:c r="Z207" s="18" t="str">
        <x:v>0.8353480398654938</x:v>
      </x:c>
      <x:c r="AA207" s="18" t="str">
        <x:v>0.9338452219963074</x:v>
      </x:c>
      <x:c r="AB207" s="20" t="str">
        <x:v>106.23910000140313</x:v>
      </x:c>
      <x:c r="AC207" s="12" t="str">
        <x:v>overlays\neutral_006.png</x:v>
      </x:c>
      <x:c r="AD207" s="12" t="str"/>
      <x:c r="AE207" s="12" t="str"/>
      <x:c r="AF207" s="12" t="str">
        <x:v>acceptable</x:v>
      </x:c>
      <x:c r="AG207" s="12" t="n">
        <x:v>1</x:v>
      </x:c>
      <x:c r="AH207" s="12" t="str">
        <x:v>acceptable</x:v>
      </x:c>
      <x:c r="AI207" s="12" t="str">
        <x:v>acceptable</x:v>
      </x:c>
      <x:c r="AJ207" s="12" t="str">
        <x:v>acceptable</x:v>
      </x:c>
      <x:c r="AK207" s="12" t="str">
        <x:v>not_applicable</x:v>
      </x:c>
      <x:c r="AL207" s="12" t="str">
        <x:v>mild</x:v>
      </x:c>
      <x:c r="AM207" s="14" t="str">
        <x:v>Large pose or profile; visible landmarks are useful, while hidden-side contour points are inferred.</x:v>
      </x:c>
    </x:row>
    <x:row r="208" ht="30" customHeight="1">
      <x:c r="A208" s="12" t="str">
        <x:v>neutral_007</x:v>
      </x:c>
      <x:c r="B208" s="12" t="str">
        <x:v>neutral</x:v>
      </x:c>
      <x:c r="C208" s="14" t="str">
        <x:v>neutral/Training_88377969.jpg</x:v>
      </x:c>
      <x:c r="D208" s="12" t="str">
        <x:v>9c7e592e12bc0efad3f505ce10166d33324128befe57caa7b1456ec336aa1c00</x:v>
      </x:c>
      <x:c r="E208" s="12" t="str">
        <x:v>9c7e592e12bc0efad3f505ce10166d33324128befe57caa7b1456ec336aa1c00</x:v>
      </x:c>
      <x:c r="F208" s="12" t="str">
        <x:v>True</x:v>
      </x:c>
      <x:c r="G208" s="12" t="str">
        <x:v>48</x:v>
      </x:c>
      <x:c r="H208" s="12" t="str">
        <x:v>48</x:v>
      </x:c>
      <x:c r="I208" s="12" t="str">
        <x:v>0.0</x:v>
      </x:c>
      <x:c r="J208" s="12" t="str">
        <x:v>0.0</x:v>
      </x:c>
      <x:c r="K208" s="12" t="str">
        <x:v>47.0</x:v>
      </x:c>
      <x:c r="L208" s="12" t="str">
        <x:v>47.0</x:v>
      </x:c>
      <x:c r="M208" s="12" t="str">
        <x:v>True</x:v>
      </x:c>
      <x:c r="N208" s="12" t="str">
        <x:v>106</x:v>
      </x:c>
      <x:c r="O208" s="12" t="str">
        <x:v>106</x:v>
      </x:c>
      <x:c r="P208" s="16" t="str">
        <x:v>1.0</x:v>
      </x:c>
      <x:c r="Q208" s="12" t="str">
        <x:v>101</x:v>
      </x:c>
      <x:c r="R208" s="16" t="str">
        <x:v>0.9528301886792453</x:v>
      </x:c>
      <x:c r="S208" s="12" t="str">
        <x:v>0.2</x:v>
      </x:c>
      <x:c r="T208" s="12" t="str">
        <x:v>106</x:v>
      </x:c>
      <x:c r="U208" s="16" t="str">
        <x:v>1.0</x:v>
      </x:c>
      <x:c r="V208" s="18" t="str">
        <x:v>0.5821083188056946</x:v>
      </x:c>
      <x:c r="W208" s="18" t="str">
        <x:v>0.6356755197048187</x:v>
      </x:c>
      <x:c r="X208" s="18" t="str">
        <x:v>0.7711337804794312</x:v>
      </x:c>
      <x:c r="Y208" s="18" t="str">
        <x:v>0.7759975790977478</x:v>
      </x:c>
      <x:c r="Z208" s="18" t="str">
        <x:v>0.904259979724884</x:v>
      </x:c>
      <x:c r="AA208" s="18" t="str">
        <x:v>1.0055333375930786</x:v>
      </x:c>
      <x:c r="AB208" s="20" t="str">
        <x:v>108.71290000068257</x:v>
      </x:c>
      <x:c r="AC208" s="12" t="str">
        <x:v>overlays\neutral_007.png</x:v>
      </x:c>
      <x:c r="AD208" s="12" t="str"/>
      <x:c r="AE208" s="12" t="str"/>
      <x:c r="AF208" s="12" t="str">
        <x:v>good</x:v>
      </x:c>
      <x:c r="AG208" s="12" t="n">
        <x:v>1</x:v>
      </x:c>
      <x:c r="AH208" s="12" t="str">
        <x:v>good</x:v>
      </x:c>
      <x:c r="AI208" s="12" t="str">
        <x:v>good</x:v>
      </x:c>
      <x:c r="AJ208" s="12" t="str">
        <x:v>good</x:v>
      </x:c>
      <x:c r="AK208" s="12" t="str">
        <x:v>not_applicable</x:v>
      </x:c>
      <x:c r="AL208" s="12" t="str">
        <x:v>none</x:v>
      </x:c>
      <x:c r="AM208" s="14" t="str">
        <x:v>Clear and well-aligned facial landmarks with no major pose, crop, or occlusion issue.</x:v>
      </x:c>
    </x:row>
    <x:row r="209" ht="30" customHeight="1">
      <x:c r="A209" s="12" t="str">
        <x:v>neutral_008</x:v>
      </x:c>
      <x:c r="B209" s="12" t="str">
        <x:v>neutral</x:v>
      </x:c>
      <x:c r="C209" s="14" t="str">
        <x:v>neutral/Training_7294134.jpg</x:v>
      </x:c>
      <x:c r="D209" s="12" t="str">
        <x:v>33900e65dbebb2b9eda85783f3e121fafaeb8e5b7e23b2f951d043ff375aeb27</x:v>
      </x:c>
      <x:c r="E209" s="12" t="str">
        <x:v>33900e65dbebb2b9eda85783f3e121fafaeb8e5b7e23b2f951d043ff375aeb27</x:v>
      </x:c>
      <x:c r="F209" s="12" t="str">
        <x:v>True</x:v>
      </x:c>
      <x:c r="G209" s="12" t="str">
        <x:v>48</x:v>
      </x:c>
      <x:c r="H209" s="12" t="str">
        <x:v>48</x:v>
      </x:c>
      <x:c r="I209" s="12" t="str">
        <x:v>0.0</x:v>
      </x:c>
      <x:c r="J209" s="12" t="str">
        <x:v>0.0</x:v>
      </x:c>
      <x:c r="K209" s="12" t="str">
        <x:v>47.0</x:v>
      </x:c>
      <x:c r="L209" s="12" t="str">
        <x:v>47.0</x:v>
      </x:c>
      <x:c r="M209" s="12" t="str">
        <x:v>True</x:v>
      </x:c>
      <x:c r="N209" s="12" t="str">
        <x:v>106</x:v>
      </x:c>
      <x:c r="O209" s="12" t="str">
        <x:v>106</x:v>
      </x:c>
      <x:c r="P209" s="16" t="str">
        <x:v>1.0</x:v>
      </x:c>
      <x:c r="Q209" s="12" t="str">
        <x:v>102</x:v>
      </x:c>
      <x:c r="R209" s="16" t="str">
        <x:v>0.9622641509433962</x:v>
      </x:c>
      <x:c r="S209" s="12" t="str">
        <x:v>0.2</x:v>
      </x:c>
      <x:c r="T209" s="12" t="str">
        <x:v>106</x:v>
      </x:c>
      <x:c r="U209" s="16" t="str">
        <x:v>1.0</x:v>
      </x:c>
      <x:c r="V209" s="18" t="str">
        <x:v>0.5865147709846497</x:v>
      </x:c>
      <x:c r="W209" s="18" t="str">
        <x:v>0.6886508464813232</x:v>
      </x:c>
      <x:c r="X209" s="18" t="str">
        <x:v>0.805147647857666</x:v>
      </x:c>
      <x:c r="Y209" s="18" t="str">
        <x:v>0.7898406386375427</x:v>
      </x:c>
      <x:c r="Z209" s="18" t="str">
        <x:v>0.9771277606487274</x:v>
      </x:c>
      <x:c r="AA209" s="18" t="str">
        <x:v>1.0744686126708984</x:v>
      </x:c>
      <x:c r="AB209" s="20" t="str">
        <x:v>109.49339999933727</x:v>
      </x:c>
      <x:c r="AC209" s="12" t="str">
        <x:v>overlays\neutral_008.png</x:v>
      </x:c>
      <x:c r="AD209" s="12" t="str"/>
      <x:c r="AE209" s="12" t="str"/>
      <x:c r="AF209" s="12" t="str">
        <x:v>good</x:v>
      </x:c>
      <x:c r="AG209" s="12" t="n">
        <x:v>1</x:v>
      </x:c>
      <x:c r="AH209" s="12" t="str">
        <x:v>good</x:v>
      </x:c>
      <x:c r="AI209" s="12" t="str">
        <x:v>good</x:v>
      </x:c>
      <x:c r="AJ209" s="12" t="str">
        <x:v>good</x:v>
      </x:c>
      <x:c r="AK209" s="12" t="str">
        <x:v>not_applicable</x:v>
      </x:c>
      <x:c r="AL209" s="12" t="str">
        <x:v>none</x:v>
      </x:c>
      <x:c r="AM209" s="14" t="str">
        <x:v>Clear and well-aligned facial landmarks with no major pose, crop, or occlusion issue.</x:v>
      </x:c>
    </x:row>
    <x:row r="210" ht="30" customHeight="1">
      <x:c r="A210" s="12" t="str">
        <x:v>neutral_009</x:v>
      </x:c>
      <x:c r="B210" s="12" t="str">
        <x:v>neutral</x:v>
      </x:c>
      <x:c r="C210" s="14" t="str">
        <x:v>neutral/Training_40840547.jpg</x:v>
      </x:c>
      <x:c r="D210" s="12" t="str">
        <x:v>5a786f0c99615cf8bb8889e1ada93a620f6b7f91d5f678933288159e04f2d886</x:v>
      </x:c>
      <x:c r="E210" s="12" t="str">
        <x:v>5a786f0c99615cf8bb8889e1ada93a620f6b7f91d5f678933288159e04f2d886</x:v>
      </x:c>
      <x:c r="F210" s="12" t="str">
        <x:v>True</x:v>
      </x:c>
      <x:c r="G210" s="12" t="str">
        <x:v>48</x:v>
      </x:c>
      <x:c r="H210" s="12" t="str">
        <x:v>48</x:v>
      </x:c>
      <x:c r="I210" s="12" t="str">
        <x:v>0.0</x:v>
      </x:c>
      <x:c r="J210" s="12" t="str">
        <x:v>0.0</x:v>
      </x:c>
      <x:c r="K210" s="12" t="str">
        <x:v>47.0</x:v>
      </x:c>
      <x:c r="L210" s="12" t="str">
        <x:v>47.0</x:v>
      </x:c>
      <x:c r="M210" s="12" t="str">
        <x:v>True</x:v>
      </x:c>
      <x:c r="N210" s="12" t="str">
        <x:v>106</x:v>
      </x:c>
      <x:c r="O210" s="12" t="str">
        <x:v>106</x:v>
      </x:c>
      <x:c r="P210" s="16" t="str">
        <x:v>1.0</x:v>
      </x:c>
      <x:c r="Q210" s="12" t="str">
        <x:v>98</x:v>
      </x:c>
      <x:c r="R210" s="16" t="str">
        <x:v>0.9245283018867925</x:v>
      </x:c>
      <x:c r="S210" s="12" t="str">
        <x:v>0.2</x:v>
      </x:c>
      <x:c r="T210" s="12" t="str">
        <x:v>106</x:v>
      </x:c>
      <x:c r="U210" s="16" t="str">
        <x:v>1.0</x:v>
      </x:c>
      <x:c r="V210" s="18" t="str">
        <x:v>0.3992046117782593</x:v>
      </x:c>
      <x:c r="W210" s="18" t="str">
        <x:v>0.5183885395526886</x:v>
      </x:c>
      <x:c r="X210" s="18" t="str">
        <x:v>0.6438956260681152</x:v>
      </x:c>
      <x:c r="Y210" s="18" t="str">
        <x:v>0.629300594329834</x:v>
      </x:c>
      <x:c r="Z210" s="18" t="str">
        <x:v>0.8416617512702942</x:v>
      </x:c>
      <x:c r="AA210" s="18" t="str">
        <x:v>0.8764314651489258</x:v>
      </x:c>
      <x:c r="AB210" s="20" t="str">
        <x:v>126.29909999668598</x:v>
      </x:c>
      <x:c r="AC210" s="12" t="str">
        <x:v>overlays\neutral_009.png</x:v>
      </x:c>
      <x:c r="AD210" s="12" t="str"/>
      <x:c r="AE210" s="12" t="str"/>
      <x:c r="AF210" s="12" t="str">
        <x:v>good</x:v>
      </x:c>
      <x:c r="AG210" s="12" t="n">
        <x:v>1</x:v>
      </x:c>
      <x:c r="AH210" s="12" t="str">
        <x:v>good</x:v>
      </x:c>
      <x:c r="AI210" s="12" t="str">
        <x:v>good</x:v>
      </x:c>
      <x:c r="AJ210" s="12" t="str">
        <x:v>good</x:v>
      </x:c>
      <x:c r="AK210" s="12" t="str">
        <x:v>good</x:v>
      </x:c>
      <x:c r="AL210" s="12" t="str">
        <x:v>none</x:v>
      </x:c>
      <x:c r="AM210" s="14" t="str">
        <x:v>Clear and well-aligned facial landmarks with no major pose, crop, or occlusion issue.</x:v>
      </x:c>
    </x:row>
    <x:row r="211" ht="30" customHeight="1">
      <x:c r="A211" s="12" t="str">
        <x:v>neutral_010</x:v>
      </x:c>
      <x:c r="B211" s="12" t="str">
        <x:v>neutral</x:v>
      </x:c>
      <x:c r="C211" s="14" t="str">
        <x:v>neutral/Training_9028676.jpg</x:v>
      </x:c>
      <x:c r="D211" s="12" t="str">
        <x:v>c8c880aeabeb3d8a6386ab31520934c713d541b12b856874c7b4ff52b86d8261</x:v>
      </x:c>
      <x:c r="E211" s="12" t="str">
        <x:v>c8c880aeabeb3d8a6386ab31520934c713d541b12b856874c7b4ff52b86d8261</x:v>
      </x:c>
      <x:c r="F211" s="12" t="str">
        <x:v>True</x:v>
      </x:c>
      <x:c r="G211" s="12" t="str">
        <x:v>48</x:v>
      </x:c>
      <x:c r="H211" s="12" t="str">
        <x:v>48</x:v>
      </x:c>
      <x:c r="I211" s="12" t="str">
        <x:v>0.0</x:v>
      </x:c>
      <x:c r="J211" s="12" t="str">
        <x:v>0.0</x:v>
      </x:c>
      <x:c r="K211" s="12" t="str">
        <x:v>47.0</x:v>
      </x:c>
      <x:c r="L211" s="12" t="str">
        <x:v>47.0</x:v>
      </x:c>
      <x:c r="M211" s="12" t="str">
        <x:v>True</x:v>
      </x:c>
      <x:c r="N211" s="12" t="str">
        <x:v>106</x:v>
      </x:c>
      <x:c r="O211" s="12" t="str">
        <x:v>106</x:v>
      </x:c>
      <x:c r="P211" s="16" t="str">
        <x:v>1.0</x:v>
      </x:c>
      <x:c r="Q211" s="12" t="str">
        <x:v>102</x:v>
      </x:c>
      <x:c r="R211" s="16" t="str">
        <x:v>0.9622641509433962</x:v>
      </x:c>
      <x:c r="S211" s="12" t="str">
        <x:v>0.2</x:v>
      </x:c>
      <x:c r="T211" s="12" t="str">
        <x:v>106</x:v>
      </x:c>
      <x:c r="U211" s="16" t="str">
        <x:v>1.0</x:v>
      </x:c>
      <x:c r="V211" s="18" t="str">
        <x:v>0.5323352217674255</x:v>
      </x:c>
      <x:c r="W211" s="18" t="str">
        <x:v>0.5876655876636505</x:v>
      </x:c>
      <x:c r="X211" s="18" t="str">
        <x:v>0.6968837976455688</x:v>
      </x:c>
      <x:c r="Y211" s="18" t="str">
        <x:v>0.6691925525665283</x:v>
      </x:c>
      <x:c r="Z211" s="18" t="str">
        <x:v>0.7991902232170105</x:v>
      </x:c>
      <x:c r="AA211" s="18" t="str">
        <x:v>0.9603386521339417</x:v>
      </x:c>
      <x:c r="AB211" s="20" t="str">
        <x:v>106.9960999993782</x:v>
      </x:c>
      <x:c r="AC211" s="12" t="str">
        <x:v>overlays\neutral_010.png</x:v>
      </x:c>
      <x:c r="AD211" s="12" t="str"/>
      <x:c r="AE211" s="12" t="str"/>
      <x:c r="AF211" s="12" t="str">
        <x:v>acceptable</x:v>
      </x:c>
      <x:c r="AG211" s="12" t="n">
        <x:v>1</x:v>
      </x:c>
      <x:c r="AH211" s="12" t="str">
        <x:v>acceptable</x:v>
      </x:c>
      <x:c r="AI211" s="12" t="str">
        <x:v>acceptable</x:v>
      </x:c>
      <x:c r="AJ211" s="12" t="str">
        <x:v>acceptable</x:v>
      </x:c>
      <x:c r="AK211" s="12" t="str">
        <x:v>not_applicable</x:v>
      </x:c>
      <x:c r="AL211" s="12" t="str">
        <x:v>mild</x:v>
      </x:c>
      <x:c r="AM211" s="14" t="str">
        <x:v>Moderate pose, crop, or image degradation causes minor landmark uncertainty; the result remains usable.</x:v>
      </x:c>
    </x:row>
    <x:row r="212" ht="30" customHeight="1">
      <x:c r="A212" s="12" t="str">
        <x:v>neutral_011</x:v>
      </x:c>
      <x:c r="B212" s="12" t="str">
        <x:v>neutral</x:v>
      </x:c>
      <x:c r="C212" s="14" t="str">
        <x:v>neutral/Training_39561924.jpg</x:v>
      </x:c>
      <x:c r="D212" s="12" t="str">
        <x:v>d74e247ad70480f04c78d21e0a826eef8a78681e05f71d69a48c04cc05d195f5</x:v>
      </x:c>
      <x:c r="E212" s="12" t="str">
        <x:v>d74e247ad70480f04c78d21e0a826eef8a78681e05f71d69a48c04cc05d195f5</x:v>
      </x:c>
      <x:c r="F212" s="12" t="str">
        <x:v>True</x:v>
      </x:c>
      <x:c r="G212" s="12" t="str">
        <x:v>48</x:v>
      </x:c>
      <x:c r="H212" s="12" t="str">
        <x:v>48</x:v>
      </x:c>
      <x:c r="I212" s="12" t="str">
        <x:v>0.0</x:v>
      </x:c>
      <x:c r="J212" s="12" t="str">
        <x:v>0.0</x:v>
      </x:c>
      <x:c r="K212" s="12" t="str">
        <x:v>47.0</x:v>
      </x:c>
      <x:c r="L212" s="12" t="str">
        <x:v>47.0</x:v>
      </x:c>
      <x:c r="M212" s="12" t="str">
        <x:v>True</x:v>
      </x:c>
      <x:c r="N212" s="12" t="str">
        <x:v>106</x:v>
      </x:c>
      <x:c r="O212" s="12" t="str">
        <x:v>106</x:v>
      </x:c>
      <x:c r="P212" s="16" t="str">
        <x:v>1.0</x:v>
      </x:c>
      <x:c r="Q212" s="12" t="str">
        <x:v>98</x:v>
      </x:c>
      <x:c r="R212" s="16" t="str">
        <x:v>0.9245283018867925</x:v>
      </x:c>
      <x:c r="S212" s="12" t="str">
        <x:v>0.2</x:v>
      </x:c>
      <x:c r="T212" s="12" t="str">
        <x:v>106</x:v>
      </x:c>
      <x:c r="U212" s="16" t="str">
        <x:v>1.0</x:v>
      </x:c>
      <x:c r="V212" s="18" t="str">
        <x:v>0.3538336753845215</x:v>
      </x:c>
      <x:c r="W212" s="18" t="str">
        <x:v>0.4855032116174698</x:v>
      </x:c>
      <x:c r="X212" s="18" t="str">
        <x:v>0.6705370545387268</x:v>
      </x:c>
      <x:c r="Y212" s="18" t="str">
        <x:v>0.6490230560302734</x:v>
      </x:c>
      <x:c r="Z212" s="18" t="str">
        <x:v>0.9095557332038879</x:v>
      </x:c>
      <x:c r="AA212" s="18" t="str">
        <x:v>0.9861008524894714</x:v>
      </x:c>
      <x:c r="AB212" s="20" t="str">
        <x:v>110.84290000144392</x:v>
      </x:c>
      <x:c r="AC212" s="12" t="str">
        <x:v>overlays\neutral_011.png</x:v>
      </x:c>
      <x:c r="AD212" s="12" t="str"/>
      <x:c r="AE212" s="12" t="str"/>
      <x:c r="AF212" s="12" t="str">
        <x:v>good</x:v>
      </x:c>
      <x:c r="AG212" s="12" t="n">
        <x:v>1</x:v>
      </x:c>
      <x:c r="AH212" s="12" t="str">
        <x:v>good</x:v>
      </x:c>
      <x:c r="AI212" s="12" t="str">
        <x:v>good</x:v>
      </x:c>
      <x:c r="AJ212" s="12" t="str">
        <x:v>good</x:v>
      </x:c>
      <x:c r="AK212" s="12" t="str">
        <x:v>not_applicable</x:v>
      </x:c>
      <x:c r="AL212" s="12" t="str">
        <x:v>none</x:v>
      </x:c>
      <x:c r="AM212" s="14" t="str">
        <x:v>Clear and well-aligned facial landmarks with no major pose, crop, or occlusion issue.</x:v>
      </x:c>
    </x:row>
    <x:row r="213" ht="30" customHeight="1">
      <x:c r="A213" s="12" t="str">
        <x:v>neutral_012</x:v>
      </x:c>
      <x:c r="B213" s="12" t="str">
        <x:v>neutral</x:v>
      </x:c>
      <x:c r="C213" s="14" t="str">
        <x:v>neutral/Training_55989345.jpg</x:v>
      </x:c>
      <x:c r="D213" s="12" t="str">
        <x:v>d00c1807a2ba9efdc8aeb3f811f669b0dace59e438c2858e1d0da95a7709ea67</x:v>
      </x:c>
      <x:c r="E213" s="12" t="str">
        <x:v>d00c1807a2ba9efdc8aeb3f811f669b0dace59e438c2858e1d0da95a7709ea67</x:v>
      </x:c>
      <x:c r="F213" s="12" t="str">
        <x:v>True</x:v>
      </x:c>
      <x:c r="G213" s="12" t="str">
        <x:v>48</x:v>
      </x:c>
      <x:c r="H213" s="12" t="str">
        <x:v>48</x:v>
      </x:c>
      <x:c r="I213" s="12" t="str">
        <x:v>0.0</x:v>
      </x:c>
      <x:c r="J213" s="12" t="str">
        <x:v>0.0</x:v>
      </x:c>
      <x:c r="K213" s="12" t="str">
        <x:v>47.0</x:v>
      </x:c>
      <x:c r="L213" s="12" t="str">
        <x:v>47.0</x:v>
      </x:c>
      <x:c r="M213" s="12" t="str">
        <x:v>True</x:v>
      </x:c>
      <x:c r="N213" s="12" t="str">
        <x:v>106</x:v>
      </x:c>
      <x:c r="O213" s="12" t="str">
        <x:v>106</x:v>
      </x:c>
      <x:c r="P213" s="16" t="str">
        <x:v>1.0</x:v>
      </x:c>
      <x:c r="Q213" s="12" t="str">
        <x:v>106</x:v>
      </x:c>
      <x:c r="R213" s="16" t="str">
        <x:v>1.0</x:v>
      </x:c>
      <x:c r="S213" s="12" t="str">
        <x:v>0.2</x:v>
      </x:c>
      <x:c r="T213" s="12" t="str">
        <x:v>106</x:v>
      </x:c>
      <x:c r="U213" s="16" t="str">
        <x:v>1.0</x:v>
      </x:c>
      <x:c r="V213" s="18" t="str">
        <x:v>0.3524901866912842</x:v>
      </x:c>
      <x:c r="W213" s="18" t="str">
        <x:v>0.4294608533382416</x:v>
      </x:c>
      <x:c r="X213" s="18" t="str">
        <x:v>0.6256956458091736</x:v>
      </x:c>
      <x:c r="Y213" s="18" t="str">
        <x:v>0.6315571069717407</x:v>
      </x:c>
      <x:c r="Z213" s="18" t="str">
        <x:v>0.8390768766403198</x:v>
      </x:c>
      <x:c r="AA213" s="18" t="str">
        <x:v>0.910941481590271</x:v>
      </x:c>
      <x:c r="AB213" s="20" t="str">
        <x:v>107.73509999853559</x:v>
      </x:c>
      <x:c r="AC213" s="12" t="str">
        <x:v>overlays\neutral_012.png</x:v>
      </x:c>
      <x:c r="AD213" s="12" t="str"/>
      <x:c r="AE213" s="12" t="str"/>
      <x:c r="AF213" s="12" t="str">
        <x:v>good</x:v>
      </x:c>
      <x:c r="AG213" s="12" t="n">
        <x:v>1</x:v>
      </x:c>
      <x:c r="AH213" s="12" t="str">
        <x:v>good</x:v>
      </x:c>
      <x:c r="AI213" s="12" t="str">
        <x:v>good</x:v>
      </x:c>
      <x:c r="AJ213" s="12" t="str">
        <x:v>good</x:v>
      </x:c>
      <x:c r="AK213" s="12" t="str">
        <x:v>not_applicable</x:v>
      </x:c>
      <x:c r="AL213" s="12" t="str">
        <x:v>none</x:v>
      </x:c>
      <x:c r="AM213" s="14" t="str">
        <x:v>Clear and well-aligned facial landmarks with no major pose, crop, or occlusion issue.</x:v>
      </x:c>
    </x:row>
    <x:row r="214" ht="30" customHeight="1">
      <x:c r="A214" s="12" t="str">
        <x:v>neutral_013</x:v>
      </x:c>
      <x:c r="B214" s="12" t="str">
        <x:v>neutral</x:v>
      </x:c>
      <x:c r="C214" s="14" t="str">
        <x:v>neutral/Training_68746678.jpg</x:v>
      </x:c>
      <x:c r="D214" s="12" t="str">
        <x:v>9726c30977a7d8b938434b97083cb1e0b7a348a563777d08b4198fbcfa0b30e2</x:v>
      </x:c>
      <x:c r="E214" s="12" t="str">
        <x:v>9726c30977a7d8b938434b97083cb1e0b7a348a563777d08b4198fbcfa0b30e2</x:v>
      </x:c>
      <x:c r="F214" s="12" t="str">
        <x:v>True</x:v>
      </x:c>
      <x:c r="G214" s="12" t="str">
        <x:v>48</x:v>
      </x:c>
      <x:c r="H214" s="12" t="str">
        <x:v>48</x:v>
      </x:c>
      <x:c r="I214" s="12" t="str">
        <x:v>0.0</x:v>
      </x:c>
      <x:c r="J214" s="12" t="str">
        <x:v>0.0</x:v>
      </x:c>
      <x:c r="K214" s="12" t="str">
        <x:v>47.0</x:v>
      </x:c>
      <x:c r="L214" s="12" t="str">
        <x:v>47.0</x:v>
      </x:c>
      <x:c r="M214" s="12" t="str">
        <x:v>True</x:v>
      </x:c>
      <x:c r="N214" s="12" t="str">
        <x:v>106</x:v>
      </x:c>
      <x:c r="O214" s="12" t="str">
        <x:v>106</x:v>
      </x:c>
      <x:c r="P214" s="16" t="str">
        <x:v>1.0</x:v>
      </x:c>
      <x:c r="Q214" s="12" t="str">
        <x:v>57</x:v>
      </x:c>
      <x:c r="R214" s="16" t="str">
        <x:v>0.5377358490566038</x:v>
      </x:c>
      <x:c r="S214" s="12" t="str">
        <x:v>0.2</x:v>
      </x:c>
      <x:c r="T214" s="12" t="str">
        <x:v>104</x:v>
      </x:c>
      <x:c r="U214" s="16" t="str">
        <x:v>0.9811320754716981</x:v>
      </x:c>
      <x:c r="V214" s="18" t="str">
        <x:v>0.19236502051353455</x:v>
      </x:c>
      <x:c r="W214" s="18" t="str">
        <x:v>0.3925708830356598</x:v>
      </x:c>
      <x:c r="X214" s="18" t="str">
        <x:v>0.5327932834625244</x:v>
      </x:c>
      <x:c r="Y214" s="18" t="str">
        <x:v>0.5042812824249268</x:v>
      </x:c>
      <x:c r="Z214" s="18" t="str">
        <x:v>0.7680028676986694</x:v>
      </x:c>
      <x:c r="AA214" s="18" t="str">
        <x:v>0.8599106073379517</x:v>
      </x:c>
      <x:c r="AB214" s="20" t="str">
        <x:v>109.13240000081714</x:v>
      </x:c>
      <x:c r="AC214" s="12" t="str">
        <x:v>overlays\neutral_013.png</x:v>
      </x:c>
      <x:c r="AD214" s="12" t="str"/>
      <x:c r="AE214" s="12" t="str"/>
      <x:c r="AF214" s="12" t="str">
        <x:v>acceptable</x:v>
      </x:c>
      <x:c r="AG214" s="12" t="n">
        <x:v>1</x:v>
      </x:c>
      <x:c r="AH214" s="12" t="str">
        <x:v>acceptable</x:v>
      </x:c>
      <x:c r="AI214" s="12" t="str">
        <x:v>acceptable</x:v>
      </x:c>
      <x:c r="AJ214" s="12" t="str">
        <x:v>acceptable</x:v>
      </x:c>
      <x:c r="AK214" s="12" t="str">
        <x:v>not_applicable</x:v>
      </x:c>
      <x:c r="AL214" s="12" t="str">
        <x:v>mild</x:v>
      </x:c>
      <x:c r="AM214" s="14" t="str">
        <x:v>Tight crop places several contour points outside the frame; central facial landmarks remain usable.</x:v>
      </x:c>
    </x:row>
    <x:row r="215" ht="30" customHeight="1">
      <x:c r="A215" s="12" t="str">
        <x:v>neutral_014</x:v>
      </x:c>
      <x:c r="B215" s="12" t="str">
        <x:v>neutral</x:v>
      </x:c>
      <x:c r="C215" s="14" t="str">
        <x:v>neutral/Training_64976925.jpg</x:v>
      </x:c>
      <x:c r="D215" s="12" t="str">
        <x:v>513915fb6bff4568528c91981db630eac7fff3dffe5ce253a6a95e999870663a</x:v>
      </x:c>
      <x:c r="E215" s="12" t="str">
        <x:v>513915fb6bff4568528c91981db630eac7fff3dffe5ce253a6a95e999870663a</x:v>
      </x:c>
      <x:c r="F215" s="12" t="str">
        <x:v>True</x:v>
      </x:c>
      <x:c r="G215" s="12" t="str">
        <x:v>48</x:v>
      </x:c>
      <x:c r="H215" s="12" t="str">
        <x:v>48</x:v>
      </x:c>
      <x:c r="I215" s="12" t="str">
        <x:v>0.0</x:v>
      </x:c>
      <x:c r="J215" s="12" t="str">
        <x:v>0.0</x:v>
      </x:c>
      <x:c r="K215" s="12" t="str">
        <x:v>47.0</x:v>
      </x:c>
      <x:c r="L215" s="12" t="str">
        <x:v>47.0</x:v>
      </x:c>
      <x:c r="M215" s="12" t="str">
        <x:v>True</x:v>
      </x:c>
      <x:c r="N215" s="12" t="str">
        <x:v>106</x:v>
      </x:c>
      <x:c r="O215" s="12" t="str">
        <x:v>106</x:v>
      </x:c>
      <x:c r="P215" s="16" t="str">
        <x:v>1.0</x:v>
      </x:c>
      <x:c r="Q215" s="12" t="str">
        <x:v>87</x:v>
      </x:c>
      <x:c r="R215" s="16" t="str">
        <x:v>0.8207547169811321</x:v>
      </x:c>
      <x:c r="S215" s="12" t="str">
        <x:v>0.2</x:v>
      </x:c>
      <x:c r="T215" s="12" t="str">
        <x:v>106</x:v>
      </x:c>
      <x:c r="U215" s="16" t="str">
        <x:v>1.0</x:v>
      </x:c>
      <x:c r="V215" s="18" t="str">
        <x:v>0.21186986565589905</x:v>
      </x:c>
      <x:c r="W215" s="18" t="str">
        <x:v>0.3708844780921936</x:v>
      </x:c>
      <x:c r="X215" s="18" t="str">
        <x:v>0.5781130790710449</x:v>
      </x:c>
      <x:c r="Y215" s="18" t="str">
        <x:v>0.5452237129211426</x:v>
      </x:c>
      <x:c r="Z215" s="18" t="str">
        <x:v>0.8416401743888855</x:v>
      </x:c>
      <x:c r="AA215" s="18" t="str">
        <x:v>0.9307653903961182</x:v>
      </x:c>
      <x:c r="AB215" s="20" t="str">
        <x:v>108.18389999985811</x:v>
      </x:c>
      <x:c r="AC215" s="12" t="str">
        <x:v>overlays\neutral_014.png</x:v>
      </x:c>
      <x:c r="AD215" s="12" t="str"/>
      <x:c r="AE215" s="12" t="str"/>
      <x:c r="AF215" s="12" t="str">
        <x:v>acceptable</x:v>
      </x:c>
      <x:c r="AG215" s="12" t="n">
        <x:v>1</x:v>
      </x:c>
      <x:c r="AH215" s="12" t="str">
        <x:v>acceptable</x:v>
      </x:c>
      <x:c r="AI215" s="12" t="str">
        <x:v>acceptable</x:v>
      </x:c>
      <x:c r="AJ215" s="12" t="str">
        <x:v>acceptable</x:v>
      </x:c>
      <x:c r="AK215" s="12" t="str">
        <x:v>not_applicable</x:v>
      </x:c>
      <x:c r="AL215" s="12" t="str">
        <x:v>mild</x:v>
      </x:c>
      <x:c r="AM215" s="14" t="str">
        <x:v>Tight crop places several contour points outside the frame; central facial landmarks remain usable.</x:v>
      </x:c>
    </x:row>
    <x:row r="216" ht="30" customHeight="1">
      <x:c r="A216" s="12" t="str">
        <x:v>neutral_015</x:v>
      </x:c>
      <x:c r="B216" s="12" t="str">
        <x:v>neutral</x:v>
      </x:c>
      <x:c r="C216" s="14" t="str">
        <x:v>neutral/Training_7509514.jpg</x:v>
      </x:c>
      <x:c r="D216" s="12" t="str">
        <x:v>06b59f5bc5450b838114fef47c4fd630c05dafc85189e9cb942166399528bbc7</x:v>
      </x:c>
      <x:c r="E216" s="12" t="str">
        <x:v>06b59f5bc5450b838114fef47c4fd630c05dafc85189e9cb942166399528bbc7</x:v>
      </x:c>
      <x:c r="F216" s="12" t="str">
        <x:v>True</x:v>
      </x:c>
      <x:c r="G216" s="12" t="str">
        <x:v>48</x:v>
      </x:c>
      <x:c r="H216" s="12" t="str">
        <x:v>48</x:v>
      </x:c>
      <x:c r="I216" s="12" t="str">
        <x:v>0.0</x:v>
      </x:c>
      <x:c r="J216" s="12" t="str">
        <x:v>0.0</x:v>
      </x:c>
      <x:c r="K216" s="12" t="str">
        <x:v>47.0</x:v>
      </x:c>
      <x:c r="L216" s="12" t="str">
        <x:v>47.0</x:v>
      </x:c>
      <x:c r="M216" s="12" t="str">
        <x:v>True</x:v>
      </x:c>
      <x:c r="N216" s="12" t="str">
        <x:v>106</x:v>
      </x:c>
      <x:c r="O216" s="12" t="str">
        <x:v>106</x:v>
      </x:c>
      <x:c r="P216" s="16" t="str">
        <x:v>1.0</x:v>
      </x:c>
      <x:c r="Q216" s="12" t="str">
        <x:v>93</x:v>
      </x:c>
      <x:c r="R216" s="16" t="str">
        <x:v>0.8773584905660378</x:v>
      </x:c>
      <x:c r="S216" s="12" t="str">
        <x:v>0.2</x:v>
      </x:c>
      <x:c r="T216" s="12" t="str">
        <x:v>106</x:v>
      </x:c>
      <x:c r="U216" s="16" t="str">
        <x:v>1.0</x:v>
      </x:c>
      <x:c r="V216" s="18" t="str">
        <x:v>0.30941617488861084</x:v>
      </x:c>
      <x:c r="W216" s="18" t="str">
        <x:v>0.41233663260936737</x:v>
      </x:c>
      <x:c r="X216" s="18" t="str">
        <x:v>0.6680211424827576</x:v>
      </x:c>
      <x:c r="Y216" s="18" t="str">
        <x:v>0.6450116038322449</x:v>
      </x:c>
      <x:c r="Z216" s="18" t="str">
        <x:v>0.960397332906723</x:v>
      </x:c>
      <x:c r="AA216" s="18" t="str">
        <x:v>1.058119535446167</x:v>
      </x:c>
      <x:c r="AB216" s="20" t="str">
        <x:v>109.42669999712962</x:v>
      </x:c>
      <x:c r="AC216" s="12" t="str">
        <x:v>overlays\neutral_015.png</x:v>
      </x:c>
      <x:c r="AD216" s="12" t="str"/>
      <x:c r="AE216" s="12" t="str"/>
      <x:c r="AF216" s="12" t="str">
        <x:v>acceptable</x:v>
      </x:c>
      <x:c r="AG216" s="12" t="n">
        <x:v>1</x:v>
      </x:c>
      <x:c r="AH216" s="12" t="str">
        <x:v>acceptable</x:v>
      </x:c>
      <x:c r="AI216" s="12" t="str">
        <x:v>acceptable</x:v>
      </x:c>
      <x:c r="AJ216" s="12" t="str">
        <x:v>acceptable</x:v>
      </x:c>
      <x:c r="AK216" s="12" t="str">
        <x:v>not_applicable</x:v>
      </x:c>
      <x:c r="AL216" s="12" t="str">
        <x:v>mild</x:v>
      </x:c>
      <x:c r="AM216" s="14" t="str">
        <x:v>Moderate pose, crop, or image degradation causes minor landmark uncertainty; the result remains usable.</x:v>
      </x:c>
    </x:row>
    <x:row r="217" ht="30" customHeight="1">
      <x:c r="A217" s="12" t="str">
        <x:v>neutral_016</x:v>
      </x:c>
      <x:c r="B217" s="12" t="str">
        <x:v>neutral</x:v>
      </x:c>
      <x:c r="C217" s="14" t="str">
        <x:v>neutral/Training_86836016.jpg</x:v>
      </x:c>
      <x:c r="D217" s="12" t="str">
        <x:v>e0ec3fd9f8679ceb30ac16f90702a72bf0c388f5e330b8af2b2506e6bead2a49</x:v>
      </x:c>
      <x:c r="E217" s="12" t="str">
        <x:v>e0ec3fd9f8679ceb30ac16f90702a72bf0c388f5e330b8af2b2506e6bead2a49</x:v>
      </x:c>
      <x:c r="F217" s="12" t="str">
        <x:v>True</x:v>
      </x:c>
      <x:c r="G217" s="12" t="str">
        <x:v>48</x:v>
      </x:c>
      <x:c r="H217" s="12" t="str">
        <x:v>48</x:v>
      </x:c>
      <x:c r="I217" s="12" t="str">
        <x:v>0.0</x:v>
      </x:c>
      <x:c r="J217" s="12" t="str">
        <x:v>0.0</x:v>
      </x:c>
      <x:c r="K217" s="12" t="str">
        <x:v>47.0</x:v>
      </x:c>
      <x:c r="L217" s="12" t="str">
        <x:v>47.0</x:v>
      </x:c>
      <x:c r="M217" s="12" t="str">
        <x:v>True</x:v>
      </x:c>
      <x:c r="N217" s="12" t="str">
        <x:v>106</x:v>
      </x:c>
      <x:c r="O217" s="12" t="str">
        <x:v>106</x:v>
      </x:c>
      <x:c r="P217" s="16" t="str">
        <x:v>1.0</x:v>
      </x:c>
      <x:c r="Q217" s="12" t="str">
        <x:v>91</x:v>
      </x:c>
      <x:c r="R217" s="16" t="str">
        <x:v>0.8584905660377359</x:v>
      </x:c>
      <x:c r="S217" s="12" t="str">
        <x:v>0.2</x:v>
      </x:c>
      <x:c r="T217" s="12" t="str">
        <x:v>106</x:v>
      </x:c>
      <x:c r="U217" s="16" t="str">
        <x:v>1.0</x:v>
      </x:c>
      <x:c r="V217" s="18" t="str">
        <x:v>0.5002233982086182</x:v>
      </x:c>
      <x:c r="W217" s="18" t="str">
        <x:v>0.562455803155899</x:v>
      </x:c>
      <x:c r="X217" s="18" t="str">
        <x:v>0.6998303532600403</x:v>
      </x:c>
      <x:c r="Y217" s="18" t="str">
        <x:v>0.6848334670066833</x:v>
      </x:c>
      <x:c r="Z217" s="18" t="str">
        <x:v>0.8830812573432922</x:v>
      </x:c>
      <x:c r="AA217" s="18" t="str">
        <x:v>0.980829119682312</x:v>
      </x:c>
      <x:c r="AB217" s="20" t="str">
        <x:v>111.8547000005492</x:v>
      </x:c>
      <x:c r="AC217" s="12" t="str">
        <x:v>overlays\neutral_016.png</x:v>
      </x:c>
      <x:c r="AD217" s="12" t="str"/>
      <x:c r="AE217" s="12" t="str"/>
      <x:c r="AF217" s="12" t="str">
        <x:v>acceptable</x:v>
      </x:c>
      <x:c r="AG217" s="12" t="n">
        <x:v>1</x:v>
      </x:c>
      <x:c r="AH217" s="12" t="str">
        <x:v>acceptable</x:v>
      </x:c>
      <x:c r="AI217" s="12" t="str">
        <x:v>acceptable</x:v>
      </x:c>
      <x:c r="AJ217" s="12" t="str">
        <x:v>acceptable</x:v>
      </x:c>
      <x:c r="AK217" s="12" t="str">
        <x:v>not_applicable</x:v>
      </x:c>
      <x:c r="AL217" s="12" t="str">
        <x:v>mild</x:v>
      </x:c>
      <x:c r="AM217" s="14" t="str">
        <x:v>Moderate pose, crop, or image degradation causes minor landmark uncertainty; the result remains usable.</x:v>
      </x:c>
    </x:row>
    <x:row r="218" ht="30" customHeight="1">
      <x:c r="A218" s="12" t="str">
        <x:v>neutral_017</x:v>
      </x:c>
      <x:c r="B218" s="12" t="str">
        <x:v>neutral</x:v>
      </x:c>
      <x:c r="C218" s="14" t="str">
        <x:v>neutral/Training_77226354.jpg</x:v>
      </x:c>
      <x:c r="D218" s="12" t="str">
        <x:v>fc0dd8b5115ed7fc4fbf52c2662409cb439d863d9cfb41d92102510addaa5ae4</x:v>
      </x:c>
      <x:c r="E218" s="12" t="str">
        <x:v>fc0dd8b5115ed7fc4fbf52c2662409cb439d863d9cfb41d92102510addaa5ae4</x:v>
      </x:c>
      <x:c r="F218" s="12" t="str">
        <x:v>True</x:v>
      </x:c>
      <x:c r="G218" s="12" t="str">
        <x:v>48</x:v>
      </x:c>
      <x:c r="H218" s="12" t="str">
        <x:v>48</x:v>
      </x:c>
      <x:c r="I218" s="12" t="str">
        <x:v>0.0</x:v>
      </x:c>
      <x:c r="J218" s="12" t="str">
        <x:v>0.0</x:v>
      </x:c>
      <x:c r="K218" s="12" t="str">
        <x:v>47.0</x:v>
      </x:c>
      <x:c r="L218" s="12" t="str">
        <x:v>47.0</x:v>
      </x:c>
      <x:c r="M218" s="12" t="str">
        <x:v>True</x:v>
      </x:c>
      <x:c r="N218" s="12" t="str">
        <x:v>106</x:v>
      </x:c>
      <x:c r="O218" s="12" t="str">
        <x:v>106</x:v>
      </x:c>
      <x:c r="P218" s="16" t="str">
        <x:v>1.0</x:v>
      </x:c>
      <x:c r="Q218" s="12" t="str">
        <x:v>84</x:v>
      </x:c>
      <x:c r="R218" s="16" t="str">
        <x:v>0.7924528301886793</x:v>
      </x:c>
      <x:c r="S218" s="12" t="str">
        <x:v>0.2</x:v>
      </x:c>
      <x:c r="T218" s="12" t="str">
        <x:v>106</x:v>
      </x:c>
      <x:c r="U218" s="16" t="str">
        <x:v>1.0</x:v>
      </x:c>
      <x:c r="V218" s="18" t="str">
        <x:v>0.2963249683380127</x:v>
      </x:c>
      <x:c r="W218" s="18" t="str">
        <x:v>0.3687705993652344</x:v>
      </x:c>
      <x:c r="X218" s="18" t="str">
        <x:v>0.5851389169692993</x:v>
      </x:c>
      <x:c r="Y218" s="18" t="str">
        <x:v>0.5828894376754761</x:v>
      </x:c>
      <x:c r="Z218" s="18" t="str">
        <x:v>0.8377878069877625</x:v>
      </x:c>
      <x:c r="AA218" s="18" t="str">
        <x:v>0.9258905649185181</x:v>
      </x:c>
      <x:c r="AB218" s="20" t="str">
        <x:v>105.82679999788525</x:v>
      </x:c>
      <x:c r="AC218" s="12" t="str">
        <x:v>overlays\neutral_017.png</x:v>
      </x:c>
      <x:c r="AD218" s="12" t="str"/>
      <x:c r="AE218" s="12" t="str"/>
      <x:c r="AF218" s="12" t="str">
        <x:v>acceptable</x:v>
      </x:c>
      <x:c r="AG218" s="12" t="n">
        <x:v>1</x:v>
      </x:c>
      <x:c r="AH218" s="12" t="str">
        <x:v>acceptable</x:v>
      </x:c>
      <x:c r="AI218" s="12" t="str">
        <x:v>acceptable</x:v>
      </x:c>
      <x:c r="AJ218" s="12" t="str">
        <x:v>acceptable</x:v>
      </x:c>
      <x:c r="AK218" s="12" t="str">
        <x:v>not_applicable</x:v>
      </x:c>
      <x:c r="AL218" s="12" t="str">
        <x:v>mild</x:v>
      </x:c>
      <x:c r="AM218" s="14" t="str">
        <x:v>Tight crop places several contour points outside the frame; central facial landmarks remain usable.</x:v>
      </x:c>
    </x:row>
    <x:row r="219" ht="30" customHeight="1">
      <x:c r="A219" s="12" t="str">
        <x:v>neutral_018</x:v>
      </x:c>
      <x:c r="B219" s="12" t="str">
        <x:v>neutral</x:v>
      </x:c>
      <x:c r="C219" s="14" t="str">
        <x:v>neutral/Training_2691434.jpg</x:v>
      </x:c>
      <x:c r="D219" s="12" t="str">
        <x:v>d5388a86e9e9eb727d196431cca037c382e4591e5027b93970b0c67ded3b24aa</x:v>
      </x:c>
      <x:c r="E219" s="12" t="str">
        <x:v>d5388a86e9e9eb727d196431cca037c382e4591e5027b93970b0c67ded3b24aa</x:v>
      </x:c>
      <x:c r="F219" s="12" t="str">
        <x:v>True</x:v>
      </x:c>
      <x:c r="G219" s="12" t="str">
        <x:v>48</x:v>
      </x:c>
      <x:c r="H219" s="12" t="str">
        <x:v>48</x:v>
      </x:c>
      <x:c r="I219" s="12" t="str">
        <x:v>0.0</x:v>
      </x:c>
      <x:c r="J219" s="12" t="str">
        <x:v>0.0</x:v>
      </x:c>
      <x:c r="K219" s="12" t="str">
        <x:v>47.0</x:v>
      </x:c>
      <x:c r="L219" s="12" t="str">
        <x:v>47.0</x:v>
      </x:c>
      <x:c r="M219" s="12" t="str">
        <x:v>True</x:v>
      </x:c>
      <x:c r="N219" s="12" t="str">
        <x:v>106</x:v>
      </x:c>
      <x:c r="O219" s="12" t="str">
        <x:v>106</x:v>
      </x:c>
      <x:c r="P219" s="16" t="str">
        <x:v>1.0</x:v>
      </x:c>
      <x:c r="Q219" s="12" t="str">
        <x:v>94</x:v>
      </x:c>
      <x:c r="R219" s="16" t="str">
        <x:v>0.8867924528301887</x:v>
      </x:c>
      <x:c r="S219" s="12" t="str">
        <x:v>0.2</x:v>
      </x:c>
      <x:c r="T219" s="12" t="str">
        <x:v>106</x:v>
      </x:c>
      <x:c r="U219" s="16" t="str">
        <x:v>1.0</x:v>
      </x:c>
      <x:c r="V219" s="18" t="str">
        <x:v>0.26641321182250977</x:v>
      </x:c>
      <x:c r="W219" s="18" t="str">
        <x:v>0.4860166907310486</x:v>
      </x:c>
      <x:c r="X219" s="18" t="str">
        <x:v>0.7018342614173889</x:v>
      </x:c>
      <x:c r="Y219" s="18" t="str">
        <x:v>0.6844933032989502</x:v>
      </x:c>
      <x:c r="Z219" s="18" t="str">
        <x:v>0.9697555005550385</x:v>
      </x:c>
      <x:c r="AA219" s="18" t="str">
        <x:v>1.0200464725494385</x:v>
      </x:c>
      <x:c r="AB219" s="20" t="str">
        <x:v>106.08279999723891</x:v>
      </x:c>
      <x:c r="AC219" s="12" t="str">
        <x:v>overlays\neutral_018.png</x:v>
      </x:c>
      <x:c r="AD219" s="12" t="str"/>
      <x:c r="AE219" s="12" t="str"/>
      <x:c r="AF219" s="12" t="str">
        <x:v>good</x:v>
      </x:c>
      <x:c r="AG219" s="12" t="n">
        <x:v>1</x:v>
      </x:c>
      <x:c r="AH219" s="12" t="str">
        <x:v>good</x:v>
      </x:c>
      <x:c r="AI219" s="12" t="str">
        <x:v>good</x:v>
      </x:c>
      <x:c r="AJ219" s="12" t="str">
        <x:v>good</x:v>
      </x:c>
      <x:c r="AK219" s="12" t="str">
        <x:v>not_applicable</x:v>
      </x:c>
      <x:c r="AL219" s="12" t="str">
        <x:v>none</x:v>
      </x:c>
      <x:c r="AM219" s="14" t="str">
        <x:v>Clear and well-aligned facial landmarks with no major pose, crop, or occlusion issue.</x:v>
      </x:c>
    </x:row>
    <x:row r="220" ht="30" customHeight="1">
      <x:c r="A220" s="12" t="str">
        <x:v>neutral_019</x:v>
      </x:c>
      <x:c r="B220" s="12" t="str">
        <x:v>neutral</x:v>
      </x:c>
      <x:c r="C220" s="14" t="str">
        <x:v>neutral/Training_46447165.jpg</x:v>
      </x:c>
      <x:c r="D220" s="12" t="str">
        <x:v>f68c63e5248cd60ca9bf84b87464867802ef76bc7299477f5afa3b3780eee5fa</x:v>
      </x:c>
      <x:c r="E220" s="12" t="str">
        <x:v>f68c63e5248cd60ca9bf84b87464867802ef76bc7299477f5afa3b3780eee5fa</x:v>
      </x:c>
      <x:c r="F220" s="12" t="str">
        <x:v>True</x:v>
      </x:c>
      <x:c r="G220" s="12" t="str">
        <x:v>48</x:v>
      </x:c>
      <x:c r="H220" s="12" t="str">
        <x:v>48</x:v>
      </x:c>
      <x:c r="I220" s="12" t="str">
        <x:v>0.0</x:v>
      </x:c>
      <x:c r="J220" s="12" t="str">
        <x:v>0.0</x:v>
      </x:c>
      <x:c r="K220" s="12" t="str">
        <x:v>47.0</x:v>
      </x:c>
      <x:c r="L220" s="12" t="str">
        <x:v>47.0</x:v>
      </x:c>
      <x:c r="M220" s="12" t="str">
        <x:v>True</x:v>
      </x:c>
      <x:c r="N220" s="12" t="str">
        <x:v>106</x:v>
      </x:c>
      <x:c r="O220" s="12" t="str">
        <x:v>106</x:v>
      </x:c>
      <x:c r="P220" s="16" t="str">
        <x:v>1.0</x:v>
      </x:c>
      <x:c r="Q220" s="12" t="str">
        <x:v>101</x:v>
      </x:c>
      <x:c r="R220" s="16" t="str">
        <x:v>0.9528301886792453</x:v>
      </x:c>
      <x:c r="S220" s="12" t="str">
        <x:v>0.2</x:v>
      </x:c>
      <x:c r="T220" s="12" t="str">
        <x:v>106</x:v>
      </x:c>
      <x:c r="U220" s="16" t="str">
        <x:v>1.0</x:v>
      </x:c>
      <x:c r="V220" s="18" t="str">
        <x:v>0.3491196036338806</x:v>
      </x:c>
      <x:c r="W220" s="18" t="str">
        <x:v>0.4772835969924927</x:v>
      </x:c>
      <x:c r="X220" s="18" t="str">
        <x:v>0.6320846676826477</x:v>
      </x:c>
      <x:c r="Y220" s="18" t="str">
        <x:v>0.645988941192627</x:v>
      </x:c>
      <x:c r="Z220" s="18" t="str">
        <x:v>0.7699836492538452</x:v>
      </x:c>
      <x:c r="AA220" s="18" t="str">
        <x:v>0.8544362783432007</x:v>
      </x:c>
      <x:c r="AB220" s="20" t="str">
        <x:v>107.7527999987069</x:v>
      </x:c>
      <x:c r="AC220" s="12" t="str">
        <x:v>overlays\neutral_019.png</x:v>
      </x:c>
      <x:c r="AD220" s="12" t="str"/>
      <x:c r="AE220" s="12" t="str"/>
      <x:c r="AF220" s="12" t="str">
        <x:v>acceptable</x:v>
      </x:c>
      <x:c r="AG220" s="12" t="n">
        <x:v>1</x:v>
      </x:c>
      <x:c r="AH220" s="12" t="str">
        <x:v>acceptable</x:v>
      </x:c>
      <x:c r="AI220" s="12" t="str">
        <x:v>acceptable</x:v>
      </x:c>
      <x:c r="AJ220" s="12" t="str">
        <x:v>acceptable</x:v>
      </x:c>
      <x:c r="AK220" s="12" t="str">
        <x:v>not_applicable</x:v>
      </x:c>
      <x:c r="AL220" s="12" t="str">
        <x:v>mild</x:v>
      </x:c>
      <x:c r="AM220" s="14" t="str">
        <x:v>Moderate pose, crop, or image degradation causes minor landmark uncertainty; the result remains usable.</x:v>
      </x:c>
    </x:row>
    <x:row r="221" ht="30" customHeight="1">
      <x:c r="A221" s="12" t="str">
        <x:v>neutral_020</x:v>
      </x:c>
      <x:c r="B221" s="12" t="str">
        <x:v>neutral</x:v>
      </x:c>
      <x:c r="C221" s="14" t="str">
        <x:v>neutral/Training_42619196.jpg</x:v>
      </x:c>
      <x:c r="D221" s="12" t="str">
        <x:v>a526261d24a544066c1dce3e9cd4eb99a1438068a2ade825c786f119eaab4e30</x:v>
      </x:c>
      <x:c r="E221" s="12" t="str">
        <x:v>a526261d24a544066c1dce3e9cd4eb99a1438068a2ade825c786f119eaab4e30</x:v>
      </x:c>
      <x:c r="F221" s="12" t="str">
        <x:v>True</x:v>
      </x:c>
      <x:c r="G221" s="12" t="str">
        <x:v>48</x:v>
      </x:c>
      <x:c r="H221" s="12" t="str">
        <x:v>48</x:v>
      </x:c>
      <x:c r="I221" s="12" t="str">
        <x:v>0.0</x:v>
      </x:c>
      <x:c r="J221" s="12" t="str">
        <x:v>0.0</x:v>
      </x:c>
      <x:c r="K221" s="12" t="str">
        <x:v>47.0</x:v>
      </x:c>
      <x:c r="L221" s="12" t="str">
        <x:v>47.0</x:v>
      </x:c>
      <x:c r="M221" s="12" t="str">
        <x:v>True</x:v>
      </x:c>
      <x:c r="N221" s="12" t="str">
        <x:v>106</x:v>
      </x:c>
      <x:c r="O221" s="12" t="str">
        <x:v>106</x:v>
      </x:c>
      <x:c r="P221" s="16" t="str">
        <x:v>1.0</x:v>
      </x:c>
      <x:c r="Q221" s="12" t="str">
        <x:v>106</x:v>
      </x:c>
      <x:c r="R221" s="16" t="str">
        <x:v>1.0</x:v>
      </x:c>
      <x:c r="S221" s="12" t="str">
        <x:v>0.2</x:v>
      </x:c>
      <x:c r="T221" s="12" t="str">
        <x:v>106</x:v>
      </x:c>
      <x:c r="U221" s="16" t="str">
        <x:v>1.0</x:v>
      </x:c>
      <x:c r="V221" s="18" t="str">
        <x:v>0.5277207493782043</x:v>
      </x:c>
      <x:c r="W221" s="18" t="str">
        <x:v>0.5768200159072876</x:v>
      </x:c>
      <x:c r="X221" s="18" t="str">
        <x:v>0.6866772770881653</x:v>
      </x:c>
      <x:c r="Y221" s="18" t="str">
        <x:v>0.6860909461975098</x:v>
      </x:c>
      <x:c r="Z221" s="18" t="str">
        <x:v>0.8045962750911713</x:v>
      </x:c>
      <x:c r="AA221" s="18" t="str">
        <x:v>0.9222414493560791</x:v>
      </x:c>
      <x:c r="AB221" s="20" t="str">
        <x:v>108.86170000230777</x:v>
      </x:c>
      <x:c r="AC221" s="12" t="str">
        <x:v>overlays\neutral_020.png</x:v>
      </x:c>
      <x:c r="AD221" s="12" t="str"/>
      <x:c r="AE221" s="12" t="str"/>
      <x:c r="AF221" s="12" t="str">
        <x:v>acceptable</x:v>
      </x:c>
      <x:c r="AG221" s="12" t="n">
        <x:v>1</x:v>
      </x:c>
      <x:c r="AH221" s="12" t="str">
        <x:v>acceptable</x:v>
      </x:c>
      <x:c r="AI221" s="12" t="str">
        <x:v>acceptable</x:v>
      </x:c>
      <x:c r="AJ221" s="12" t="str">
        <x:v>acceptable</x:v>
      </x:c>
      <x:c r="AK221" s="12" t="str">
        <x:v>not_applicable</x:v>
      </x:c>
      <x:c r="AL221" s="12" t="str">
        <x:v>mild</x:v>
      </x:c>
      <x:c r="AM221" s="14" t="str">
        <x:v>Moderate pose, crop, or image degradation causes minor landmark uncertainty; the result remains usable.</x:v>
      </x:c>
    </x:row>
    <x:row r="222" ht="30" customHeight="1">
      <x:c r="A222" s="12" t="str">
        <x:v>neutral_021</x:v>
      </x:c>
      <x:c r="B222" s="12" t="str">
        <x:v>neutral</x:v>
      </x:c>
      <x:c r="C222" s="14" t="str">
        <x:v>neutral/Training_1894515.jpg</x:v>
      </x:c>
      <x:c r="D222" s="12" t="str">
        <x:v>7db7b8c79e66690bcfe44ac11a94dece2b004ee3bfbb6e29e32275a6c9a99f0b</x:v>
      </x:c>
      <x:c r="E222" s="12" t="str">
        <x:v>7db7b8c79e66690bcfe44ac11a94dece2b004ee3bfbb6e29e32275a6c9a99f0b</x:v>
      </x:c>
      <x:c r="F222" s="12" t="str">
        <x:v>True</x:v>
      </x:c>
      <x:c r="G222" s="12" t="str">
        <x:v>48</x:v>
      </x:c>
      <x:c r="H222" s="12" t="str">
        <x:v>48</x:v>
      </x:c>
      <x:c r="I222" s="12" t="str">
        <x:v>0.0</x:v>
      </x:c>
      <x:c r="J222" s="12" t="str">
        <x:v>0.0</x:v>
      </x:c>
      <x:c r="K222" s="12" t="str">
        <x:v>47.0</x:v>
      </x:c>
      <x:c r="L222" s="12" t="str">
        <x:v>47.0</x:v>
      </x:c>
      <x:c r="M222" s="12" t="str">
        <x:v>True</x:v>
      </x:c>
      <x:c r="N222" s="12" t="str">
        <x:v>106</x:v>
      </x:c>
      <x:c r="O222" s="12" t="str">
        <x:v>106</x:v>
      </x:c>
      <x:c r="P222" s="16" t="str">
        <x:v>1.0</x:v>
      </x:c>
      <x:c r="Q222" s="12" t="str">
        <x:v>106</x:v>
      </x:c>
      <x:c r="R222" s="16" t="str">
        <x:v>1.0</x:v>
      </x:c>
      <x:c r="S222" s="12" t="str">
        <x:v>0.2</x:v>
      </x:c>
      <x:c r="T222" s="12" t="str">
        <x:v>106</x:v>
      </x:c>
      <x:c r="U222" s="16" t="str">
        <x:v>1.0</x:v>
      </x:c>
      <x:c r="V222" s="18" t="str">
        <x:v>0.3459749221801758</x:v>
      </x:c>
      <x:c r="W222" s="18" t="str">
        <x:v>0.42915429174900055</x:v>
      </x:c>
      <x:c r="X222" s="18" t="str">
        <x:v>0.6130374670028687</x:v>
      </x:c>
      <x:c r="Y222" s="18" t="str">
        <x:v>0.6278612613677979</x:v>
      </x:c>
      <x:c r="Z222" s="18" t="str">
        <x:v>0.7956149876117706</x:v>
      </x:c>
      <x:c r="AA222" s="18" t="str">
        <x:v>0.8641223907470703</x:v>
      </x:c>
      <x:c r="AB222" s="20" t="str">
        <x:v>107.65560000072583</x:v>
      </x:c>
      <x:c r="AC222" s="12" t="str">
        <x:v>overlays\neutral_021.png</x:v>
      </x:c>
      <x:c r="AD222" s="12" t="str"/>
      <x:c r="AE222" s="12" t="str"/>
      <x:c r="AF222" s="12" t="str">
        <x:v>acceptable</x:v>
      </x:c>
      <x:c r="AG222" s="12" t="n">
        <x:v>1</x:v>
      </x:c>
      <x:c r="AH222" s="12" t="str">
        <x:v>acceptable</x:v>
      </x:c>
      <x:c r="AI222" s="12" t="str">
        <x:v>acceptable</x:v>
      </x:c>
      <x:c r="AJ222" s="12" t="str">
        <x:v>acceptable</x:v>
      </x:c>
      <x:c r="AK222" s="12" t="str">
        <x:v>not_applicable</x:v>
      </x:c>
      <x:c r="AL222" s="12" t="str">
        <x:v>mild</x:v>
      </x:c>
      <x:c r="AM222" s="14" t="str">
        <x:v>Large pose or profile; visible landmarks are useful, while hidden-side contour points are inferred.</x:v>
      </x:c>
    </x:row>
    <x:row r="223" ht="30" customHeight="1">
      <x:c r="A223" s="12" t="str">
        <x:v>neutral_022</x:v>
      </x:c>
      <x:c r="B223" s="12" t="str">
        <x:v>neutral</x:v>
      </x:c>
      <x:c r="C223" s="14" t="str">
        <x:v>neutral/Training_59677452.jpg</x:v>
      </x:c>
      <x:c r="D223" s="12" t="str">
        <x:v>d7ba25d91c57adf2bceb23cabbd7fd147cb115286c1a6b1742c7781073a93127</x:v>
      </x:c>
      <x:c r="E223" s="12" t="str">
        <x:v>d7ba25d91c57adf2bceb23cabbd7fd147cb115286c1a6b1742c7781073a93127</x:v>
      </x:c>
      <x:c r="F223" s="12" t="str">
        <x:v>True</x:v>
      </x:c>
      <x:c r="G223" s="12" t="str">
        <x:v>48</x:v>
      </x:c>
      <x:c r="H223" s="12" t="str">
        <x:v>48</x:v>
      </x:c>
      <x:c r="I223" s="12" t="str">
        <x:v>0.0</x:v>
      </x:c>
      <x:c r="J223" s="12" t="str">
        <x:v>0.0</x:v>
      </x:c>
      <x:c r="K223" s="12" t="str">
        <x:v>47.0</x:v>
      </x:c>
      <x:c r="L223" s="12" t="str">
        <x:v>47.0</x:v>
      </x:c>
      <x:c r="M223" s="12" t="str">
        <x:v>True</x:v>
      </x:c>
      <x:c r="N223" s="12" t="str">
        <x:v>106</x:v>
      </x:c>
      <x:c r="O223" s="12" t="str">
        <x:v>106</x:v>
      </x:c>
      <x:c r="P223" s="16" t="str">
        <x:v>1.0</x:v>
      </x:c>
      <x:c r="Q223" s="12" t="str">
        <x:v>93</x:v>
      </x:c>
      <x:c r="R223" s="16" t="str">
        <x:v>0.8773584905660378</x:v>
      </x:c>
      <x:c r="S223" s="12" t="str">
        <x:v>0.2</x:v>
      </x:c>
      <x:c r="T223" s="12" t="str">
        <x:v>106</x:v>
      </x:c>
      <x:c r="U223" s="16" t="str">
        <x:v>1.0</x:v>
      </x:c>
      <x:c r="V223" s="18" t="str">
        <x:v>0.3178274631500244</x:v>
      </x:c>
      <x:c r="W223" s="18" t="str">
        <x:v>0.3886815458536148</x:v>
      </x:c>
      <x:c r="X223" s="18" t="str">
        <x:v>0.6665244102478027</x:v>
      </x:c>
      <x:c r="Y223" s="18" t="str">
        <x:v>0.6490815877914429</x:v>
      </x:c>
      <x:c r="Z223" s="18" t="str">
        <x:v>0.9623820185661316</x:v>
      </x:c>
      <x:c r="AA223" s="18" t="str">
        <x:v>1.0467365980148315</x:v>
      </x:c>
      <x:c r="AB223" s="20" t="str">
        <x:v>105.13540000101784</x:v>
      </x:c>
      <x:c r="AC223" s="12" t="str">
        <x:v>overlays\neutral_022.png</x:v>
      </x:c>
      <x:c r="AD223" s="12" t="str"/>
      <x:c r="AE223" s="12" t="str"/>
      <x:c r="AF223" s="12" t="str">
        <x:v>acceptable</x:v>
      </x:c>
      <x:c r="AG223" s="12" t="n">
        <x:v>1</x:v>
      </x:c>
      <x:c r="AH223" s="12" t="str">
        <x:v>acceptable</x:v>
      </x:c>
      <x:c r="AI223" s="12" t="str">
        <x:v>acceptable</x:v>
      </x:c>
      <x:c r="AJ223" s="12" t="str">
        <x:v>acceptable</x:v>
      </x:c>
      <x:c r="AK223" s="12" t="str">
        <x:v>not_applicable</x:v>
      </x:c>
      <x:c r="AL223" s="12" t="str">
        <x:v>mild</x:v>
      </x:c>
      <x:c r="AM223" s="14" t="str">
        <x:v>Moderate pose, crop, or image degradation causes minor landmark uncertainty; the result remains usable.</x:v>
      </x:c>
    </x:row>
    <x:row r="224" ht="30" customHeight="1">
      <x:c r="A224" s="12" t="str">
        <x:v>neutral_023</x:v>
      </x:c>
      <x:c r="B224" s="12" t="str">
        <x:v>neutral</x:v>
      </x:c>
      <x:c r="C224" s="14" t="str">
        <x:v>neutral/Training_13130856.jpg</x:v>
      </x:c>
      <x:c r="D224" s="12" t="str">
        <x:v>091cafb4f6ab9f46508ff1ef11f0eb0cf29aea525de5a6a7572629703f8fbeb1</x:v>
      </x:c>
      <x:c r="E224" s="12" t="str">
        <x:v>091cafb4f6ab9f46508ff1ef11f0eb0cf29aea525de5a6a7572629703f8fbeb1</x:v>
      </x:c>
      <x:c r="F224" s="12" t="str">
        <x:v>True</x:v>
      </x:c>
      <x:c r="G224" s="12" t="str">
        <x:v>48</x:v>
      </x:c>
      <x:c r="H224" s="12" t="str">
        <x:v>48</x:v>
      </x:c>
      <x:c r="I224" s="12" t="str">
        <x:v>0.0</x:v>
      </x:c>
      <x:c r="J224" s="12" t="str">
        <x:v>0.0</x:v>
      </x:c>
      <x:c r="K224" s="12" t="str">
        <x:v>47.0</x:v>
      </x:c>
      <x:c r="L224" s="12" t="str">
        <x:v>47.0</x:v>
      </x:c>
      <x:c r="M224" s="12" t="str">
        <x:v>True</x:v>
      </x:c>
      <x:c r="N224" s="12" t="str">
        <x:v>106</x:v>
      </x:c>
      <x:c r="O224" s="12" t="str">
        <x:v>106</x:v>
      </x:c>
      <x:c r="P224" s="16" t="str">
        <x:v>1.0</x:v>
      </x:c>
      <x:c r="Q224" s="12" t="str">
        <x:v>98</x:v>
      </x:c>
      <x:c r="R224" s="16" t="str">
        <x:v>0.9245283018867925</x:v>
      </x:c>
      <x:c r="S224" s="12" t="str">
        <x:v>0.2</x:v>
      </x:c>
      <x:c r="T224" s="12" t="str">
        <x:v>106</x:v>
      </x:c>
      <x:c r="U224" s="16" t="str">
        <x:v>1.0</x:v>
      </x:c>
      <x:c r="V224" s="18" t="str">
        <x:v>0.37996363639831543</x:v>
      </x:c>
      <x:c r="W224" s="18" t="str">
        <x:v>0.49834802746772766</x:v>
      </x:c>
      <x:c r="X224" s="18" t="str">
        <x:v>0.6749475598335266</x:v>
      </x:c>
      <x:c r="Y224" s="18" t="str">
        <x:v>0.6438720226287842</x:v>
      </x:c>
      <x:c r="Z224" s="18" t="str">
        <x:v>0.9510989785194397</x:v>
      </x:c>
      <x:c r="AA224" s="18" t="str">
        <x:v>1.036434531211853</x:v>
      </x:c>
      <x:c r="AB224" s="20" t="str">
        <x:v>111.07450000054087</x:v>
      </x:c>
      <x:c r="AC224" s="12" t="str">
        <x:v>overlays\neutral_023.png</x:v>
      </x:c>
      <x:c r="AD224" s="12" t="str"/>
      <x:c r="AE224" s="12" t="str"/>
      <x:c r="AF224" s="12" t="str">
        <x:v>good</x:v>
      </x:c>
      <x:c r="AG224" s="12" t="n">
        <x:v>1</x:v>
      </x:c>
      <x:c r="AH224" s="12" t="str">
        <x:v>good</x:v>
      </x:c>
      <x:c r="AI224" s="12" t="str">
        <x:v>good</x:v>
      </x:c>
      <x:c r="AJ224" s="12" t="str">
        <x:v>good</x:v>
      </x:c>
      <x:c r="AK224" s="12" t="str">
        <x:v>good</x:v>
      </x:c>
      <x:c r="AL224" s="12" t="str">
        <x:v>none</x:v>
      </x:c>
      <x:c r="AM224" s="14" t="str">
        <x:v>Clear and well-aligned facial landmarks with no major pose, crop, or occlusion issue.</x:v>
      </x:c>
    </x:row>
    <x:row r="225" ht="30" customHeight="1">
      <x:c r="A225" s="12" t="str">
        <x:v>neutral_024</x:v>
      </x:c>
      <x:c r="B225" s="12" t="str">
        <x:v>neutral</x:v>
      </x:c>
      <x:c r="C225" s="14" t="str">
        <x:v>neutral/Training_97267200.jpg</x:v>
      </x:c>
      <x:c r="D225" s="12" t="str">
        <x:v>58a46d895228f08f6e4772becbc2913b6d904f6acb69774e449d107e285d735b</x:v>
      </x:c>
      <x:c r="E225" s="12" t="str">
        <x:v>58a46d895228f08f6e4772becbc2913b6d904f6acb69774e449d107e285d735b</x:v>
      </x:c>
      <x:c r="F225" s="12" t="str">
        <x:v>True</x:v>
      </x:c>
      <x:c r="G225" s="12" t="str">
        <x:v>48</x:v>
      </x:c>
      <x:c r="H225" s="12" t="str">
        <x:v>48</x:v>
      </x:c>
      <x:c r="I225" s="12" t="str">
        <x:v>0.0</x:v>
      </x:c>
      <x:c r="J225" s="12" t="str">
        <x:v>0.0</x:v>
      </x:c>
      <x:c r="K225" s="12" t="str">
        <x:v>47.0</x:v>
      </x:c>
      <x:c r="L225" s="12" t="str">
        <x:v>47.0</x:v>
      </x:c>
      <x:c r="M225" s="12" t="str">
        <x:v>True</x:v>
      </x:c>
      <x:c r="N225" s="12" t="str">
        <x:v>106</x:v>
      </x:c>
      <x:c r="O225" s="12" t="str">
        <x:v>106</x:v>
      </x:c>
      <x:c r="P225" s="16" t="str">
        <x:v>1.0</x:v>
      </x:c>
      <x:c r="Q225" s="12" t="str">
        <x:v>101</x:v>
      </x:c>
      <x:c r="R225" s="16" t="str">
        <x:v>0.9528301886792453</x:v>
      </x:c>
      <x:c r="S225" s="12" t="str">
        <x:v>0.2</x:v>
      </x:c>
      <x:c r="T225" s="12" t="str">
        <x:v>106</x:v>
      </x:c>
      <x:c r="U225" s="16" t="str">
        <x:v>1.0</x:v>
      </x:c>
      <x:c r="V225" s="18" t="str">
        <x:v>0.5491732358932495</x:v>
      </x:c>
      <x:c r="W225" s="18" t="str">
        <x:v>0.6033177971839905</x:v>
      </x:c>
      <x:c r="X225" s="18" t="str">
        <x:v>0.7318598031997681</x:v>
      </x:c>
      <x:c r="Y225" s="18" t="str">
        <x:v>0.7237340211868286</x:v>
      </x:c>
      <x:c r="Z225" s="18" t="str">
        <x:v>0.912322074174881</x:v>
      </x:c>
      <x:c r="AA225" s="18" t="str">
        <x:v>1.0240479707717896</x:v>
      </x:c>
      <x:c r="AB225" s="20" t="str">
        <x:v>106.04410000087228</x:v>
      </x:c>
      <x:c r="AC225" s="12" t="str">
        <x:v>overlays\neutral_024.png</x:v>
      </x:c>
      <x:c r="AD225" s="12" t="str"/>
      <x:c r="AE225" s="12" t="str"/>
      <x:c r="AF225" s="12" t="str">
        <x:v>acceptable</x:v>
      </x:c>
      <x:c r="AG225" s="12" t="n">
        <x:v>1</x:v>
      </x:c>
      <x:c r="AH225" s="12" t="str">
        <x:v>acceptable</x:v>
      </x:c>
      <x:c r="AI225" s="12" t="str">
        <x:v>acceptable</x:v>
      </x:c>
      <x:c r="AJ225" s="12" t="str">
        <x:v>acceptable</x:v>
      </x:c>
      <x:c r="AK225" s="12" t="str">
        <x:v>not_applicable</x:v>
      </x:c>
      <x:c r="AL225" s="12" t="str">
        <x:v>mild</x:v>
      </x:c>
      <x:c r="AM225" s="14" t="str">
        <x:v>Large pose or profile; visible landmarks are useful, while hidden-side contour points are inferred.</x:v>
      </x:c>
    </x:row>
    <x:row r="226" ht="30" customHeight="1">
      <x:c r="A226" s="12" t="str">
        <x:v>neutral_025</x:v>
      </x:c>
      <x:c r="B226" s="12" t="str">
        <x:v>neutral</x:v>
      </x:c>
      <x:c r="C226" s="14" t="str">
        <x:v>neutral/Training_9220409.jpg</x:v>
      </x:c>
      <x:c r="D226" s="12" t="str">
        <x:v>8a79dd3f714dd484efc7def177e498714d8d2b92f1fc5cead3736671b33f3d83</x:v>
      </x:c>
      <x:c r="E226" s="12" t="str">
        <x:v>8a79dd3f714dd484efc7def177e498714d8d2b92f1fc5cead3736671b33f3d83</x:v>
      </x:c>
      <x:c r="F226" s="12" t="str">
        <x:v>True</x:v>
      </x:c>
      <x:c r="G226" s="12" t="str">
        <x:v>48</x:v>
      </x:c>
      <x:c r="H226" s="12" t="str">
        <x:v>48</x:v>
      </x:c>
      <x:c r="I226" s="12" t="str">
        <x:v>0.0</x:v>
      </x:c>
      <x:c r="J226" s="12" t="str">
        <x:v>0.0</x:v>
      </x:c>
      <x:c r="K226" s="12" t="str">
        <x:v>47.0</x:v>
      </x:c>
      <x:c r="L226" s="12" t="str">
        <x:v>47.0</x:v>
      </x:c>
      <x:c r="M226" s="12" t="str">
        <x:v>True</x:v>
      </x:c>
      <x:c r="N226" s="12" t="str">
        <x:v>106</x:v>
      </x:c>
      <x:c r="O226" s="12" t="str">
        <x:v>106</x:v>
      </x:c>
      <x:c r="P226" s="16" t="str">
        <x:v>1.0</x:v>
      </x:c>
      <x:c r="Q226" s="12" t="str">
        <x:v>100</x:v>
      </x:c>
      <x:c r="R226" s="16" t="str">
        <x:v>0.9433962264150944</x:v>
      </x:c>
      <x:c r="S226" s="12" t="str">
        <x:v>0.2</x:v>
      </x:c>
      <x:c r="T226" s="12" t="str">
        <x:v>106</x:v>
      </x:c>
      <x:c r="U226" s="16" t="str">
        <x:v>1.0</x:v>
      </x:c>
      <x:c r="V226" s="18" t="str">
        <x:v>0.5852282047271729</x:v>
      </x:c>
      <x:c r="W226" s="18" t="str">
        <x:v>0.6520618796348572</x:v>
      </x:c>
      <x:c r="X226" s="18" t="str">
        <x:v>0.7605370283126831</x:v>
      </x:c>
      <x:c r="Y226" s="18" t="str">
        <x:v>0.7584628462791443</x:v>
      </x:c>
      <x:c r="Z226" s="18" t="str">
        <x:v>0.8889433145523071</x:v>
      </x:c>
      <x:c r="AA226" s="18" t="str">
        <x:v>1.0274760723114014</x:v>
      </x:c>
      <x:c r="AB226" s="20" t="str">
        <x:v>107.4380000027304</x:v>
      </x:c>
      <x:c r="AC226" s="12" t="str">
        <x:v>overlays\neutral_025.png</x:v>
      </x:c>
      <x:c r="AD226" s="12" t="str"/>
      <x:c r="AE226" s="12" t="str"/>
      <x:c r="AF226" s="12" t="str">
        <x:v>acceptable</x:v>
      </x:c>
      <x:c r="AG226" s="12" t="n">
        <x:v>1</x:v>
      </x:c>
      <x:c r="AH226" s="12" t="str">
        <x:v>occluded</x:v>
      </x:c>
      <x:c r="AI226" s="12" t="str">
        <x:v>occluded</x:v>
      </x:c>
      <x:c r="AJ226" s="12" t="str">
        <x:v>occluded</x:v>
      </x:c>
      <x:c r="AK226" s="12" t="str">
        <x:v>not_applicable</x:v>
      </x:c>
      <x:c r="AL226" s="12" t="str">
        <x:v>mild</x:v>
      </x:c>
      <x:c r="AM226" s="14" t="str">
        <x:v>Occlusion affects part of the face; visible landmarks remain usable, but hidden points are inferred.</x:v>
      </x:c>
    </x:row>
    <x:row r="227" ht="30" customHeight="1">
      <x:c r="A227" s="12" t="str">
        <x:v>neutral_026</x:v>
      </x:c>
      <x:c r="B227" s="12" t="str">
        <x:v>neutral</x:v>
      </x:c>
      <x:c r="C227" s="14" t="str">
        <x:v>neutral/Training_43673644.jpg</x:v>
      </x:c>
      <x:c r="D227" s="12" t="str">
        <x:v>671d9a4fafee64ad10bf9beefb6386a42c96d4adb8504fef2ca97982163861d9</x:v>
      </x:c>
      <x:c r="E227" s="12" t="str">
        <x:v>671d9a4fafee64ad10bf9beefb6386a42c96d4adb8504fef2ca97982163861d9</x:v>
      </x:c>
      <x:c r="F227" s="12" t="str">
        <x:v>True</x:v>
      </x:c>
      <x:c r="G227" s="12" t="str">
        <x:v>48</x:v>
      </x:c>
      <x:c r="H227" s="12" t="str">
        <x:v>48</x:v>
      </x:c>
      <x:c r="I227" s="12" t="str">
        <x:v>0.0</x:v>
      </x:c>
      <x:c r="J227" s="12" t="str">
        <x:v>0.0</x:v>
      </x:c>
      <x:c r="K227" s="12" t="str">
        <x:v>47.0</x:v>
      </x:c>
      <x:c r="L227" s="12" t="str">
        <x:v>47.0</x:v>
      </x:c>
      <x:c r="M227" s="12" t="str">
        <x:v>True</x:v>
      </x:c>
      <x:c r="N227" s="12" t="str">
        <x:v>106</x:v>
      </x:c>
      <x:c r="O227" s="12" t="str">
        <x:v>106</x:v>
      </x:c>
      <x:c r="P227" s="16" t="str">
        <x:v>1.0</x:v>
      </x:c>
      <x:c r="Q227" s="12" t="str">
        <x:v>106</x:v>
      </x:c>
      <x:c r="R227" s="16" t="str">
        <x:v>1.0</x:v>
      </x:c>
      <x:c r="S227" s="12" t="str">
        <x:v>0.2</x:v>
      </x:c>
      <x:c r="T227" s="12" t="str">
        <x:v>106</x:v>
      </x:c>
      <x:c r="U227" s="16" t="str">
        <x:v>1.0</x:v>
      </x:c>
      <x:c r="V227" s="18" t="str">
        <x:v>0.2938358783721924</x:v>
      </x:c>
      <x:c r="W227" s="18" t="str">
        <x:v>0.3857647329568863</x:v>
      </x:c>
      <x:c r="X227" s="18" t="str">
        <x:v>0.6057392954826355</x:v>
      </x:c>
      <x:c r="Y227" s="18" t="str">
        <x:v>0.601415753364563</x:v>
      </x:c>
      <x:c r="Z227" s="18" t="str">
        <x:v>0.7848543226718903</x:v>
      </x:c>
      <x:c r="AA227" s="18" t="str">
        <x:v>0.9219377636909485</x:v>
      </x:c>
      <x:c r="AB227" s="20" t="str">
        <x:v>110.29670000061742</x:v>
      </x:c>
      <x:c r="AC227" s="12" t="str">
        <x:v>overlays\neutral_026.png</x:v>
      </x:c>
      <x:c r="AD227" s="12" t="str"/>
      <x:c r="AE227" s="12" t="str"/>
      <x:c r="AF227" s="12" t="str">
        <x:v>acceptable</x:v>
      </x:c>
      <x:c r="AG227" s="12" t="n">
        <x:v>1</x:v>
      </x:c>
      <x:c r="AH227" s="12" t="str">
        <x:v>acceptable</x:v>
      </x:c>
      <x:c r="AI227" s="12" t="str">
        <x:v>acceptable</x:v>
      </x:c>
      <x:c r="AJ227" s="12" t="str">
        <x:v>acceptable</x:v>
      </x:c>
      <x:c r="AK227" s="12" t="str">
        <x:v>not_applicable</x:v>
      </x:c>
      <x:c r="AL227" s="12" t="str">
        <x:v>mild</x:v>
      </x:c>
      <x:c r="AM227" s="14" t="str">
        <x:v>Large pose or profile; visible landmarks are useful, while hidden-side contour points are inferred.</x:v>
      </x:c>
    </x:row>
    <x:row r="228" ht="30" customHeight="1">
      <x:c r="A228" s="12" t="str">
        <x:v>neutral_027</x:v>
      </x:c>
      <x:c r="B228" s="12" t="str">
        <x:v>neutral</x:v>
      </x:c>
      <x:c r="C228" s="14" t="str">
        <x:v>neutral/Training_97270054.jpg</x:v>
      </x:c>
      <x:c r="D228" s="12" t="str">
        <x:v>5661345c581d9336fb44aba569158d41fcd2ce24a7507c983c92bcb0c0e00ab8</x:v>
      </x:c>
      <x:c r="E228" s="12" t="str">
        <x:v>5661345c581d9336fb44aba569158d41fcd2ce24a7507c983c92bcb0c0e00ab8</x:v>
      </x:c>
      <x:c r="F228" s="12" t="str">
        <x:v>True</x:v>
      </x:c>
      <x:c r="G228" s="12" t="str">
        <x:v>48</x:v>
      </x:c>
      <x:c r="H228" s="12" t="str">
        <x:v>48</x:v>
      </x:c>
      <x:c r="I228" s="12" t="str">
        <x:v>0.0</x:v>
      </x:c>
      <x:c r="J228" s="12" t="str">
        <x:v>0.0</x:v>
      </x:c>
      <x:c r="K228" s="12" t="str">
        <x:v>47.0</x:v>
      </x:c>
      <x:c r="L228" s="12" t="str">
        <x:v>47.0</x:v>
      </x:c>
      <x:c r="M228" s="12" t="str">
        <x:v>True</x:v>
      </x:c>
      <x:c r="N228" s="12" t="str">
        <x:v>106</x:v>
      </x:c>
      <x:c r="O228" s="12" t="str">
        <x:v>106</x:v>
      </x:c>
      <x:c r="P228" s="16" t="str">
        <x:v>1.0</x:v>
      </x:c>
      <x:c r="Q228" s="12" t="str">
        <x:v>106</x:v>
      </x:c>
      <x:c r="R228" s="16" t="str">
        <x:v>1.0</x:v>
      </x:c>
      <x:c r="S228" s="12" t="str">
        <x:v>0.2</x:v>
      </x:c>
      <x:c r="T228" s="12" t="str">
        <x:v>106</x:v>
      </x:c>
      <x:c r="U228" s="16" t="str">
        <x:v>1.0</x:v>
      </x:c>
      <x:c r="V228" s="18" t="str">
        <x:v>0.45989131927490234</x:v>
      </x:c>
      <x:c r="W228" s="18" t="str">
        <x:v>0.575919508934021</x:v>
      </x:c>
      <x:c r="X228" s="18" t="str">
        <x:v>0.7369349002838135</x:v>
      </x:c>
      <x:c r="Y228" s="18" t="str">
        <x:v>0.7207880616188049</x:v>
      </x:c>
      <x:c r="Z228" s="18" t="str">
        <x:v>0.9462883770465851</x:v>
      </x:c>
      <x:c r="AA228" s="18" t="str">
        <x:v>1.0009700059890747</x:v>
      </x:c>
      <x:c r="AB228" s="20" t="str">
        <x:v>113.32700000275509</x:v>
      </x:c>
      <x:c r="AC228" s="12" t="str">
        <x:v>overlays\neutral_027.png</x:v>
      </x:c>
      <x:c r="AD228" s="12" t="str"/>
      <x:c r="AE228" s="12" t="str"/>
      <x:c r="AF228" s="12" t="str">
        <x:v>acceptable</x:v>
      </x:c>
      <x:c r="AG228" s="12" t="n">
        <x:v>1</x:v>
      </x:c>
      <x:c r="AH228" s="12" t="str">
        <x:v>acceptable</x:v>
      </x:c>
      <x:c r="AI228" s="12" t="str">
        <x:v>acceptable</x:v>
      </x:c>
      <x:c r="AJ228" s="12" t="str">
        <x:v>acceptable</x:v>
      </x:c>
      <x:c r="AK228" s="12" t="str">
        <x:v>not_applicable</x:v>
      </x:c>
      <x:c r="AL228" s="12" t="str">
        <x:v>mild</x:v>
      </x:c>
      <x:c r="AM228" s="14" t="str">
        <x:v>Moderate pose, crop, or image degradation causes minor landmark uncertainty; the result remains usable.</x:v>
      </x:c>
    </x:row>
    <x:row r="229" ht="30" customHeight="1">
      <x:c r="A229" s="12" t="str">
        <x:v>neutral_028</x:v>
      </x:c>
      <x:c r="B229" s="12" t="str">
        <x:v>neutral</x:v>
      </x:c>
      <x:c r="C229" s="14" t="str">
        <x:v>neutral/Training_41999489.jpg</x:v>
      </x:c>
      <x:c r="D229" s="12" t="str">
        <x:v>172e78bdc9a9ab5ebe4fd27c65b9b28bd074c18ae544e30b494b47e68c855c4d</x:v>
      </x:c>
      <x:c r="E229" s="12" t="str">
        <x:v>172e78bdc9a9ab5ebe4fd27c65b9b28bd074c18ae544e30b494b47e68c855c4d</x:v>
      </x:c>
      <x:c r="F229" s="12" t="str">
        <x:v>True</x:v>
      </x:c>
      <x:c r="G229" s="12" t="str">
        <x:v>48</x:v>
      </x:c>
      <x:c r="H229" s="12" t="str">
        <x:v>48</x:v>
      </x:c>
      <x:c r="I229" s="12" t="str">
        <x:v>0.0</x:v>
      </x:c>
      <x:c r="J229" s="12" t="str">
        <x:v>0.0</x:v>
      </x:c>
      <x:c r="K229" s="12" t="str">
        <x:v>47.0</x:v>
      </x:c>
      <x:c r="L229" s="12" t="str">
        <x:v>47.0</x:v>
      </x:c>
      <x:c r="M229" s="12" t="str">
        <x:v>True</x:v>
      </x:c>
      <x:c r="N229" s="12" t="str">
        <x:v>106</x:v>
      </x:c>
      <x:c r="O229" s="12" t="str">
        <x:v>106</x:v>
      </x:c>
      <x:c r="P229" s="16" t="str">
        <x:v>1.0</x:v>
      </x:c>
      <x:c r="Q229" s="12" t="str">
        <x:v>101</x:v>
      </x:c>
      <x:c r="R229" s="16" t="str">
        <x:v>0.9528301886792453</x:v>
      </x:c>
      <x:c r="S229" s="12" t="str">
        <x:v>0.2</x:v>
      </x:c>
      <x:c r="T229" s="12" t="str">
        <x:v>106</x:v>
      </x:c>
      <x:c r="U229" s="16" t="str">
        <x:v>1.0</x:v>
      </x:c>
      <x:c r="V229" s="18" t="str">
        <x:v>0.5056040287017822</x:v>
      </x:c>
      <x:c r="W229" s="18" t="str">
        <x:v>0.5486617088317871</x:v>
      </x:c>
      <x:c r="X229" s="18" t="str">
        <x:v>0.7165583372116089</x:v>
      </x:c>
      <x:c r="Y229" s="18" t="str">
        <x:v>0.7165021896362305</x:v>
      </x:c>
      <x:c r="Z229" s="18" t="str">
        <x:v>0.8889912962913513</x:v>
      </x:c>
      <x:c r="AA229" s="18" t="str">
        <x:v>0.928892970085144</x:v>
      </x:c>
      <x:c r="AB229" s="20" t="str">
        <x:v>121.20660000073258</x:v>
      </x:c>
      <x:c r="AC229" s="12" t="str">
        <x:v>overlays\neutral_028.png</x:v>
      </x:c>
      <x:c r="AD229" s="12" t="str"/>
      <x:c r="AE229" s="12" t="str"/>
      <x:c r="AF229" s="12" t="str">
        <x:v>acceptable</x:v>
      </x:c>
      <x:c r="AG229" s="12" t="n">
        <x:v>1</x:v>
      </x:c>
      <x:c r="AH229" s="12" t="str">
        <x:v>acceptable</x:v>
      </x:c>
      <x:c r="AI229" s="12" t="str">
        <x:v>acceptable</x:v>
      </x:c>
      <x:c r="AJ229" s="12" t="str">
        <x:v>acceptable</x:v>
      </x:c>
      <x:c r="AK229" s="12" t="str">
        <x:v>not_applicable</x:v>
      </x:c>
      <x:c r="AL229" s="12" t="str">
        <x:v>mild</x:v>
      </x:c>
      <x:c r="AM229" s="14" t="str">
        <x:v>Large pose or profile; visible landmarks are useful, while hidden-side contour points are inferred.</x:v>
      </x:c>
    </x:row>
    <x:row r="230" ht="30" customHeight="1">
      <x:c r="A230" s="12" t="str">
        <x:v>neutral_029</x:v>
      </x:c>
      <x:c r="B230" s="12" t="str">
        <x:v>neutral</x:v>
      </x:c>
      <x:c r="C230" s="14" t="str">
        <x:v>neutral/Training_11078984.jpg</x:v>
      </x:c>
      <x:c r="D230" s="12" t="str">
        <x:v>e0d18c2dbe815c74e5c7a17ac22a0e5ff7b63c8270d2939d64ef9640af960d87</x:v>
      </x:c>
      <x:c r="E230" s="12" t="str">
        <x:v>e0d18c2dbe815c74e5c7a17ac22a0e5ff7b63c8270d2939d64ef9640af960d87</x:v>
      </x:c>
      <x:c r="F230" s="12" t="str">
        <x:v>True</x:v>
      </x:c>
      <x:c r="G230" s="12" t="str">
        <x:v>48</x:v>
      </x:c>
      <x:c r="H230" s="12" t="str">
        <x:v>48</x:v>
      </x:c>
      <x:c r="I230" s="12" t="str">
        <x:v>0.0</x:v>
      </x:c>
      <x:c r="J230" s="12" t="str">
        <x:v>0.0</x:v>
      </x:c>
      <x:c r="K230" s="12" t="str">
        <x:v>47.0</x:v>
      </x:c>
      <x:c r="L230" s="12" t="str">
        <x:v>47.0</x:v>
      </x:c>
      <x:c r="M230" s="12" t="str">
        <x:v>True</x:v>
      </x:c>
      <x:c r="N230" s="12" t="str">
        <x:v>106</x:v>
      </x:c>
      <x:c r="O230" s="12" t="str">
        <x:v>106</x:v>
      </x:c>
      <x:c r="P230" s="16" t="str">
        <x:v>1.0</x:v>
      </x:c>
      <x:c r="Q230" s="12" t="str">
        <x:v>106</x:v>
      </x:c>
      <x:c r="R230" s="16" t="str">
        <x:v>1.0</x:v>
      </x:c>
      <x:c r="S230" s="12" t="str">
        <x:v>0.2</x:v>
      </x:c>
      <x:c r="T230" s="12" t="str">
        <x:v>106</x:v>
      </x:c>
      <x:c r="U230" s="16" t="str">
        <x:v>1.0</x:v>
      </x:c>
      <x:c r="V230" s="18" t="str">
        <x:v>0.5086928009986877</x:v>
      </x:c>
      <x:c r="W230" s="18" t="str">
        <x:v>0.5703234374523163</x:v>
      </x:c>
      <x:c r="X230" s="18" t="str">
        <x:v>0.7426980137825012</x:v>
      </x:c>
      <x:c r="Y230" s="18" t="str">
        <x:v>0.7494020462036133</x:v>
      </x:c>
      <x:c r="Z230" s="18" t="str">
        <x:v>0.8806758522987366</x:v>
      </x:c>
      <x:c r="AA230" s="18" t="str">
        <x:v>0.9787248969078064</x:v>
      </x:c>
      <x:c r="AB230" s="20" t="str">
        <x:v>106.98300000149175</x:v>
      </x:c>
      <x:c r="AC230" s="12" t="str">
        <x:v>overlays\neutral_029.png</x:v>
      </x:c>
      <x:c r="AD230" s="12" t="str"/>
      <x:c r="AE230" s="12" t="str"/>
      <x:c r="AF230" s="12" t="str">
        <x:v>acceptable</x:v>
      </x:c>
      <x:c r="AG230" s="12" t="n">
        <x:v>1</x:v>
      </x:c>
      <x:c r="AH230" s="12" t="str">
        <x:v>acceptable</x:v>
      </x:c>
      <x:c r="AI230" s="12" t="str">
        <x:v>acceptable</x:v>
      </x:c>
      <x:c r="AJ230" s="12" t="str">
        <x:v>acceptable</x:v>
      </x:c>
      <x:c r="AK230" s="12" t="str">
        <x:v>not_applicable</x:v>
      </x:c>
      <x:c r="AL230" s="12" t="str">
        <x:v>mild</x:v>
      </x:c>
      <x:c r="AM230" s="14" t="str">
        <x:v>Large pose or profile; visible landmarks are useful, while hidden-side contour points are inferred.</x:v>
      </x:c>
    </x:row>
    <x:row r="231" ht="30" customHeight="1">
      <x:c r="A231" s="12" t="str">
        <x:v>neutral_030</x:v>
      </x:c>
      <x:c r="B231" s="12" t="str">
        <x:v>neutral</x:v>
      </x:c>
      <x:c r="C231" s="14" t="str">
        <x:v>neutral/Training_19876280.jpg</x:v>
      </x:c>
      <x:c r="D231" s="12" t="str">
        <x:v>22b59e53932eea26ad8cf54fec8c5697d9bf428e93d39a19474949880a954b8f</x:v>
      </x:c>
      <x:c r="E231" s="12" t="str">
        <x:v>22b59e53932eea26ad8cf54fec8c5697d9bf428e93d39a19474949880a954b8f</x:v>
      </x:c>
      <x:c r="F231" s="12" t="str">
        <x:v>True</x:v>
      </x:c>
      <x:c r="G231" s="12" t="str">
        <x:v>48</x:v>
      </x:c>
      <x:c r="H231" s="12" t="str">
        <x:v>48</x:v>
      </x:c>
      <x:c r="I231" s="12" t="str">
        <x:v>0.0</x:v>
      </x:c>
      <x:c r="J231" s="12" t="str">
        <x:v>0.0</x:v>
      </x:c>
      <x:c r="K231" s="12" t="str">
        <x:v>47.0</x:v>
      </x:c>
      <x:c r="L231" s="12" t="str">
        <x:v>47.0</x:v>
      </x:c>
      <x:c r="M231" s="12" t="str">
        <x:v>True</x:v>
      </x:c>
      <x:c r="N231" s="12" t="str">
        <x:v>106</x:v>
      </x:c>
      <x:c r="O231" s="12" t="str">
        <x:v>106</x:v>
      </x:c>
      <x:c r="P231" s="16" t="str">
        <x:v>1.0</x:v>
      </x:c>
      <x:c r="Q231" s="12" t="str">
        <x:v>99</x:v>
      </x:c>
      <x:c r="R231" s="16" t="str">
        <x:v>0.9339622641509434</x:v>
      </x:c>
      <x:c r="S231" s="12" t="str">
        <x:v>0.2</x:v>
      </x:c>
      <x:c r="T231" s="12" t="str">
        <x:v>106</x:v>
      </x:c>
      <x:c r="U231" s="16" t="str">
        <x:v>1.0</x:v>
      </x:c>
      <x:c r="V231" s="18" t="str">
        <x:v>0.5219062566757202</x:v>
      </x:c>
      <x:c r="W231" s="18" t="str">
        <x:v>0.6105242371559143</x:v>
      </x:c>
      <x:c r="X231" s="18" t="str">
        <x:v>0.7708718776702881</x:v>
      </x:c>
      <x:c r="Y231" s="18" t="str">
        <x:v>0.762319803237915</x:v>
      </x:c>
      <x:c r="Z231" s="18" t="str">
        <x:v>0.9634818434715271</x:v>
      </x:c>
      <x:c r="AA231" s="18" t="str">
        <x:v>1.030790090560913</x:v>
      </x:c>
      <x:c r="AB231" s="20" t="str">
        <x:v>107.05619999862392</x:v>
      </x:c>
      <x:c r="AC231" s="12" t="str">
        <x:v>overlays\neutral_030.png</x:v>
      </x:c>
      <x:c r="AD231" s="12" t="str"/>
      <x:c r="AE231" s="12" t="str"/>
      <x:c r="AF231" s="12" t="str">
        <x:v>good</x:v>
      </x:c>
      <x:c r="AG231" s="12" t="n">
        <x:v>1</x:v>
      </x:c>
      <x:c r="AH231" s="12" t="str">
        <x:v>good</x:v>
      </x:c>
      <x:c r="AI231" s="12" t="str">
        <x:v>good</x:v>
      </x:c>
      <x:c r="AJ231" s="12" t="str">
        <x:v>good</x:v>
      </x:c>
      <x:c r="AK231" s="12" t="str">
        <x:v>not_applicable</x:v>
      </x:c>
      <x:c r="AL231" s="12" t="str">
        <x:v>none</x:v>
      </x:c>
      <x:c r="AM231" s="14" t="str">
        <x:v>Clear and well-aligned facial landmarks with no major pose, crop, or occlusion issue.</x:v>
      </x:c>
    </x:row>
    <x:row r="232" ht="30" customHeight="1">
      <x:c r="A232" s="12" t="str">
        <x:v>neutral_031</x:v>
      </x:c>
      <x:c r="B232" s="12" t="str">
        <x:v>neutral</x:v>
      </x:c>
      <x:c r="C232" s="14" t="str">
        <x:v>neutral/Training_18279248.jpg</x:v>
      </x:c>
      <x:c r="D232" s="12" t="str">
        <x:v>d5ae7b1d9f8a87f71207408720303cca66cb4cd687c2603923425be3176e404b</x:v>
      </x:c>
      <x:c r="E232" s="12" t="str">
        <x:v>d5ae7b1d9f8a87f71207408720303cca66cb4cd687c2603923425be3176e404b</x:v>
      </x:c>
      <x:c r="F232" s="12" t="str">
        <x:v>True</x:v>
      </x:c>
      <x:c r="G232" s="12" t="str">
        <x:v>48</x:v>
      </x:c>
      <x:c r="H232" s="12" t="str">
        <x:v>48</x:v>
      </x:c>
      <x:c r="I232" s="12" t="str">
        <x:v>0.0</x:v>
      </x:c>
      <x:c r="J232" s="12" t="str">
        <x:v>0.0</x:v>
      </x:c>
      <x:c r="K232" s="12" t="str">
        <x:v>47.0</x:v>
      </x:c>
      <x:c r="L232" s="12" t="str">
        <x:v>47.0</x:v>
      </x:c>
      <x:c r="M232" s="12" t="str">
        <x:v>True</x:v>
      </x:c>
      <x:c r="N232" s="12" t="str">
        <x:v>106</x:v>
      </x:c>
      <x:c r="O232" s="12" t="str">
        <x:v>106</x:v>
      </x:c>
      <x:c r="P232" s="16" t="str">
        <x:v>1.0</x:v>
      </x:c>
      <x:c r="Q232" s="12" t="str">
        <x:v>93</x:v>
      </x:c>
      <x:c r="R232" s="16" t="str">
        <x:v>0.8773584905660378</x:v>
      </x:c>
      <x:c r="S232" s="12" t="str">
        <x:v>0.2</x:v>
      </x:c>
      <x:c r="T232" s="12" t="str">
        <x:v>106</x:v>
      </x:c>
      <x:c r="U232" s="16" t="str">
        <x:v>1.0</x:v>
      </x:c>
      <x:c r="V232" s="18" t="str">
        <x:v>0.44823122024536133</x:v>
      </x:c>
      <x:c r="W232" s="18" t="str">
        <x:v>0.5447719097137451</x:v>
      </x:c>
      <x:c r="X232" s="18" t="str">
        <x:v>0.6880543828010559</x:v>
      </x:c>
      <x:c r="Y232" s="18" t="str">
        <x:v>0.6802823543548584</x:v>
      </x:c>
      <x:c r="Z232" s="18" t="str">
        <x:v>0.8431373834609985</x:v>
      </x:c>
      <x:c r="AA232" s="18" t="str">
        <x:v>0.9653874635696411</x:v>
      </x:c>
      <x:c r="AB232" s="20" t="str">
        <x:v>105.28970000086701</x:v>
      </x:c>
      <x:c r="AC232" s="12" t="str">
        <x:v>overlays\neutral_031.png</x:v>
      </x:c>
      <x:c r="AD232" s="12" t="str"/>
      <x:c r="AE232" s="12" t="str"/>
      <x:c r="AF232" s="12" t="str">
        <x:v>acceptable</x:v>
      </x:c>
      <x:c r="AG232" s="12" t="n">
        <x:v>1</x:v>
      </x:c>
      <x:c r="AH232" s="12" t="str">
        <x:v>acceptable</x:v>
      </x:c>
      <x:c r="AI232" s="12" t="str">
        <x:v>acceptable</x:v>
      </x:c>
      <x:c r="AJ232" s="12" t="str">
        <x:v>acceptable</x:v>
      </x:c>
      <x:c r="AK232" s="12" t="str">
        <x:v>not_applicable</x:v>
      </x:c>
      <x:c r="AL232" s="12" t="str">
        <x:v>mild</x:v>
      </x:c>
      <x:c r="AM232" s="14" t="str">
        <x:v>Moderate pose, crop, or image degradation causes minor landmark uncertainty; the result remains usable.</x:v>
      </x:c>
    </x:row>
    <x:row r="233" ht="30" customHeight="1">
      <x:c r="A233" s="12" t="str">
        <x:v>neutral_032</x:v>
      </x:c>
      <x:c r="B233" s="12" t="str">
        <x:v>neutral</x:v>
      </x:c>
      <x:c r="C233" s="14" t="str">
        <x:v>neutral/Training_43421592.jpg</x:v>
      </x:c>
      <x:c r="D233" s="12" t="str">
        <x:v>c230c2b628f1fc7b7a7a696d663439a3172a7e9b376fb2e262fba3fce21a77a5</x:v>
      </x:c>
      <x:c r="E233" s="12" t="str">
        <x:v>c230c2b628f1fc7b7a7a696d663439a3172a7e9b376fb2e262fba3fce21a77a5</x:v>
      </x:c>
      <x:c r="F233" s="12" t="str">
        <x:v>True</x:v>
      </x:c>
      <x:c r="G233" s="12" t="str">
        <x:v>48</x:v>
      </x:c>
      <x:c r="H233" s="12" t="str">
        <x:v>48</x:v>
      </x:c>
      <x:c r="I233" s="12" t="str">
        <x:v>0.0</x:v>
      </x:c>
      <x:c r="J233" s="12" t="str">
        <x:v>0.0</x:v>
      </x:c>
      <x:c r="K233" s="12" t="str">
        <x:v>47.0</x:v>
      </x:c>
      <x:c r="L233" s="12" t="str">
        <x:v>47.0</x:v>
      </x:c>
      <x:c r="M233" s="12" t="str">
        <x:v>True</x:v>
      </x:c>
      <x:c r="N233" s="12" t="str">
        <x:v>106</x:v>
      </x:c>
      <x:c r="O233" s="12" t="str">
        <x:v>106</x:v>
      </x:c>
      <x:c r="P233" s="16" t="str">
        <x:v>1.0</x:v>
      </x:c>
      <x:c r="Q233" s="12" t="str">
        <x:v>93</x:v>
      </x:c>
      <x:c r="R233" s="16" t="str">
        <x:v>0.8773584905660378</x:v>
      </x:c>
      <x:c r="S233" s="12" t="str">
        <x:v>0.2</x:v>
      </x:c>
      <x:c r="T233" s="12" t="str">
        <x:v>106</x:v>
      </x:c>
      <x:c r="U233" s="16" t="str">
        <x:v>1.0</x:v>
      </x:c>
      <x:c r="V233" s="18" t="str">
        <x:v>0.27962297201156616</x:v>
      </x:c>
      <x:c r="W233" s="18" t="str">
        <x:v>0.43096980452537537</x:v>
      </x:c>
      <x:c r="X233" s="18" t="str">
        <x:v>0.6085078120231628</x:v>
      </x:c>
      <x:c r="Y233" s="18" t="str">
        <x:v>0.6025658845901489</x:v>
      </x:c>
      <x:c r="Z233" s="18" t="str">
        <x:v>0.834384948015213</x:v>
      </x:c>
      <x:c r="AA233" s="18" t="str">
        <x:v>0.922870397567749</x:v>
      </x:c>
      <x:c r="AB233" s="20" t="str">
        <x:v>105.57999999946333</x:v>
      </x:c>
      <x:c r="AC233" s="12" t="str">
        <x:v>overlays\neutral_032.png</x:v>
      </x:c>
      <x:c r="AD233" s="12" t="str"/>
      <x:c r="AE233" s="12" t="str"/>
      <x:c r="AF233" s="12" t="str">
        <x:v>acceptable</x:v>
      </x:c>
      <x:c r="AG233" s="12" t="n">
        <x:v>1</x:v>
      </x:c>
      <x:c r="AH233" s="12" t="str">
        <x:v>acceptable</x:v>
      </x:c>
      <x:c r="AI233" s="12" t="str">
        <x:v>acceptable</x:v>
      </x:c>
      <x:c r="AJ233" s="12" t="str">
        <x:v>acceptable</x:v>
      </x:c>
      <x:c r="AK233" s="12" t="str">
        <x:v>not_applicable</x:v>
      </x:c>
      <x:c r="AL233" s="12" t="str">
        <x:v>mild</x:v>
      </x:c>
      <x:c r="AM233" s="14" t="str">
        <x:v>Moderate pose, crop, or image degradation causes minor landmark uncertainty; the result remains usable.</x:v>
      </x:c>
    </x:row>
    <x:row r="234" ht="30" customHeight="1">
      <x:c r="A234" s="12" t="str">
        <x:v>neutral_033</x:v>
      </x:c>
      <x:c r="B234" s="12" t="str">
        <x:v>neutral</x:v>
      </x:c>
      <x:c r="C234" s="14" t="str">
        <x:v>neutral/Training_19361454.jpg</x:v>
      </x:c>
      <x:c r="D234" s="12" t="str">
        <x:v>16c26f454a1114f9a33e5d38bd083f9d3ca4f6ef65ec01aa1b24704f75388b1d</x:v>
      </x:c>
      <x:c r="E234" s="12" t="str">
        <x:v>16c26f454a1114f9a33e5d38bd083f9d3ca4f6ef65ec01aa1b24704f75388b1d</x:v>
      </x:c>
      <x:c r="F234" s="12" t="str">
        <x:v>True</x:v>
      </x:c>
      <x:c r="G234" s="12" t="str">
        <x:v>48</x:v>
      </x:c>
      <x:c r="H234" s="12" t="str">
        <x:v>48</x:v>
      </x:c>
      <x:c r="I234" s="12" t="str">
        <x:v>0.0</x:v>
      </x:c>
      <x:c r="J234" s="12" t="str">
        <x:v>0.0</x:v>
      </x:c>
      <x:c r="K234" s="12" t="str">
        <x:v>47.0</x:v>
      </x:c>
      <x:c r="L234" s="12" t="str">
        <x:v>47.0</x:v>
      </x:c>
      <x:c r="M234" s="12" t="str">
        <x:v>True</x:v>
      </x:c>
      <x:c r="N234" s="12" t="str">
        <x:v>106</x:v>
      </x:c>
      <x:c r="O234" s="12" t="str">
        <x:v>106</x:v>
      </x:c>
      <x:c r="P234" s="16" t="str">
        <x:v>1.0</x:v>
      </x:c>
      <x:c r="Q234" s="12" t="str">
        <x:v>97</x:v>
      </x:c>
      <x:c r="R234" s="16" t="str">
        <x:v>0.9150943396226415</x:v>
      </x:c>
      <x:c r="S234" s="12" t="str">
        <x:v>0.2</x:v>
      </x:c>
      <x:c r="T234" s="12" t="str">
        <x:v>106</x:v>
      </x:c>
      <x:c r="U234" s="16" t="str">
        <x:v>1.0</x:v>
      </x:c>
      <x:c r="V234" s="18" t="str">
        <x:v>0.32879209518432617</x:v>
      </x:c>
      <x:c r="W234" s="18" t="str">
        <x:v>0.49002890288829803</x:v>
      </x:c>
      <x:c r="X234" s="18" t="str">
        <x:v>0.6732189059257507</x:v>
      </x:c>
      <x:c r="Y234" s="18" t="str">
        <x:v>0.6423014402389526</x:v>
      </x:c>
      <x:c r="Z234" s="18" t="str">
        <x:v>0.9042018055915833</x:v>
      </x:c>
      <x:c r="AA234" s="18" t="str">
        <x:v>0.9763586521148682</x:v>
      </x:c>
      <x:c r="AB234" s="20" t="str">
        <x:v>109.20709999845712</x:v>
      </x:c>
      <x:c r="AC234" s="12" t="str">
        <x:v>overlays\neutral_033.png</x:v>
      </x:c>
      <x:c r="AD234" s="12" t="str"/>
      <x:c r="AE234" s="12" t="str"/>
      <x:c r="AF234" s="12" t="str">
        <x:v>good</x:v>
      </x:c>
      <x:c r="AG234" s="12" t="n">
        <x:v>1</x:v>
      </x:c>
      <x:c r="AH234" s="12" t="str">
        <x:v>good</x:v>
      </x:c>
      <x:c r="AI234" s="12" t="str">
        <x:v>good</x:v>
      </x:c>
      <x:c r="AJ234" s="12" t="str">
        <x:v>good</x:v>
      </x:c>
      <x:c r="AK234" s="12" t="str">
        <x:v>not_applicable</x:v>
      </x:c>
      <x:c r="AL234" s="12" t="str">
        <x:v>none</x:v>
      </x:c>
      <x:c r="AM234" s="14" t="str">
        <x:v>Clear and well-aligned facial landmarks with no major pose, crop, or occlusion issue.</x:v>
      </x:c>
    </x:row>
    <x:row r="235" ht="30" customHeight="1">
      <x:c r="A235" s="12" t="str">
        <x:v>neutral_034</x:v>
      </x:c>
      <x:c r="B235" s="12" t="str">
        <x:v>neutral</x:v>
      </x:c>
      <x:c r="C235" s="14" t="str">
        <x:v>neutral/Training_14708731.jpg</x:v>
      </x:c>
      <x:c r="D235" s="12" t="str">
        <x:v>4487f6f29cf32e49886f58bc9e171518b12204da319730d89e9f9f8c0b069752</x:v>
      </x:c>
      <x:c r="E235" s="12" t="str">
        <x:v>4487f6f29cf32e49886f58bc9e171518b12204da319730d89e9f9f8c0b069752</x:v>
      </x:c>
      <x:c r="F235" s="12" t="str">
        <x:v>True</x:v>
      </x:c>
      <x:c r="G235" s="12" t="str">
        <x:v>48</x:v>
      </x:c>
      <x:c r="H235" s="12" t="str">
        <x:v>48</x:v>
      </x:c>
      <x:c r="I235" s="12" t="str">
        <x:v>0.0</x:v>
      </x:c>
      <x:c r="J235" s="12" t="str">
        <x:v>0.0</x:v>
      </x:c>
      <x:c r="K235" s="12" t="str">
        <x:v>47.0</x:v>
      </x:c>
      <x:c r="L235" s="12" t="str">
        <x:v>47.0</x:v>
      </x:c>
      <x:c r="M235" s="12" t="str">
        <x:v>True</x:v>
      </x:c>
      <x:c r="N235" s="12" t="str">
        <x:v>106</x:v>
      </x:c>
      <x:c r="O235" s="12" t="str">
        <x:v>106</x:v>
      </x:c>
      <x:c r="P235" s="16" t="str">
        <x:v>1.0</x:v>
      </x:c>
      <x:c r="Q235" s="12" t="str">
        <x:v>98</x:v>
      </x:c>
      <x:c r="R235" s="16" t="str">
        <x:v>0.9245283018867925</x:v>
      </x:c>
      <x:c r="S235" s="12" t="str">
        <x:v>0.2</x:v>
      </x:c>
      <x:c r="T235" s="12" t="str">
        <x:v>106</x:v>
      </x:c>
      <x:c r="U235" s="16" t="str">
        <x:v>1.0</x:v>
      </x:c>
      <x:c r="V235" s="18" t="str">
        <x:v>0.3820148706436157</x:v>
      </x:c>
      <x:c r="W235" s="18" t="str">
        <x:v>0.4517856240272522</x:v>
      </x:c>
      <x:c r="X235" s="18" t="str">
        <x:v>0.675851583480835</x:v>
      </x:c>
      <x:c r="Y235" s="18" t="str">
        <x:v>0.6452134847640991</x:v>
      </x:c>
      <x:c r="Z235" s="18" t="str">
        <x:v>0.9352652728557587</x:v>
      </x:c>
      <x:c r="AA235" s="18" t="str">
        <x:v>0.9946070909500122</x:v>
      </x:c>
      <x:c r="AB235" s="20" t="str">
        <x:v>107.64840000047116</x:v>
      </x:c>
      <x:c r="AC235" s="12" t="str">
        <x:v>overlays\neutral_034.png</x:v>
      </x:c>
      <x:c r="AD235" s="12" t="str"/>
      <x:c r="AE235" s="12" t="str"/>
      <x:c r="AF235" s="12" t="str">
        <x:v>good</x:v>
      </x:c>
      <x:c r="AG235" s="12" t="n">
        <x:v>1</x:v>
      </x:c>
      <x:c r="AH235" s="12" t="str">
        <x:v>good</x:v>
      </x:c>
      <x:c r="AI235" s="12" t="str">
        <x:v>good</x:v>
      </x:c>
      <x:c r="AJ235" s="12" t="str">
        <x:v>good</x:v>
      </x:c>
      <x:c r="AK235" s="12" t="str">
        <x:v>not_applicable</x:v>
      </x:c>
      <x:c r="AL235" s="12" t="str">
        <x:v>none</x:v>
      </x:c>
      <x:c r="AM235" s="14" t="str">
        <x:v>Clear and well-aligned facial landmarks with no major pose, crop, or occlusion issue.</x:v>
      </x:c>
    </x:row>
    <x:row r="236" ht="30" customHeight="1">
      <x:c r="A236" s="12" t="str">
        <x:v>neutral_035</x:v>
      </x:c>
      <x:c r="B236" s="12" t="str">
        <x:v>neutral</x:v>
      </x:c>
      <x:c r="C236" s="14" t="str">
        <x:v>neutral/Training_58665762.jpg</x:v>
      </x:c>
      <x:c r="D236" s="12" t="str">
        <x:v>79a31b956c2dccf82b7402b5688e296602efa7d135cbb0c21abb03e570a5d12d</x:v>
      </x:c>
      <x:c r="E236" s="12" t="str">
        <x:v>79a31b956c2dccf82b7402b5688e296602efa7d135cbb0c21abb03e570a5d12d</x:v>
      </x:c>
      <x:c r="F236" s="12" t="str">
        <x:v>True</x:v>
      </x:c>
      <x:c r="G236" s="12" t="str">
        <x:v>48</x:v>
      </x:c>
      <x:c r="H236" s="12" t="str">
        <x:v>48</x:v>
      </x:c>
      <x:c r="I236" s="12" t="str">
        <x:v>0.0</x:v>
      </x:c>
      <x:c r="J236" s="12" t="str">
        <x:v>0.0</x:v>
      </x:c>
      <x:c r="K236" s="12" t="str">
        <x:v>47.0</x:v>
      </x:c>
      <x:c r="L236" s="12" t="str">
        <x:v>47.0</x:v>
      </x:c>
      <x:c r="M236" s="12" t="str">
        <x:v>True</x:v>
      </x:c>
      <x:c r="N236" s="12" t="str">
        <x:v>106</x:v>
      </x:c>
      <x:c r="O236" s="12" t="str">
        <x:v>106</x:v>
      </x:c>
      <x:c r="P236" s="16" t="str">
        <x:v>1.0</x:v>
      </x:c>
      <x:c r="Q236" s="12" t="str">
        <x:v>103</x:v>
      </x:c>
      <x:c r="R236" s="16" t="str">
        <x:v>0.9716981132075472</x:v>
      </x:c>
      <x:c r="S236" s="12" t="str">
        <x:v>0.2</x:v>
      </x:c>
      <x:c r="T236" s="12" t="str">
        <x:v>106</x:v>
      </x:c>
      <x:c r="U236" s="16" t="str">
        <x:v>1.0</x:v>
      </x:c>
      <x:c r="V236" s="18" t="str">
        <x:v>0.4220726490020752</x:v>
      </x:c>
      <x:c r="W236" s="18" t="str">
        <x:v>0.519491583108902</x:v>
      </x:c>
      <x:c r="X236" s="18" t="str">
        <x:v>0.6314195394515991</x:v>
      </x:c>
      <x:c r="Y236" s="18" t="str">
        <x:v>0.6279793381690979</x:v>
      </x:c>
      <x:c r="Z236" s="18" t="str">
        <x:v>0.7505750954151154</x:v>
      </x:c>
      <x:c r="AA236" s="18" t="str">
        <x:v>0.8277250528335571</x:v>
      </x:c>
      <x:c r="AB236" s="20" t="str">
        <x:v>110.50449999675038</x:v>
      </x:c>
      <x:c r="AC236" s="12" t="str">
        <x:v>overlays\neutral_035.png</x:v>
      </x:c>
      <x:c r="AD236" s="12" t="str"/>
      <x:c r="AE236" s="12" t="str"/>
      <x:c r="AF236" s="12" t="str">
        <x:v>acceptable</x:v>
      </x:c>
      <x:c r="AG236" s="12" t="n">
        <x:v>1</x:v>
      </x:c>
      <x:c r="AH236" s="12" t="str">
        <x:v>acceptable</x:v>
      </x:c>
      <x:c r="AI236" s="12" t="str">
        <x:v>acceptable</x:v>
      </x:c>
      <x:c r="AJ236" s="12" t="str">
        <x:v>acceptable</x:v>
      </x:c>
      <x:c r="AK236" s="12" t="str">
        <x:v>not_applicable</x:v>
      </x:c>
      <x:c r="AL236" s="12" t="str">
        <x:v>mild</x:v>
      </x:c>
      <x:c r="AM236" s="14" t="str">
        <x:v>Large pose or profile; visible landmarks are useful, while hidden-side contour points are inferred.</x:v>
      </x:c>
    </x:row>
    <x:row r="237" ht="30" customHeight="1">
      <x:c r="A237" s="12" t="str">
        <x:v>neutral_036</x:v>
      </x:c>
      <x:c r="B237" s="12" t="str">
        <x:v>neutral</x:v>
      </x:c>
      <x:c r="C237" s="14" t="str">
        <x:v>neutral/Training_19862124.jpg</x:v>
      </x:c>
      <x:c r="D237" s="12" t="str">
        <x:v>70bdc11331d0b34c8ad1d05291b7d4f6065ae32f52902d005f77b15ef7282528</x:v>
      </x:c>
      <x:c r="E237" s="12" t="str">
        <x:v>70bdc11331d0b34c8ad1d05291b7d4f6065ae32f52902d005f77b15ef7282528</x:v>
      </x:c>
      <x:c r="F237" s="12" t="str">
        <x:v>True</x:v>
      </x:c>
      <x:c r="G237" s="12" t="str">
        <x:v>48</x:v>
      </x:c>
      <x:c r="H237" s="12" t="str">
        <x:v>48</x:v>
      </x:c>
      <x:c r="I237" s="12" t="str">
        <x:v>0.0</x:v>
      </x:c>
      <x:c r="J237" s="12" t="str">
        <x:v>0.0</x:v>
      </x:c>
      <x:c r="K237" s="12" t="str">
        <x:v>47.0</x:v>
      </x:c>
      <x:c r="L237" s="12" t="str">
        <x:v>47.0</x:v>
      </x:c>
      <x:c r="M237" s="12" t="str">
        <x:v>True</x:v>
      </x:c>
      <x:c r="N237" s="12" t="str">
        <x:v>106</x:v>
      </x:c>
      <x:c r="O237" s="12" t="str">
        <x:v>106</x:v>
      </x:c>
      <x:c r="P237" s="16" t="str">
        <x:v>1.0</x:v>
      </x:c>
      <x:c r="Q237" s="12" t="str">
        <x:v>106</x:v>
      </x:c>
      <x:c r="R237" s="16" t="str">
        <x:v>1.0</x:v>
      </x:c>
      <x:c r="S237" s="12" t="str">
        <x:v>0.2</x:v>
      </x:c>
      <x:c r="T237" s="12" t="str">
        <x:v>106</x:v>
      </x:c>
      <x:c r="U237" s="16" t="str">
        <x:v>1.0</x:v>
      </x:c>
      <x:c r="V237" s="18" t="str">
        <x:v>0.40325596928596497</x:v>
      </x:c>
      <x:c r="W237" s="18" t="str">
        <x:v>0.4979713559150696</x:v>
      </x:c>
      <x:c r="X237" s="18" t="str">
        <x:v>0.6281909346580505</x:v>
      </x:c>
      <x:c r="Y237" s="18" t="str">
        <x:v>0.6143717765808105</x:v>
      </x:c>
      <x:c r="Z237" s="18" t="str">
        <x:v>0.8279628455638885</x:v>
      </x:c>
      <x:c r="AA237" s="18" t="str">
        <x:v>0.8700243234634399</x:v>
      </x:c>
      <x:c r="AB237" s="20" t="str">
        <x:v>110.36730000341777</x:v>
      </x:c>
      <x:c r="AC237" s="12" t="str">
        <x:v>overlays\neutral_036.png</x:v>
      </x:c>
      <x:c r="AD237" s="12" t="str"/>
      <x:c r="AE237" s="12" t="str"/>
      <x:c r="AF237" s="12" t="str">
        <x:v>good</x:v>
      </x:c>
      <x:c r="AG237" s="12" t="n">
        <x:v>1</x:v>
      </x:c>
      <x:c r="AH237" s="12" t="str">
        <x:v>good</x:v>
      </x:c>
      <x:c r="AI237" s="12" t="str">
        <x:v>good</x:v>
      </x:c>
      <x:c r="AJ237" s="12" t="str">
        <x:v>good</x:v>
      </x:c>
      <x:c r="AK237" s="12" t="str">
        <x:v>good</x:v>
      </x:c>
      <x:c r="AL237" s="12" t="str">
        <x:v>none</x:v>
      </x:c>
      <x:c r="AM237" s="14" t="str">
        <x:v>Clear and well-aligned facial landmarks with no major pose, crop, or occlusion issue.</x:v>
      </x:c>
    </x:row>
    <x:row r="238" ht="30" customHeight="1">
      <x:c r="A238" s="12" t="str">
        <x:v>neutral_037</x:v>
      </x:c>
      <x:c r="B238" s="12" t="str">
        <x:v>neutral</x:v>
      </x:c>
      <x:c r="C238" s="14" t="str">
        <x:v>neutral/Training_86387957.jpg</x:v>
      </x:c>
      <x:c r="D238" s="12" t="str">
        <x:v>644e2af2732fe21c974a3dc8f3aa5bdb92ffb79c6c1ba893e7f1d2e1a4443044</x:v>
      </x:c>
      <x:c r="E238" s="12" t="str">
        <x:v>644e2af2732fe21c974a3dc8f3aa5bdb92ffb79c6c1ba893e7f1d2e1a4443044</x:v>
      </x:c>
      <x:c r="F238" s="12" t="str">
        <x:v>True</x:v>
      </x:c>
      <x:c r="G238" s="12" t="str">
        <x:v>48</x:v>
      </x:c>
      <x:c r="H238" s="12" t="str">
        <x:v>48</x:v>
      </x:c>
      <x:c r="I238" s="12" t="str">
        <x:v>0.0</x:v>
      </x:c>
      <x:c r="J238" s="12" t="str">
        <x:v>0.0</x:v>
      </x:c>
      <x:c r="K238" s="12" t="str">
        <x:v>47.0</x:v>
      </x:c>
      <x:c r="L238" s="12" t="str">
        <x:v>47.0</x:v>
      </x:c>
      <x:c r="M238" s="12" t="str">
        <x:v>True</x:v>
      </x:c>
      <x:c r="N238" s="12" t="str">
        <x:v>106</x:v>
      </x:c>
      <x:c r="O238" s="12" t="str">
        <x:v>106</x:v>
      </x:c>
      <x:c r="P238" s="16" t="str">
        <x:v>1.0</x:v>
      </x:c>
      <x:c r="Q238" s="12" t="str">
        <x:v>100</x:v>
      </x:c>
      <x:c r="R238" s="16" t="str">
        <x:v>0.9433962264150944</x:v>
      </x:c>
      <x:c r="S238" s="12" t="str">
        <x:v>0.2</x:v>
      </x:c>
      <x:c r="T238" s="12" t="str">
        <x:v>106</x:v>
      </x:c>
      <x:c r="U238" s="16" t="str">
        <x:v>1.0</x:v>
      </x:c>
      <x:c r="V238" s="18" t="str">
        <x:v>0.5155632495880127</x:v>
      </x:c>
      <x:c r="W238" s="18" t="str">
        <x:v>0.599629670381546</x:v>
      </x:c>
      <x:c r="X238" s="18" t="str">
        <x:v>0.745122492313385</x:v>
      </x:c>
      <x:c r="Y238" s="18" t="str">
        <x:v>0.7347500324249268</x:v>
      </x:c>
      <x:c r="Z238" s="18" t="str">
        <x:v>0.9322217106819153</x:v>
      </x:c>
      <x:c r="AA238" s="18" t="str">
        <x:v>0.9943479299545288</x:v>
      </x:c>
      <x:c r="AB238" s="20" t="str">
        <x:v>106.60970000026282</x:v>
      </x:c>
      <x:c r="AC238" s="12" t="str">
        <x:v>overlays\neutral_037.png</x:v>
      </x:c>
      <x:c r="AD238" s="12" t="str"/>
      <x:c r="AE238" s="12" t="str"/>
      <x:c r="AF238" s="12" t="str">
        <x:v>good</x:v>
      </x:c>
      <x:c r="AG238" s="12" t="n">
        <x:v>1</x:v>
      </x:c>
      <x:c r="AH238" s="12" t="str">
        <x:v>good</x:v>
      </x:c>
      <x:c r="AI238" s="12" t="str">
        <x:v>good</x:v>
      </x:c>
      <x:c r="AJ238" s="12" t="str">
        <x:v>good</x:v>
      </x:c>
      <x:c r="AK238" s="12" t="str">
        <x:v>good</x:v>
      </x:c>
      <x:c r="AL238" s="12" t="str">
        <x:v>none</x:v>
      </x:c>
      <x:c r="AM238" s="14" t="str">
        <x:v>Clear and well-aligned facial landmarks with no major pose, crop, or occlusion issue.</x:v>
      </x:c>
    </x:row>
    <x:row r="239" ht="30" customHeight="1">
      <x:c r="A239" s="12" t="str">
        <x:v>neutral_038</x:v>
      </x:c>
      <x:c r="B239" s="12" t="str">
        <x:v>neutral</x:v>
      </x:c>
      <x:c r="C239" s="14" t="str">
        <x:v>neutral/Training_44950675.jpg</x:v>
      </x:c>
      <x:c r="D239" s="12" t="str">
        <x:v>bfec0c9df4f154a34141754761e347a8f88220a560f78f8e55ab86aa7baa3250</x:v>
      </x:c>
      <x:c r="E239" s="12" t="str">
        <x:v>bfec0c9df4f154a34141754761e347a8f88220a560f78f8e55ab86aa7baa3250</x:v>
      </x:c>
      <x:c r="F239" s="12" t="str">
        <x:v>True</x:v>
      </x:c>
      <x:c r="G239" s="12" t="str">
        <x:v>48</x:v>
      </x:c>
      <x:c r="H239" s="12" t="str">
        <x:v>48</x:v>
      </x:c>
      <x:c r="I239" s="12" t="str">
        <x:v>0.0</x:v>
      </x:c>
      <x:c r="J239" s="12" t="str">
        <x:v>0.0</x:v>
      </x:c>
      <x:c r="K239" s="12" t="str">
        <x:v>47.0</x:v>
      </x:c>
      <x:c r="L239" s="12" t="str">
        <x:v>47.0</x:v>
      </x:c>
      <x:c r="M239" s="12" t="str">
        <x:v>True</x:v>
      </x:c>
      <x:c r="N239" s="12" t="str">
        <x:v>106</x:v>
      </x:c>
      <x:c r="O239" s="12" t="str">
        <x:v>106</x:v>
      </x:c>
      <x:c r="P239" s="16" t="str">
        <x:v>1.0</x:v>
      </x:c>
      <x:c r="Q239" s="12" t="str">
        <x:v>90</x:v>
      </x:c>
      <x:c r="R239" s="16" t="str">
        <x:v>0.8490566037735849</x:v>
      </x:c>
      <x:c r="S239" s="12" t="str">
        <x:v>0.2</x:v>
      </x:c>
      <x:c r="T239" s="12" t="str">
        <x:v>106</x:v>
      </x:c>
      <x:c r="U239" s="16" t="str">
        <x:v>1.0</x:v>
      </x:c>
      <x:c r="V239" s="18" t="str">
        <x:v>0.36536815762519836</x:v>
      </x:c>
      <x:c r="W239" s="18" t="str">
        <x:v>0.4719955772161484</x:v>
      </x:c>
      <x:c r="X239" s="18" t="str">
        <x:v>0.6035356521606445</x:v>
      </x:c>
      <x:c r="Y239" s="18" t="str">
        <x:v>0.6120144128799438</x:v>
      </x:c>
      <x:c r="Z239" s="18" t="str">
        <x:v>0.7240948677062988</x:v>
      </x:c>
      <x:c r="AA239" s="18" t="str">
        <x:v>0.7936142086982727</x:v>
      </x:c>
      <x:c r="AB239" s="20" t="str">
        <x:v>108.41849999997066</x:v>
      </x:c>
      <x:c r="AC239" s="12" t="str">
        <x:v>overlays\neutral_038.png</x:v>
      </x:c>
      <x:c r="AD239" s="12" t="str"/>
      <x:c r="AE239" s="12" t="str"/>
      <x:c r="AF239" s="12" t="str">
        <x:v>acceptable</x:v>
      </x:c>
      <x:c r="AG239" s="12" t="n">
        <x:v>1</x:v>
      </x:c>
      <x:c r="AH239" s="12" t="str">
        <x:v>acceptable</x:v>
      </x:c>
      <x:c r="AI239" s="12" t="str">
        <x:v>acceptable</x:v>
      </x:c>
      <x:c r="AJ239" s="12" t="str">
        <x:v>acceptable</x:v>
      </x:c>
      <x:c r="AK239" s="12" t="str">
        <x:v>not_applicable</x:v>
      </x:c>
      <x:c r="AL239" s="12" t="str">
        <x:v>mild</x:v>
      </x:c>
      <x:c r="AM239" s="14" t="str">
        <x:v>Large pose or profile; visible landmarks are useful, while hidden-side contour points are inferred.</x:v>
      </x:c>
    </x:row>
    <x:row r="240" ht="30" customHeight="1">
      <x:c r="A240" s="12" t="str">
        <x:v>neutral_039</x:v>
      </x:c>
      <x:c r="B240" s="12" t="str">
        <x:v>neutral</x:v>
      </x:c>
      <x:c r="C240" s="14" t="str">
        <x:v>neutral/Training_51009443.jpg</x:v>
      </x:c>
      <x:c r="D240" s="12" t="str">
        <x:v>9647f8a7f2a427af879e5a5fc6d3ae5b65ac7a9a43b88c181ae8bd95e2433e0d</x:v>
      </x:c>
      <x:c r="E240" s="12" t="str">
        <x:v>9647f8a7f2a427af879e5a5fc6d3ae5b65ac7a9a43b88c181ae8bd95e2433e0d</x:v>
      </x:c>
      <x:c r="F240" s="12" t="str">
        <x:v>True</x:v>
      </x:c>
      <x:c r="G240" s="12" t="str">
        <x:v>48</x:v>
      </x:c>
      <x:c r="H240" s="12" t="str">
        <x:v>48</x:v>
      </x:c>
      <x:c r="I240" s="12" t="str">
        <x:v>0.0</x:v>
      </x:c>
      <x:c r="J240" s="12" t="str">
        <x:v>0.0</x:v>
      </x:c>
      <x:c r="K240" s="12" t="str">
        <x:v>47.0</x:v>
      </x:c>
      <x:c r="L240" s="12" t="str">
        <x:v>47.0</x:v>
      </x:c>
      <x:c r="M240" s="12" t="str">
        <x:v>True</x:v>
      </x:c>
      <x:c r="N240" s="12" t="str">
        <x:v>106</x:v>
      </x:c>
      <x:c r="O240" s="12" t="str">
        <x:v>106</x:v>
      </x:c>
      <x:c r="P240" s="16" t="str">
        <x:v>1.0</x:v>
      </x:c>
      <x:c r="Q240" s="12" t="str">
        <x:v>106</x:v>
      </x:c>
      <x:c r="R240" s="16" t="str">
        <x:v>1.0</x:v>
      </x:c>
      <x:c r="S240" s="12" t="str">
        <x:v>0.2</x:v>
      </x:c>
      <x:c r="T240" s="12" t="str">
        <x:v>106</x:v>
      </x:c>
      <x:c r="U240" s="16" t="str">
        <x:v>1.0</x:v>
      </x:c>
      <x:c r="V240" s="18" t="str">
        <x:v>0.2792513370513916</x:v>
      </x:c>
      <x:c r="W240" s="18" t="str">
        <x:v>0.4212840497493744</x:v>
      </x:c>
      <x:c r="X240" s="18" t="str">
        <x:v>0.6135860085487366</x:v>
      </x:c>
      <x:c r="Y240" s="18" t="str">
        <x:v>0.6217940449714661</x:v>
      </x:c>
      <x:c r="Z240" s="18" t="str">
        <x:v>0.8428978621959686</x:v>
      </x:c>
      <x:c r="AA240" s="18" t="str">
        <x:v>0.9522492289543152</x:v>
      </x:c>
      <x:c r="AB240" s="20" t="str">
        <x:v>106.83430000062799</x:v>
      </x:c>
      <x:c r="AC240" s="12" t="str">
        <x:v>overlays\neutral_039.png</x:v>
      </x:c>
      <x:c r="AD240" s="12" t="str"/>
      <x:c r="AE240" s="12" t="str"/>
      <x:c r="AF240" s="12" t="str">
        <x:v>good</x:v>
      </x:c>
      <x:c r="AG240" s="12" t="n">
        <x:v>1</x:v>
      </x:c>
      <x:c r="AH240" s="12" t="str">
        <x:v>good</x:v>
      </x:c>
      <x:c r="AI240" s="12" t="str">
        <x:v>good</x:v>
      </x:c>
      <x:c r="AJ240" s="12" t="str">
        <x:v>good</x:v>
      </x:c>
      <x:c r="AK240" s="12" t="str">
        <x:v>not_applicable</x:v>
      </x:c>
      <x:c r="AL240" s="12" t="str">
        <x:v>none</x:v>
      </x:c>
      <x:c r="AM240" s="14" t="str">
        <x:v>Clear and well-aligned facial landmarks with no major pose, crop, or occlusion issue.</x:v>
      </x:c>
    </x:row>
    <x:row r="241" ht="30" customHeight="1">
      <x:c r="A241" s="12" t="str">
        <x:v>neutral_040</x:v>
      </x:c>
      <x:c r="B241" s="12" t="str">
        <x:v>neutral</x:v>
      </x:c>
      <x:c r="C241" s="14" t="str">
        <x:v>neutral/Training_82253395.jpg</x:v>
      </x:c>
      <x:c r="D241" s="12" t="str">
        <x:v>01fe25e2ad960d0bac72bd328e11d972ee8be93167296d2c73e437fc1f821b25</x:v>
      </x:c>
      <x:c r="E241" s="12" t="str">
        <x:v>01fe25e2ad960d0bac72bd328e11d972ee8be93167296d2c73e437fc1f821b25</x:v>
      </x:c>
      <x:c r="F241" s="12" t="str">
        <x:v>True</x:v>
      </x:c>
      <x:c r="G241" s="12" t="str">
        <x:v>48</x:v>
      </x:c>
      <x:c r="H241" s="12" t="str">
        <x:v>48</x:v>
      </x:c>
      <x:c r="I241" s="12" t="str">
        <x:v>0.0</x:v>
      </x:c>
      <x:c r="J241" s="12" t="str">
        <x:v>0.0</x:v>
      </x:c>
      <x:c r="K241" s="12" t="str">
        <x:v>47.0</x:v>
      </x:c>
      <x:c r="L241" s="12" t="str">
        <x:v>47.0</x:v>
      </x:c>
      <x:c r="M241" s="12" t="str">
        <x:v>True</x:v>
      </x:c>
      <x:c r="N241" s="12" t="str">
        <x:v>106</x:v>
      </x:c>
      <x:c r="O241" s="12" t="str">
        <x:v>106</x:v>
      </x:c>
      <x:c r="P241" s="16" t="str">
        <x:v>1.0</x:v>
      </x:c>
      <x:c r="Q241" s="12" t="str">
        <x:v>101</x:v>
      </x:c>
      <x:c r="R241" s="16" t="str">
        <x:v>0.9528301886792453</x:v>
      </x:c>
      <x:c r="S241" s="12" t="str">
        <x:v>0.2</x:v>
      </x:c>
      <x:c r="T241" s="12" t="str">
        <x:v>106</x:v>
      </x:c>
      <x:c r="U241" s="16" t="str">
        <x:v>1.0</x:v>
      </x:c>
      <x:c r="V241" s="18" t="str">
        <x:v>0.4707500636577606</x:v>
      </x:c>
      <x:c r="W241" s="18" t="str">
        <x:v>0.5576140880584717</x:v>
      </x:c>
      <x:c r="X241" s="18" t="str">
        <x:v>0.7297694087028503</x:v>
      </x:c>
      <x:c r="Y241" s="18" t="str">
        <x:v>0.699752926826477</x:v>
      </x:c>
      <x:c r="Z241" s="18" t="str">
        <x:v>0.94256192445755</x:v>
      </x:c>
      <x:c r="AA241" s="18" t="str">
        <x:v>0.9941346645355225</x:v>
      </x:c>
      <x:c r="AB241" s="20" t="str">
        <x:v>106.31389999980456</x:v>
      </x:c>
      <x:c r="AC241" s="12" t="str">
        <x:v>overlays\neutral_040.png</x:v>
      </x:c>
      <x:c r="AD241" s="12" t="str"/>
      <x:c r="AE241" s="12" t="str"/>
      <x:c r="AF241" s="12" t="str">
        <x:v>good</x:v>
      </x:c>
      <x:c r="AG241" s="12" t="n">
        <x:v>1</x:v>
      </x:c>
      <x:c r="AH241" s="12" t="str">
        <x:v>good</x:v>
      </x:c>
      <x:c r="AI241" s="12" t="str">
        <x:v>good</x:v>
      </x:c>
      <x:c r="AJ241" s="12" t="str">
        <x:v>good</x:v>
      </x:c>
      <x:c r="AK241" s="12" t="str">
        <x:v>not_applicable</x:v>
      </x:c>
      <x:c r="AL241" s="12" t="str">
        <x:v>none</x:v>
      </x:c>
      <x:c r="AM241" s="14" t="str">
        <x:v>Clear and well-aligned facial landmarks with no major pose, crop, or occlusion issue.</x:v>
      </x:c>
    </x:row>
    <x:row r="242" ht="30" customHeight="1">
      <x:c r="A242" s="12" t="str">
        <x:v>neutral_041</x:v>
      </x:c>
      <x:c r="B242" s="12" t="str">
        <x:v>neutral</x:v>
      </x:c>
      <x:c r="C242" s="14" t="str">
        <x:v>neutral/Training_41253357.jpg</x:v>
      </x:c>
      <x:c r="D242" s="12" t="str">
        <x:v>14e60e54c9ef39a1c0c585f323fd73543549edb7fefd4d08fc6db32d0b776359</x:v>
      </x:c>
      <x:c r="E242" s="12" t="str">
        <x:v>14e60e54c9ef39a1c0c585f323fd73543549edb7fefd4d08fc6db32d0b776359</x:v>
      </x:c>
      <x:c r="F242" s="12" t="str">
        <x:v>True</x:v>
      </x:c>
      <x:c r="G242" s="12" t="str">
        <x:v>48</x:v>
      </x:c>
      <x:c r="H242" s="12" t="str">
        <x:v>48</x:v>
      </x:c>
      <x:c r="I242" s="12" t="str">
        <x:v>0.0</x:v>
      </x:c>
      <x:c r="J242" s="12" t="str">
        <x:v>0.0</x:v>
      </x:c>
      <x:c r="K242" s="12" t="str">
        <x:v>47.0</x:v>
      </x:c>
      <x:c r="L242" s="12" t="str">
        <x:v>47.0</x:v>
      </x:c>
      <x:c r="M242" s="12" t="str">
        <x:v>True</x:v>
      </x:c>
      <x:c r="N242" s="12" t="str">
        <x:v>106</x:v>
      </x:c>
      <x:c r="O242" s="12" t="str">
        <x:v>106</x:v>
      </x:c>
      <x:c r="P242" s="16" t="str">
        <x:v>1.0</x:v>
      </x:c>
      <x:c r="Q242" s="12" t="str">
        <x:v>99</x:v>
      </x:c>
      <x:c r="R242" s="16" t="str">
        <x:v>0.9339622641509434</x:v>
      </x:c>
      <x:c r="S242" s="12" t="str">
        <x:v>0.2</x:v>
      </x:c>
      <x:c r="T242" s="12" t="str">
        <x:v>106</x:v>
      </x:c>
      <x:c r="U242" s="16" t="str">
        <x:v>1.0</x:v>
      </x:c>
      <x:c r="V242" s="18" t="str">
        <x:v>0.3640492856502533</x:v>
      </x:c>
      <x:c r="W242" s="18" t="str">
        <x:v>0.4765084236860275</x:v>
      </x:c>
      <x:c r="X242" s="18" t="str">
        <x:v>0.6747450232505798</x:v>
      </x:c>
      <x:c r="Y242" s="18" t="str">
        <x:v>0.6405883431434631</x:v>
      </x:c>
      <x:c r="Z242" s="18" t="str">
        <x:v>0.9413197636604309</x:v>
      </x:c>
      <x:c r="AA242" s="18" t="str">
        <x:v>1.0264477729797363</x:v>
      </x:c>
      <x:c r="AB242" s="20" t="str">
        <x:v>111.30039999989094</x:v>
      </x:c>
      <x:c r="AC242" s="12" t="str">
        <x:v>overlays\neutral_041.png</x:v>
      </x:c>
      <x:c r="AD242" s="12" t="str"/>
      <x:c r="AE242" s="12" t="str"/>
      <x:c r="AF242" s="12" t="str">
        <x:v>good</x:v>
      </x:c>
      <x:c r="AG242" s="12" t="n">
        <x:v>1</x:v>
      </x:c>
      <x:c r="AH242" s="12" t="str">
        <x:v>good</x:v>
      </x:c>
      <x:c r="AI242" s="12" t="str">
        <x:v>good</x:v>
      </x:c>
      <x:c r="AJ242" s="12" t="str">
        <x:v>good</x:v>
      </x:c>
      <x:c r="AK242" s="12" t="str">
        <x:v>not_applicable</x:v>
      </x:c>
      <x:c r="AL242" s="12" t="str">
        <x:v>none</x:v>
      </x:c>
      <x:c r="AM242" s="14" t="str">
        <x:v>Clear and well-aligned facial landmarks with no major pose, crop, or occlusion issue.</x:v>
      </x:c>
    </x:row>
    <x:row r="243" ht="30" customHeight="1">
      <x:c r="A243" s="12" t="str">
        <x:v>neutral_042</x:v>
      </x:c>
      <x:c r="B243" s="12" t="str">
        <x:v>neutral</x:v>
      </x:c>
      <x:c r="C243" s="14" t="str">
        <x:v>neutral/Training_28918268.jpg</x:v>
      </x:c>
      <x:c r="D243" s="12" t="str">
        <x:v>bbcb37f95b89fa3c837a9c2fe1013e57da7af30da40a6bdc14fe2191d618ec18</x:v>
      </x:c>
      <x:c r="E243" s="12" t="str">
        <x:v>bbcb37f95b89fa3c837a9c2fe1013e57da7af30da40a6bdc14fe2191d618ec18</x:v>
      </x:c>
      <x:c r="F243" s="12" t="str">
        <x:v>True</x:v>
      </x:c>
      <x:c r="G243" s="12" t="str">
        <x:v>48</x:v>
      </x:c>
      <x:c r="H243" s="12" t="str">
        <x:v>48</x:v>
      </x:c>
      <x:c r="I243" s="12" t="str">
        <x:v>0.0</x:v>
      </x:c>
      <x:c r="J243" s="12" t="str">
        <x:v>0.0</x:v>
      </x:c>
      <x:c r="K243" s="12" t="str">
        <x:v>47.0</x:v>
      </x:c>
      <x:c r="L243" s="12" t="str">
        <x:v>47.0</x:v>
      </x:c>
      <x:c r="M243" s="12" t="str">
        <x:v>True</x:v>
      </x:c>
      <x:c r="N243" s="12" t="str">
        <x:v>106</x:v>
      </x:c>
      <x:c r="O243" s="12" t="str">
        <x:v>106</x:v>
      </x:c>
      <x:c r="P243" s="16" t="str">
        <x:v>1.0</x:v>
      </x:c>
      <x:c r="Q243" s="12" t="str">
        <x:v>91</x:v>
      </x:c>
      <x:c r="R243" s="16" t="str">
        <x:v>0.8584905660377359</x:v>
      </x:c>
      <x:c r="S243" s="12" t="str">
        <x:v>0.2</x:v>
      </x:c>
      <x:c r="T243" s="12" t="str">
        <x:v>106</x:v>
      </x:c>
      <x:c r="U243" s="16" t="str">
        <x:v>1.0</x:v>
      </x:c>
      <x:c r="V243" s="18" t="str">
        <x:v>0.41062164306640625</x:v>
      </x:c>
      <x:c r="W243" s="18" t="str">
        <x:v>0.5532212257385254</x:v>
      </x:c>
      <x:c r="X243" s="18" t="str">
        <x:v>0.7088403701782227</x:v>
      </x:c>
      <x:c r="Y243" s="18" t="str">
        <x:v>0.7153481245040894</x:v>
      </x:c>
      <x:c r="Z243" s="18" t="str">
        <x:v>0.8934531807899475</x:v>
      </x:c>
      <x:c r="AA243" s="18" t="str">
        <x:v>0.9627501368522644</x:v>
      </x:c>
      <x:c r="AB243" s="20" t="str">
        <x:v>109.4349000013608</x:v>
      </x:c>
      <x:c r="AC243" s="12" t="str">
        <x:v>overlays\neutral_042.png</x:v>
      </x:c>
      <x:c r="AD243" s="12" t="str"/>
      <x:c r="AE243" s="12" t="str"/>
      <x:c r="AF243" s="12" t="str">
        <x:v>acceptable</x:v>
      </x:c>
      <x:c r="AG243" s="12" t="n">
        <x:v>1</x:v>
      </x:c>
      <x:c r="AH243" s="12" t="str">
        <x:v>acceptable</x:v>
      </x:c>
      <x:c r="AI243" s="12" t="str">
        <x:v>acceptable</x:v>
      </x:c>
      <x:c r="AJ243" s="12" t="str">
        <x:v>acceptable</x:v>
      </x:c>
      <x:c r="AK243" s="12" t="str">
        <x:v>not_applicable</x:v>
      </x:c>
      <x:c r="AL243" s="12" t="str">
        <x:v>mild</x:v>
      </x:c>
      <x:c r="AM243" s="14" t="str">
        <x:v>Moderate pose, crop, or image degradation causes minor landmark uncertainty; the result remains usable.</x:v>
      </x:c>
    </x:row>
    <x:row r="244" ht="30" customHeight="1">
      <x:c r="A244" s="12" t="str">
        <x:v>neutral_043</x:v>
      </x:c>
      <x:c r="B244" s="12" t="str">
        <x:v>neutral</x:v>
      </x:c>
      <x:c r="C244" s="14" t="str">
        <x:v>neutral/Training_94457993.jpg</x:v>
      </x:c>
      <x:c r="D244" s="12" t="str">
        <x:v>274f8ac0caec25ed40368552f1e02e409b88fa25299c43f804395c60e4ae8658</x:v>
      </x:c>
      <x:c r="E244" s="12" t="str">
        <x:v>274f8ac0caec25ed40368552f1e02e409b88fa25299c43f804395c60e4ae8658</x:v>
      </x:c>
      <x:c r="F244" s="12" t="str">
        <x:v>True</x:v>
      </x:c>
      <x:c r="G244" s="12" t="str">
        <x:v>48</x:v>
      </x:c>
      <x:c r="H244" s="12" t="str">
        <x:v>48</x:v>
      </x:c>
      <x:c r="I244" s="12" t="str">
        <x:v>0.0</x:v>
      </x:c>
      <x:c r="J244" s="12" t="str">
        <x:v>0.0</x:v>
      </x:c>
      <x:c r="K244" s="12" t="str">
        <x:v>47.0</x:v>
      </x:c>
      <x:c r="L244" s="12" t="str">
        <x:v>47.0</x:v>
      </x:c>
      <x:c r="M244" s="12" t="str">
        <x:v>True</x:v>
      </x:c>
      <x:c r="N244" s="12" t="str">
        <x:v>106</x:v>
      </x:c>
      <x:c r="O244" s="12" t="str">
        <x:v>106</x:v>
      </x:c>
      <x:c r="P244" s="16" t="str">
        <x:v>1.0</x:v>
      </x:c>
      <x:c r="Q244" s="12" t="str">
        <x:v>99</x:v>
      </x:c>
      <x:c r="R244" s="16" t="str">
        <x:v>0.9339622641509434</x:v>
      </x:c>
      <x:c r="S244" s="12" t="str">
        <x:v>0.2</x:v>
      </x:c>
      <x:c r="T244" s="12" t="str">
        <x:v>106</x:v>
      </x:c>
      <x:c r="U244" s="16" t="str">
        <x:v>1.0</x:v>
      </x:c>
      <x:c r="V244" s="18" t="str">
        <x:v>0.6045160889625549</x:v>
      </x:c>
      <x:c r="W244" s="18" t="str">
        <x:v>0.658678412437439</x:v>
      </x:c>
      <x:c r="X244" s="18" t="str">
        <x:v>0.7723312973976135</x:v>
      </x:c>
      <x:c r="Y244" s="18" t="str">
        <x:v>0.7721462249755859</x:v>
      </x:c>
      <x:c r="Z244" s="18" t="str">
        <x:v>0.8763535618782043</x:v>
      </x:c>
      <x:c r="AA244" s="18" t="str">
        <x:v>0.9960430860519409</x:v>
      </x:c>
      <x:c r="AB244" s="20" t="str">
        <x:v>107.15340000024298</x:v>
      </x:c>
      <x:c r="AC244" s="12" t="str">
        <x:v>overlays\neutral_043.png</x:v>
      </x:c>
      <x:c r="AD244" s="12" t="str"/>
      <x:c r="AE244" s="12" t="str"/>
      <x:c r="AF244" s="12" t="str">
        <x:v>acceptable</x:v>
      </x:c>
      <x:c r="AG244" s="12" t="n">
        <x:v>1</x:v>
      </x:c>
      <x:c r="AH244" s="12" t="str">
        <x:v>acceptable</x:v>
      </x:c>
      <x:c r="AI244" s="12" t="str">
        <x:v>acceptable</x:v>
      </x:c>
      <x:c r="AJ244" s="12" t="str">
        <x:v>acceptable</x:v>
      </x:c>
      <x:c r="AK244" s="12" t="str">
        <x:v>not_applicable</x:v>
      </x:c>
      <x:c r="AL244" s="12" t="str">
        <x:v>mild</x:v>
      </x:c>
      <x:c r="AM244" s="14" t="str">
        <x:v>Large pose or profile; visible landmarks are useful, while hidden-side contour points are inferred.</x:v>
      </x:c>
    </x:row>
    <x:row r="245" ht="30" customHeight="1">
      <x:c r="A245" s="12" t="str">
        <x:v>neutral_044</x:v>
      </x:c>
      <x:c r="B245" s="12" t="str">
        <x:v>neutral</x:v>
      </x:c>
      <x:c r="C245" s="14" t="str">
        <x:v>neutral/Training_95241865.jpg</x:v>
      </x:c>
      <x:c r="D245" s="12" t="str">
        <x:v>b7891807518379c213ea0f1420940b9487f95aad44a6c2299df158c67a8b87d3</x:v>
      </x:c>
      <x:c r="E245" s="12" t="str">
        <x:v>b7891807518379c213ea0f1420940b9487f95aad44a6c2299df158c67a8b87d3</x:v>
      </x:c>
      <x:c r="F245" s="12" t="str">
        <x:v>True</x:v>
      </x:c>
      <x:c r="G245" s="12" t="str">
        <x:v>48</x:v>
      </x:c>
      <x:c r="H245" s="12" t="str">
        <x:v>48</x:v>
      </x:c>
      <x:c r="I245" s="12" t="str">
        <x:v>0.0</x:v>
      </x:c>
      <x:c r="J245" s="12" t="str">
        <x:v>0.0</x:v>
      </x:c>
      <x:c r="K245" s="12" t="str">
        <x:v>47.0</x:v>
      </x:c>
      <x:c r="L245" s="12" t="str">
        <x:v>47.0</x:v>
      </x:c>
      <x:c r="M245" s="12" t="str">
        <x:v>True</x:v>
      </x:c>
      <x:c r="N245" s="12" t="str">
        <x:v>106</x:v>
      </x:c>
      <x:c r="O245" s="12" t="str">
        <x:v>106</x:v>
      </x:c>
      <x:c r="P245" s="16" t="str">
        <x:v>1.0</x:v>
      </x:c>
      <x:c r="Q245" s="12" t="str">
        <x:v>93</x:v>
      </x:c>
      <x:c r="R245" s="16" t="str">
        <x:v>0.8773584905660378</x:v>
      </x:c>
      <x:c r="S245" s="12" t="str">
        <x:v>0.2</x:v>
      </x:c>
      <x:c r="T245" s="12" t="str">
        <x:v>106</x:v>
      </x:c>
      <x:c r="U245" s="16" t="str">
        <x:v>1.0</x:v>
      </x:c>
      <x:c r="V245" s="18" t="str">
        <x:v>0.38163408637046814</x:v>
      </x:c>
      <x:c r="W245" s="18" t="str">
        <x:v>0.49514785408973694</x:v>
      </x:c>
      <x:c r="X245" s="18" t="str">
        <x:v>0.6811033487319946</x:v>
      </x:c>
      <x:c r="Y245" s="18" t="str">
        <x:v>0.6539795398712158</x:v>
      </x:c>
      <x:c r="Z245" s="18" t="str">
        <x:v>0.9164785742759705</x:v>
      </x:c>
      <x:c r="AA245" s="18" t="str">
        <x:v>0.9880639910697937</x:v>
      </x:c>
      <x:c r="AB245" s="20" t="str">
        <x:v>105.10209999847575</x:v>
      </x:c>
      <x:c r="AC245" s="12" t="str">
        <x:v>overlays\neutral_044.png</x:v>
      </x:c>
      <x:c r="AD245" s="12" t="str"/>
      <x:c r="AE245" s="12" t="str"/>
      <x:c r="AF245" s="12" t="str">
        <x:v>acceptable</x:v>
      </x:c>
      <x:c r="AG245" s="12" t="n">
        <x:v>1</x:v>
      </x:c>
      <x:c r="AH245" s="12" t="str">
        <x:v>acceptable</x:v>
      </x:c>
      <x:c r="AI245" s="12" t="str">
        <x:v>acceptable</x:v>
      </x:c>
      <x:c r="AJ245" s="12" t="str">
        <x:v>acceptable</x:v>
      </x:c>
      <x:c r="AK245" s="12" t="str">
        <x:v>not_applicable</x:v>
      </x:c>
      <x:c r="AL245" s="12" t="str">
        <x:v>mild</x:v>
      </x:c>
      <x:c r="AM245" s="14" t="str">
        <x:v>Moderate pose, crop, or image degradation causes minor landmark uncertainty; the result remains usable.</x:v>
      </x:c>
    </x:row>
    <x:row r="246" ht="30" customHeight="1">
      <x:c r="A246" s="12" t="str">
        <x:v>neutral_045</x:v>
      </x:c>
      <x:c r="B246" s="12" t="str">
        <x:v>neutral</x:v>
      </x:c>
      <x:c r="C246" s="14" t="str">
        <x:v>neutral/Training_80271780.jpg</x:v>
      </x:c>
      <x:c r="D246" s="12" t="str">
        <x:v>e990300163ec5518f13d47d236fee12b1605111c71eb39af8dc44e8506d27600</x:v>
      </x:c>
      <x:c r="E246" s="12" t="str">
        <x:v>e990300163ec5518f13d47d236fee12b1605111c71eb39af8dc44e8506d27600</x:v>
      </x:c>
      <x:c r="F246" s="12" t="str">
        <x:v>True</x:v>
      </x:c>
      <x:c r="G246" s="12" t="str">
        <x:v>48</x:v>
      </x:c>
      <x:c r="H246" s="12" t="str">
        <x:v>48</x:v>
      </x:c>
      <x:c r="I246" s="12" t="str">
        <x:v>0.0</x:v>
      </x:c>
      <x:c r="J246" s="12" t="str">
        <x:v>0.0</x:v>
      </x:c>
      <x:c r="K246" s="12" t="str">
        <x:v>47.0</x:v>
      </x:c>
      <x:c r="L246" s="12" t="str">
        <x:v>47.0</x:v>
      </x:c>
      <x:c r="M246" s="12" t="str">
        <x:v>True</x:v>
      </x:c>
      <x:c r="N246" s="12" t="str">
        <x:v>106</x:v>
      </x:c>
      <x:c r="O246" s="12" t="str">
        <x:v>106</x:v>
      </x:c>
      <x:c r="P246" s="16" t="str">
        <x:v>1.0</x:v>
      </x:c>
      <x:c r="Q246" s="12" t="str">
        <x:v>95</x:v>
      </x:c>
      <x:c r="R246" s="16" t="str">
        <x:v>0.8962264150943396</x:v>
      </x:c>
      <x:c r="S246" s="12" t="str">
        <x:v>0.2</x:v>
      </x:c>
      <x:c r="T246" s="12" t="str">
        <x:v>106</x:v>
      </x:c>
      <x:c r="U246" s="16" t="str">
        <x:v>1.0</x:v>
      </x:c>
      <x:c r="V246" s="18" t="str">
        <x:v>0.334379106760025</x:v>
      </x:c>
      <x:c r="W246" s="18" t="str">
        <x:v>0.435989111661911</x:v>
      </x:c>
      <x:c r="X246" s="18" t="str">
        <x:v>0.6707414388656616</x:v>
      </x:c>
      <x:c r="Y246" s="18" t="str">
        <x:v>0.6407214403152466</x:v>
      </x:c>
      <x:c r="Z246" s="18" t="str">
        <x:v>0.9561425745487213</x:v>
      </x:c>
      <x:c r="AA246" s="18" t="str">
        <x:v>1.0791001319885254</x:v>
      </x:c>
      <x:c r="AB246" s="20" t="str">
        <x:v>110.52310000013676</x:v>
      </x:c>
      <x:c r="AC246" s="12" t="str">
        <x:v>overlays\neutral_045.png</x:v>
      </x:c>
      <x:c r="AD246" s="12" t="str"/>
      <x:c r="AE246" s="12" t="str"/>
      <x:c r="AF246" s="12" t="str">
        <x:v>good</x:v>
      </x:c>
      <x:c r="AG246" s="12" t="n">
        <x:v>1</x:v>
      </x:c>
      <x:c r="AH246" s="12" t="str">
        <x:v>good</x:v>
      </x:c>
      <x:c r="AI246" s="12" t="str">
        <x:v>good</x:v>
      </x:c>
      <x:c r="AJ246" s="12" t="str">
        <x:v>good</x:v>
      </x:c>
      <x:c r="AK246" s="12" t="str">
        <x:v>not_applicable</x:v>
      </x:c>
      <x:c r="AL246" s="12" t="str">
        <x:v>none</x:v>
      </x:c>
      <x:c r="AM246" s="14" t="str">
        <x:v>Clear and well-aligned facial landmarks with no major pose, crop, or occlusion issue.</x:v>
      </x:c>
    </x:row>
    <x:row r="247" ht="30" customHeight="1">
      <x:c r="A247" s="12" t="str">
        <x:v>neutral_046</x:v>
      </x:c>
      <x:c r="B247" s="12" t="str">
        <x:v>neutral</x:v>
      </x:c>
      <x:c r="C247" s="14" t="str">
        <x:v>neutral/Training_45782533.jpg</x:v>
      </x:c>
      <x:c r="D247" s="12" t="str">
        <x:v>7a40d7d0fc0c8602ee3da3607e14869743e6ba838642aa8fcfc9392b62d64544</x:v>
      </x:c>
      <x:c r="E247" s="12" t="str">
        <x:v>7a40d7d0fc0c8602ee3da3607e14869743e6ba838642aa8fcfc9392b62d64544</x:v>
      </x:c>
      <x:c r="F247" s="12" t="str">
        <x:v>True</x:v>
      </x:c>
      <x:c r="G247" s="12" t="str">
        <x:v>48</x:v>
      </x:c>
      <x:c r="H247" s="12" t="str">
        <x:v>48</x:v>
      </x:c>
      <x:c r="I247" s="12" t="str">
        <x:v>0.0</x:v>
      </x:c>
      <x:c r="J247" s="12" t="str">
        <x:v>0.0</x:v>
      </x:c>
      <x:c r="K247" s="12" t="str">
        <x:v>47.0</x:v>
      </x:c>
      <x:c r="L247" s="12" t="str">
        <x:v>47.0</x:v>
      </x:c>
      <x:c r="M247" s="12" t="str">
        <x:v>True</x:v>
      </x:c>
      <x:c r="N247" s="12" t="str">
        <x:v>106</x:v>
      </x:c>
      <x:c r="O247" s="12" t="str">
        <x:v>106</x:v>
      </x:c>
      <x:c r="P247" s="16" t="str">
        <x:v>1.0</x:v>
      </x:c>
      <x:c r="Q247" s="12" t="str">
        <x:v>98</x:v>
      </x:c>
      <x:c r="R247" s="16" t="str">
        <x:v>0.9245283018867925</x:v>
      </x:c>
      <x:c r="S247" s="12" t="str">
        <x:v>0.2</x:v>
      </x:c>
      <x:c r="T247" s="12" t="str">
        <x:v>106</x:v>
      </x:c>
      <x:c r="U247" s="16" t="str">
        <x:v>1.0</x:v>
      </x:c>
      <x:c r="V247" s="18" t="str">
        <x:v>0.2997119426727295</x:v>
      </x:c>
      <x:c r="W247" s="18" t="str">
        <x:v>0.4273810386657715</x:v>
      </x:c>
      <x:c r="X247" s="18" t="str">
        <x:v>0.690405547618866</x:v>
      </x:c>
      <x:c r="Y247" s="18" t="str">
        <x:v>0.64473557472229</x:v>
      </x:c>
      <x:c r="Z247" s="18" t="str">
        <x:v>0.9728128612041473</x:v>
      </x:c>
      <x:c r="AA247" s="18" t="str">
        <x:v>1.0605864524841309</x:v>
      </x:c>
      <x:c r="AB247" s="20" t="str">
        <x:v>108.0500000025495</x:v>
      </x:c>
      <x:c r="AC247" s="12" t="str">
        <x:v>overlays\neutral_046.png</x:v>
      </x:c>
      <x:c r="AD247" s="12" t="str"/>
      <x:c r="AE247" s="12" t="str"/>
      <x:c r="AF247" s="12" t="str">
        <x:v>good</x:v>
      </x:c>
      <x:c r="AG247" s="12" t="n">
        <x:v>1</x:v>
      </x:c>
      <x:c r="AH247" s="12" t="str">
        <x:v>good</x:v>
      </x:c>
      <x:c r="AI247" s="12" t="str">
        <x:v>good</x:v>
      </x:c>
      <x:c r="AJ247" s="12" t="str">
        <x:v>good</x:v>
      </x:c>
      <x:c r="AK247" s="12" t="str">
        <x:v>not_applicable</x:v>
      </x:c>
      <x:c r="AL247" s="12" t="str">
        <x:v>none</x:v>
      </x:c>
      <x:c r="AM247" s="14" t="str">
        <x:v>Clear and well-aligned facial landmarks with no major pose, crop, or occlusion issue.</x:v>
      </x:c>
    </x:row>
    <x:row r="248" ht="30" customHeight="1">
      <x:c r="A248" s="12" t="str">
        <x:v>neutral_047</x:v>
      </x:c>
      <x:c r="B248" s="12" t="str">
        <x:v>neutral</x:v>
      </x:c>
      <x:c r="C248" s="14" t="str">
        <x:v>neutral/Training_80335177.jpg</x:v>
      </x:c>
      <x:c r="D248" s="12" t="str">
        <x:v>fa78d3b0ead7c4fd39c6b89d08f24eb2865b714b5fcfa577ee06c8eb27f00b0d</x:v>
      </x:c>
      <x:c r="E248" s="12" t="str">
        <x:v>fa78d3b0ead7c4fd39c6b89d08f24eb2865b714b5fcfa577ee06c8eb27f00b0d</x:v>
      </x:c>
      <x:c r="F248" s="12" t="str">
        <x:v>True</x:v>
      </x:c>
      <x:c r="G248" s="12" t="str">
        <x:v>48</x:v>
      </x:c>
      <x:c r="H248" s="12" t="str">
        <x:v>48</x:v>
      </x:c>
      <x:c r="I248" s="12" t="str">
        <x:v>0.0</x:v>
      </x:c>
      <x:c r="J248" s="12" t="str">
        <x:v>0.0</x:v>
      </x:c>
      <x:c r="K248" s="12" t="str">
        <x:v>47.0</x:v>
      </x:c>
      <x:c r="L248" s="12" t="str">
        <x:v>47.0</x:v>
      </x:c>
      <x:c r="M248" s="12" t="str">
        <x:v>True</x:v>
      </x:c>
      <x:c r="N248" s="12" t="str">
        <x:v>106</x:v>
      </x:c>
      <x:c r="O248" s="12" t="str">
        <x:v>106</x:v>
      </x:c>
      <x:c r="P248" s="16" t="str">
        <x:v>1.0</x:v>
      </x:c>
      <x:c r="Q248" s="12" t="str">
        <x:v>95</x:v>
      </x:c>
      <x:c r="R248" s="16" t="str">
        <x:v>0.8962264150943396</x:v>
      </x:c>
      <x:c r="S248" s="12" t="str">
        <x:v>0.2</x:v>
      </x:c>
      <x:c r="T248" s="12" t="str">
        <x:v>106</x:v>
      </x:c>
      <x:c r="U248" s="16" t="str">
        <x:v>1.0</x:v>
      </x:c>
      <x:c r="V248" s="18" t="str">
        <x:v>0.3213774561882019</x:v>
      </x:c>
      <x:c r="W248" s="18" t="str">
        <x:v>0.38904666900634766</x:v>
      </x:c>
      <x:c r="X248" s="18" t="str">
        <x:v>0.5470631718635559</x:v>
      </x:c>
      <x:c r="Y248" s="18" t="str">
        <x:v>0.5552370548248291</x:v>
      </x:c>
      <x:c r="Z248" s="18" t="str">
        <x:v>0.6719745993614197</x:v>
      </x:c>
      <x:c r="AA248" s="18" t="str">
        <x:v>0.757561981678009</x:v>
      </x:c>
      <x:c r="AB248" s="20" t="str">
        <x:v>122.99230000280659</x:v>
      </x:c>
      <x:c r="AC248" s="12" t="str">
        <x:v>overlays\neutral_047.png</x:v>
      </x:c>
      <x:c r="AD248" s="12" t="str"/>
      <x:c r="AE248" s="12" t="str"/>
      <x:c r="AF248" s="12" t="str">
        <x:v>acceptable</x:v>
      </x:c>
      <x:c r="AG248" s="12" t="n">
        <x:v>1</x:v>
      </x:c>
      <x:c r="AH248" s="12" t="str">
        <x:v>occluded</x:v>
      </x:c>
      <x:c r="AI248" s="12" t="str">
        <x:v>occluded</x:v>
      </x:c>
      <x:c r="AJ248" s="12" t="str">
        <x:v>acceptable</x:v>
      </x:c>
      <x:c r="AK248" s="12" t="str">
        <x:v>not_applicable</x:v>
      </x:c>
      <x:c r="AL248" s="12" t="str">
        <x:v>mild</x:v>
      </x:c>
      <x:c r="AM248" s="14" t="str">
        <x:v>Occlusion affects part of the face; visible landmarks remain usable, but hidden points are inferred.</x:v>
      </x:c>
    </x:row>
    <x:row r="249" ht="30" customHeight="1">
      <x:c r="A249" s="12" t="str">
        <x:v>neutral_048</x:v>
      </x:c>
      <x:c r="B249" s="12" t="str">
        <x:v>neutral</x:v>
      </x:c>
      <x:c r="C249" s="14" t="str">
        <x:v>neutral/Training_70268633.jpg</x:v>
      </x:c>
      <x:c r="D249" s="12" t="str">
        <x:v>26ede3ff4fe9d4bb16b72fc055ed753609f92eba2b4bf520451de8fce4c92798</x:v>
      </x:c>
      <x:c r="E249" s="12" t="str">
        <x:v>26ede3ff4fe9d4bb16b72fc055ed753609f92eba2b4bf520451de8fce4c92798</x:v>
      </x:c>
      <x:c r="F249" s="12" t="str">
        <x:v>True</x:v>
      </x:c>
      <x:c r="G249" s="12" t="str">
        <x:v>48</x:v>
      </x:c>
      <x:c r="H249" s="12" t="str">
        <x:v>48</x:v>
      </x:c>
      <x:c r="I249" s="12" t="str">
        <x:v>0.0</x:v>
      </x:c>
      <x:c r="J249" s="12" t="str">
        <x:v>0.0</x:v>
      </x:c>
      <x:c r="K249" s="12" t="str">
        <x:v>47.0</x:v>
      </x:c>
      <x:c r="L249" s="12" t="str">
        <x:v>47.0</x:v>
      </x:c>
      <x:c r="M249" s="12" t="str">
        <x:v>True</x:v>
      </x:c>
      <x:c r="N249" s="12" t="str">
        <x:v>106</x:v>
      </x:c>
      <x:c r="O249" s="12" t="str">
        <x:v>106</x:v>
      </x:c>
      <x:c r="P249" s="16" t="str">
        <x:v>1.0</x:v>
      </x:c>
      <x:c r="Q249" s="12" t="str">
        <x:v>106</x:v>
      </x:c>
      <x:c r="R249" s="16" t="str">
        <x:v>1.0</x:v>
      </x:c>
      <x:c r="S249" s="12" t="str">
        <x:v>0.2</x:v>
      </x:c>
      <x:c r="T249" s="12" t="str">
        <x:v>106</x:v>
      </x:c>
      <x:c r="U249" s="16" t="str">
        <x:v>1.0</x:v>
      </x:c>
      <x:c r="V249" s="18" t="str">
        <x:v>0.4320187568664551</x:v>
      </x:c>
      <x:c r="W249" s="18" t="str">
        <x:v>0.556941568851471</x:v>
      </x:c>
      <x:c r="X249" s="18" t="str">
        <x:v>0.7690756320953369</x:v>
      </x:c>
      <x:c r="Y249" s="18" t="str">
        <x:v>0.755111575126648</x:v>
      </x:c>
      <x:c r="Z249" s="18" t="str">
        <x:v>0.9782775938510895</x:v>
      </x:c>
      <x:c r="AA249" s="18" t="str">
        <x:v>1.088746428489685</x:v>
      </x:c>
      <x:c r="AB249" s="20" t="str">
        <x:v>106.37339999811957</x:v>
      </x:c>
      <x:c r="AC249" s="12" t="str">
        <x:v>overlays\neutral_048.png</x:v>
      </x:c>
      <x:c r="AD249" s="12" t="str"/>
      <x:c r="AE249" s="12" t="str"/>
      <x:c r="AF249" s="12" t="str">
        <x:v>good</x:v>
      </x:c>
      <x:c r="AG249" s="12" t="n">
        <x:v>1</x:v>
      </x:c>
      <x:c r="AH249" s="12" t="str">
        <x:v>good</x:v>
      </x:c>
      <x:c r="AI249" s="12" t="str">
        <x:v>good</x:v>
      </x:c>
      <x:c r="AJ249" s="12" t="str">
        <x:v>good</x:v>
      </x:c>
      <x:c r="AK249" s="12" t="str">
        <x:v>not_applicable</x:v>
      </x:c>
      <x:c r="AL249" s="12" t="str">
        <x:v>none</x:v>
      </x:c>
      <x:c r="AM249" s="14" t="str">
        <x:v>Clear and well-aligned facial landmarks with no major pose, crop, or occlusion issue.</x:v>
      </x:c>
    </x:row>
    <x:row r="250" ht="30" customHeight="1">
      <x:c r="A250" s="12" t="str">
        <x:v>neutral_049</x:v>
      </x:c>
      <x:c r="B250" s="12" t="str">
        <x:v>neutral</x:v>
      </x:c>
      <x:c r="C250" s="14" t="str">
        <x:v>neutral/Training_37985686.jpg</x:v>
      </x:c>
      <x:c r="D250" s="12" t="str">
        <x:v>16998f2d296fd2c8142c7ceb71a20faa83eca60ab5fb175f01674afa07165daf</x:v>
      </x:c>
      <x:c r="E250" s="12" t="str">
        <x:v>16998f2d296fd2c8142c7ceb71a20faa83eca60ab5fb175f01674afa07165daf</x:v>
      </x:c>
      <x:c r="F250" s="12" t="str">
        <x:v>True</x:v>
      </x:c>
      <x:c r="G250" s="12" t="str">
        <x:v>48</x:v>
      </x:c>
      <x:c r="H250" s="12" t="str">
        <x:v>48</x:v>
      </x:c>
      <x:c r="I250" s="12" t="str">
        <x:v>0.0</x:v>
      </x:c>
      <x:c r="J250" s="12" t="str">
        <x:v>0.0</x:v>
      </x:c>
      <x:c r="K250" s="12" t="str">
        <x:v>47.0</x:v>
      </x:c>
      <x:c r="L250" s="12" t="str">
        <x:v>47.0</x:v>
      </x:c>
      <x:c r="M250" s="12" t="str">
        <x:v>True</x:v>
      </x:c>
      <x:c r="N250" s="12" t="str">
        <x:v>106</x:v>
      </x:c>
      <x:c r="O250" s="12" t="str">
        <x:v>106</x:v>
      </x:c>
      <x:c r="P250" s="16" t="str">
        <x:v>1.0</x:v>
      </x:c>
      <x:c r="Q250" s="12" t="str">
        <x:v>100</x:v>
      </x:c>
      <x:c r="R250" s="16" t="str">
        <x:v>0.9433962264150944</x:v>
      </x:c>
      <x:c r="S250" s="12" t="str">
        <x:v>0.2</x:v>
      </x:c>
      <x:c r="T250" s="12" t="str">
        <x:v>106</x:v>
      </x:c>
      <x:c r="U250" s="16" t="str">
        <x:v>1.0</x:v>
      </x:c>
      <x:c r="V250" s="18" t="str">
        <x:v>0.3689534068107605</x:v>
      </x:c>
      <x:c r="W250" s="18" t="str">
        <x:v>0.45066383481025696</x:v>
      </x:c>
      <x:c r="X250" s="18" t="str">
        <x:v>0.6690270900726318</x:v>
      </x:c>
      <x:c r="Y250" s="18" t="str">
        <x:v>0.6313172578811646</x:v>
      </x:c>
      <x:c r="Z250" s="18" t="str">
        <x:v>0.9276509881019592</x:v>
      </x:c>
      <x:c r="AA250" s="18" t="str">
        <x:v>1.0109890699386597</x:v>
      </x:c>
      <x:c r="AB250" s="20" t="str">
        <x:v>108.97770000156015</x:v>
      </x:c>
      <x:c r="AC250" s="12" t="str">
        <x:v>overlays\neutral_049.png</x:v>
      </x:c>
      <x:c r="AD250" s="12" t="str"/>
      <x:c r="AE250" s="12" t="str"/>
      <x:c r="AF250" s="12" t="str">
        <x:v>good</x:v>
      </x:c>
      <x:c r="AG250" s="12" t="n">
        <x:v>1</x:v>
      </x:c>
      <x:c r="AH250" s="12" t="str">
        <x:v>good</x:v>
      </x:c>
      <x:c r="AI250" s="12" t="str">
        <x:v>good</x:v>
      </x:c>
      <x:c r="AJ250" s="12" t="str">
        <x:v>good</x:v>
      </x:c>
      <x:c r="AK250" s="12" t="str">
        <x:v>not_applicable</x:v>
      </x:c>
      <x:c r="AL250" s="12" t="str">
        <x:v>none</x:v>
      </x:c>
      <x:c r="AM250" s="14" t="str">
        <x:v>Clear and well-aligned facial landmarks with no major pose, crop, or occlusion issue.</x:v>
      </x:c>
    </x:row>
    <x:row r="251" ht="30" customHeight="1">
      <x:c r="A251" s="12" t="str">
        <x:v>neutral_050</x:v>
      </x:c>
      <x:c r="B251" s="12" t="str">
        <x:v>neutral</x:v>
      </x:c>
      <x:c r="C251" s="14" t="str">
        <x:v>neutral/Training_23139059.jpg</x:v>
      </x:c>
      <x:c r="D251" s="12" t="str">
        <x:v>5281810c0360b582ef3d3099ec49b38c87c9065c76d1558712ab3336aa01c0c0</x:v>
      </x:c>
      <x:c r="E251" s="12" t="str">
        <x:v>5281810c0360b582ef3d3099ec49b38c87c9065c76d1558712ab3336aa01c0c0</x:v>
      </x:c>
      <x:c r="F251" s="12" t="str">
        <x:v>True</x:v>
      </x:c>
      <x:c r="G251" s="12" t="str">
        <x:v>48</x:v>
      </x:c>
      <x:c r="H251" s="12" t="str">
        <x:v>48</x:v>
      </x:c>
      <x:c r="I251" s="12" t="str">
        <x:v>0.0</x:v>
      </x:c>
      <x:c r="J251" s="12" t="str">
        <x:v>0.0</x:v>
      </x:c>
      <x:c r="K251" s="12" t="str">
        <x:v>47.0</x:v>
      </x:c>
      <x:c r="L251" s="12" t="str">
        <x:v>47.0</x:v>
      </x:c>
      <x:c r="M251" s="12" t="str">
        <x:v>True</x:v>
      </x:c>
      <x:c r="N251" s="12" t="str">
        <x:v>106</x:v>
      </x:c>
      <x:c r="O251" s="12" t="str">
        <x:v>106</x:v>
      </x:c>
      <x:c r="P251" s="16" t="str">
        <x:v>1.0</x:v>
      </x:c>
      <x:c r="Q251" s="12" t="str">
        <x:v>101</x:v>
      </x:c>
      <x:c r="R251" s="16" t="str">
        <x:v>0.9528301886792453</x:v>
      </x:c>
      <x:c r="S251" s="12" t="str">
        <x:v>0.2</x:v>
      </x:c>
      <x:c r="T251" s="12" t="str">
        <x:v>106</x:v>
      </x:c>
      <x:c r="U251" s="16" t="str">
        <x:v>1.0</x:v>
      </x:c>
      <x:c r="V251" s="18" t="str">
        <x:v>0.3576003909111023</x:v>
      </x:c>
      <x:c r="W251" s="18" t="str">
        <x:v>0.3877120912075043</x:v>
      </x:c>
      <x:c r="X251" s="18" t="str">
        <x:v>0.6123219132423401</x:v>
      </x:c>
      <x:c r="Y251" s="18" t="str">
        <x:v>0.6105470657348633</x:v>
      </x:c>
      <x:c r="Z251" s="18" t="str">
        <x:v>0.8415331542491913</x:v>
      </x:c>
      <x:c r="AA251" s="18" t="str">
        <x:v>0.8854708671569824</x:v>
      </x:c>
      <x:c r="AB251" s="20" t="str">
        <x:v>106.49990000092657</x:v>
      </x:c>
      <x:c r="AC251" s="12" t="str">
        <x:v>overlays\neutral_050.png</x:v>
      </x:c>
      <x:c r="AD251" s="12" t="str"/>
      <x:c r="AE251" s="12" t="str"/>
      <x:c r="AF251" s="12" t="str">
        <x:v>acceptable</x:v>
      </x:c>
      <x:c r="AG251" s="12" t="n">
        <x:v>1</x:v>
      </x:c>
      <x:c r="AH251" s="12" t="str">
        <x:v>acceptable</x:v>
      </x:c>
      <x:c r="AI251" s="12" t="str">
        <x:v>acceptable</x:v>
      </x:c>
      <x:c r="AJ251" s="12" t="str">
        <x:v>acceptable</x:v>
      </x:c>
      <x:c r="AK251" s="12" t="str">
        <x:v>not_applicable</x:v>
      </x:c>
      <x:c r="AL251" s="12" t="str">
        <x:v>mild</x:v>
      </x:c>
      <x:c r="AM251" s="14" t="str">
        <x:v>Large pose or profile; visible landmarks are useful, while hidden-side contour points are inferred.</x:v>
      </x:c>
    </x:row>
    <x:row r="252" ht="30" customHeight="1">
      <x:c r="A252" s="12" t="str">
        <x:v>sad_001</x:v>
      </x:c>
      <x:c r="B252" s="12" t="str">
        <x:v>sad</x:v>
      </x:c>
      <x:c r="C252" s="14" t="str">
        <x:v>sad/Training_24268864.jpg</x:v>
      </x:c>
      <x:c r="D252" s="12" t="str">
        <x:v>b7b3fac398b541b231625fb328c6ce458e42296b8ea306e846761d77246d0df9</x:v>
      </x:c>
      <x:c r="E252" s="12" t="str">
        <x:v>b7b3fac398b541b231625fb328c6ce458e42296b8ea306e846761d77246d0df9</x:v>
      </x:c>
      <x:c r="F252" s="12" t="str">
        <x:v>True</x:v>
      </x:c>
      <x:c r="G252" s="12" t="str">
        <x:v>48</x:v>
      </x:c>
      <x:c r="H252" s="12" t="str">
        <x:v>48</x:v>
      </x:c>
      <x:c r="I252" s="12" t="str">
        <x:v>0.0</x:v>
      </x:c>
      <x:c r="J252" s="12" t="str">
        <x:v>0.0</x:v>
      </x:c>
      <x:c r="K252" s="12" t="str">
        <x:v>47.0</x:v>
      </x:c>
      <x:c r="L252" s="12" t="str">
        <x:v>47.0</x:v>
      </x:c>
      <x:c r="M252" s="12" t="str">
        <x:v>True</x:v>
      </x:c>
      <x:c r="N252" s="12" t="str">
        <x:v>106</x:v>
      </x:c>
      <x:c r="O252" s="12" t="str">
        <x:v>106</x:v>
      </x:c>
      <x:c r="P252" s="16" t="str">
        <x:v>1.0</x:v>
      </x:c>
      <x:c r="Q252" s="12" t="str">
        <x:v>106</x:v>
      </x:c>
      <x:c r="R252" s="16" t="str">
        <x:v>1.0</x:v>
      </x:c>
      <x:c r="S252" s="12" t="str">
        <x:v>0.2</x:v>
      </x:c>
      <x:c r="T252" s="12" t="str">
        <x:v>106</x:v>
      </x:c>
      <x:c r="U252" s="16" t="str">
        <x:v>1.0</x:v>
      </x:c>
      <x:c r="V252" s="18" t="str">
        <x:v>0.4546433091163635</x:v>
      </x:c>
      <x:c r="W252" s="18" t="str">
        <x:v>0.550357460975647</x:v>
      </x:c>
      <x:c r="X252" s="18" t="str">
        <x:v>0.6917359828948975</x:v>
      </x:c>
      <x:c r="Y252" s="18" t="str">
        <x:v>0.655632495880127</x:v>
      </x:c>
      <x:c r="Z252" s="18" t="str">
        <x:v>0.8880465030670166</x:v>
      </x:c>
      <x:c r="AA252" s="18" t="str">
        <x:v>0.9424019455909729</x:v>
      </x:c>
      <x:c r="AB252" s="20" t="str">
        <x:v>108.19189999892842</x:v>
      </x:c>
      <x:c r="AC252" s="12" t="str">
        <x:v>overlays\sad_001.png</x:v>
      </x:c>
      <x:c r="AD252" s="12" t="str"/>
      <x:c r="AE252" s="12" t="str"/>
      <x:c r="AF252" s="12" t="str">
        <x:v>good</x:v>
      </x:c>
      <x:c r="AG252" s="12" t="n">
        <x:v>1</x:v>
      </x:c>
      <x:c r="AH252" s="12" t="str">
        <x:v>good</x:v>
      </x:c>
      <x:c r="AI252" s="12" t="str">
        <x:v>good</x:v>
      </x:c>
      <x:c r="AJ252" s="12" t="str">
        <x:v>good</x:v>
      </x:c>
      <x:c r="AK252" s="12" t="str">
        <x:v>not_applicable</x:v>
      </x:c>
      <x:c r="AL252" s="12" t="str">
        <x:v>none</x:v>
      </x:c>
      <x:c r="AM252" s="14" t="str">
        <x:v>Clear and well-aligned facial landmarks with no major pose, crop, or occlusion issue.</x:v>
      </x:c>
    </x:row>
    <x:row r="253" ht="30" customHeight="1">
      <x:c r="A253" s="12" t="str">
        <x:v>sad_002</x:v>
      </x:c>
      <x:c r="B253" s="12" t="str">
        <x:v>sad</x:v>
      </x:c>
      <x:c r="C253" s="14" t="str">
        <x:v>sad/Training_7513470.jpg</x:v>
      </x:c>
      <x:c r="D253" s="12" t="str">
        <x:v>623be3f142f7b57648ae28906a5fc4d43bf88b4375eaea8df47121fda8577e59</x:v>
      </x:c>
      <x:c r="E253" s="12" t="str">
        <x:v>623be3f142f7b57648ae28906a5fc4d43bf88b4375eaea8df47121fda8577e59</x:v>
      </x:c>
      <x:c r="F253" s="12" t="str">
        <x:v>True</x:v>
      </x:c>
      <x:c r="G253" s="12" t="str">
        <x:v>48</x:v>
      </x:c>
      <x:c r="H253" s="12" t="str">
        <x:v>48</x:v>
      </x:c>
      <x:c r="I253" s="12" t="str">
        <x:v>0.0</x:v>
      </x:c>
      <x:c r="J253" s="12" t="str">
        <x:v>0.0</x:v>
      </x:c>
      <x:c r="K253" s="12" t="str">
        <x:v>47.0</x:v>
      </x:c>
      <x:c r="L253" s="12" t="str">
        <x:v>47.0</x:v>
      </x:c>
      <x:c r="M253" s="12" t="str">
        <x:v>True</x:v>
      </x:c>
      <x:c r="N253" s="12" t="str">
        <x:v>106</x:v>
      </x:c>
      <x:c r="O253" s="12" t="str">
        <x:v>106</x:v>
      </x:c>
      <x:c r="P253" s="16" t="str">
        <x:v>1.0</x:v>
      </x:c>
      <x:c r="Q253" s="12" t="str">
        <x:v>106</x:v>
      </x:c>
      <x:c r="R253" s="16" t="str">
        <x:v>1.0</x:v>
      </x:c>
      <x:c r="S253" s="12" t="str">
        <x:v>0.2</x:v>
      </x:c>
      <x:c r="T253" s="12" t="str">
        <x:v>106</x:v>
      </x:c>
      <x:c r="U253" s="16" t="str">
        <x:v>1.0</x:v>
      </x:c>
      <x:c r="V253" s="18" t="str">
        <x:v>0.4989737570285797</x:v>
      </x:c>
      <x:c r="W253" s="18" t="str">
        <x:v>0.5913811922073364</x:v>
      </x:c>
      <x:c r="X253" s="18" t="str">
        <x:v>0.7044843435287476</x:v>
      </x:c>
      <x:c r="Y253" s="18" t="str">
        <x:v>0.6963304281234741</x:v>
      </x:c>
      <x:c r="Z253" s="18" t="str">
        <x:v>0.8497487306594849</x:v>
      </x:c>
      <x:c r="AA253" s="18" t="str">
        <x:v>0.9668489694595337</x:v>
      </x:c>
      <x:c r="AB253" s="20" t="str">
        <x:v>113.85489999884157</x:v>
      </x:c>
      <x:c r="AC253" s="12" t="str">
        <x:v>overlays\sad_002.png</x:v>
      </x:c>
      <x:c r="AD253" s="12" t="str"/>
      <x:c r="AE253" s="12" t="str"/>
      <x:c r="AF253" s="12" t="str">
        <x:v>acceptable</x:v>
      </x:c>
      <x:c r="AG253" s="12" t="n">
        <x:v>1</x:v>
      </x:c>
      <x:c r="AH253" s="12" t="str">
        <x:v>acceptable</x:v>
      </x:c>
      <x:c r="AI253" s="12" t="str">
        <x:v>acceptable</x:v>
      </x:c>
      <x:c r="AJ253" s="12" t="str">
        <x:v>acceptable</x:v>
      </x:c>
      <x:c r="AK253" s="12" t="str">
        <x:v>not_applicable</x:v>
      </x:c>
      <x:c r="AL253" s="12" t="str">
        <x:v>mild</x:v>
      </x:c>
      <x:c r="AM253" s="14" t="str">
        <x:v>Moderate pose, crop, or image degradation causes minor landmark uncertainty; the result remains usable.</x:v>
      </x:c>
    </x:row>
    <x:row r="254" ht="30" customHeight="1">
      <x:c r="A254" s="12" t="str">
        <x:v>sad_003</x:v>
      </x:c>
      <x:c r="B254" s="12" t="str">
        <x:v>sad</x:v>
      </x:c>
      <x:c r="C254" s="14" t="str">
        <x:v>sad/Training_63693107.jpg</x:v>
      </x:c>
      <x:c r="D254" s="12" t="str">
        <x:v>8201e1fd235bcc7a6bb9fc808aa6279f7c0f8844b25d734cdaf384b10ae4a2bb</x:v>
      </x:c>
      <x:c r="E254" s="12" t="str">
        <x:v>8201e1fd235bcc7a6bb9fc808aa6279f7c0f8844b25d734cdaf384b10ae4a2bb</x:v>
      </x:c>
      <x:c r="F254" s="12" t="str">
        <x:v>True</x:v>
      </x:c>
      <x:c r="G254" s="12" t="str">
        <x:v>48</x:v>
      </x:c>
      <x:c r="H254" s="12" t="str">
        <x:v>48</x:v>
      </x:c>
      <x:c r="I254" s="12" t="str">
        <x:v>0.0</x:v>
      </x:c>
      <x:c r="J254" s="12" t="str">
        <x:v>0.0</x:v>
      </x:c>
      <x:c r="K254" s="12" t="str">
        <x:v>47.0</x:v>
      </x:c>
      <x:c r="L254" s="12" t="str">
        <x:v>47.0</x:v>
      </x:c>
      <x:c r="M254" s="12" t="str">
        <x:v>True</x:v>
      </x:c>
      <x:c r="N254" s="12" t="str">
        <x:v>106</x:v>
      </x:c>
      <x:c r="O254" s="12" t="str">
        <x:v>106</x:v>
      </x:c>
      <x:c r="P254" s="16" t="str">
        <x:v>1.0</x:v>
      </x:c>
      <x:c r="Q254" s="12" t="str">
        <x:v>96</x:v>
      </x:c>
      <x:c r="R254" s="16" t="str">
        <x:v>0.9056603773584906</x:v>
      </x:c>
      <x:c r="S254" s="12" t="str">
        <x:v>0.2</x:v>
      </x:c>
      <x:c r="T254" s="12" t="str">
        <x:v>106</x:v>
      </x:c>
      <x:c r="U254" s="16" t="str">
        <x:v>1.0</x:v>
      </x:c>
      <x:c r="V254" s="18" t="str">
        <x:v>0.2874853014945984</x:v>
      </x:c>
      <x:c r="W254" s="18" t="str">
        <x:v>0.33442217111587524</x:v>
      </x:c>
      <x:c r="X254" s="18" t="str">
        <x:v>0.5421839356422424</x:v>
      </x:c>
      <x:c r="Y254" s="18" t="str">
        <x:v>0.5448638200759888</x:v>
      </x:c>
      <x:c r="Z254" s="18" t="str">
        <x:v>0.7590883374214172</x:v>
      </x:c>
      <x:c r="AA254" s="18" t="str">
        <x:v>0.8048765659332275</x:v>
      </x:c>
      <x:c r="AB254" s="20" t="str">
        <x:v>112.2397999970417</x:v>
      </x:c>
      <x:c r="AC254" s="12" t="str">
        <x:v>overlays\sad_003.png</x:v>
      </x:c>
      <x:c r="AD254" s="12" t="str"/>
      <x:c r="AE254" s="12" t="str"/>
      <x:c r="AF254" s="12" t="str">
        <x:v>acceptable</x:v>
      </x:c>
      <x:c r="AG254" s="12" t="n">
        <x:v>1</x:v>
      </x:c>
      <x:c r="AH254" s="12" t="str">
        <x:v>acceptable</x:v>
      </x:c>
      <x:c r="AI254" s="12" t="str">
        <x:v>acceptable</x:v>
      </x:c>
      <x:c r="AJ254" s="12" t="str">
        <x:v>acceptable</x:v>
      </x:c>
      <x:c r="AK254" s="12" t="str">
        <x:v>acceptable</x:v>
      </x:c>
      <x:c r="AL254" s="12" t="str">
        <x:v>mild</x:v>
      </x:c>
      <x:c r="AM254" s="14" t="str">
        <x:v>Blur, low contrast, or unusual appearance lowers confidence, but the landmark geometry remains usable.</x:v>
      </x:c>
    </x:row>
    <x:row r="255" ht="30" customHeight="1">
      <x:c r="A255" s="12" t="str">
        <x:v>sad_004</x:v>
      </x:c>
      <x:c r="B255" s="12" t="str">
        <x:v>sad</x:v>
      </x:c>
      <x:c r="C255" s="14" t="str">
        <x:v>sad/Training_73972027.jpg</x:v>
      </x:c>
      <x:c r="D255" s="12" t="str">
        <x:v>2d531a6fe3eb23e71b223435974d44955aaffecbb6d37805716e8a76f511b726</x:v>
      </x:c>
      <x:c r="E255" s="12" t="str">
        <x:v>2d531a6fe3eb23e71b223435974d44955aaffecbb6d37805716e8a76f511b726</x:v>
      </x:c>
      <x:c r="F255" s="12" t="str">
        <x:v>True</x:v>
      </x:c>
      <x:c r="G255" s="12" t="str">
        <x:v>48</x:v>
      </x:c>
      <x:c r="H255" s="12" t="str">
        <x:v>48</x:v>
      </x:c>
      <x:c r="I255" s="12" t="str">
        <x:v>0.0</x:v>
      </x:c>
      <x:c r="J255" s="12" t="str">
        <x:v>0.0</x:v>
      </x:c>
      <x:c r="K255" s="12" t="str">
        <x:v>47.0</x:v>
      </x:c>
      <x:c r="L255" s="12" t="str">
        <x:v>47.0</x:v>
      </x:c>
      <x:c r="M255" s="12" t="str">
        <x:v>True</x:v>
      </x:c>
      <x:c r="N255" s="12" t="str">
        <x:v>106</x:v>
      </x:c>
      <x:c r="O255" s="12" t="str">
        <x:v>106</x:v>
      </x:c>
      <x:c r="P255" s="16" t="str">
        <x:v>1.0</x:v>
      </x:c>
      <x:c r="Q255" s="12" t="str">
        <x:v>85</x:v>
      </x:c>
      <x:c r="R255" s="16" t="str">
        <x:v>0.8018867924528302</x:v>
      </x:c>
      <x:c r="S255" s="12" t="str">
        <x:v>0.2</x:v>
      </x:c>
      <x:c r="T255" s="12" t="str">
        <x:v>106</x:v>
      </x:c>
      <x:c r="U255" s="16" t="str">
        <x:v>1.0</x:v>
      </x:c>
      <x:c r="V255" s="18" t="str">
        <x:v>0.3342096209526062</x:v>
      </x:c>
      <x:c r="W255" s="18" t="str">
        <x:v>0.4484090805053711</x:v>
      </x:c>
      <x:c r="X255" s="18" t="str">
        <x:v>0.5792276263237</x:v>
      </x:c>
      <x:c r="Y255" s="18" t="str">
        <x:v>0.5982202291488647</x:v>
      </x:c>
      <x:c r="Z255" s="18" t="str">
        <x:v>0.7025642693042755</x:v>
      </x:c>
      <x:c r="AA255" s="18" t="str">
        <x:v>0.8054370284080505</x:v>
      </x:c>
      <x:c r="AB255" s="20" t="str">
        <x:v>109.74949999945238</x:v>
      </x:c>
      <x:c r="AC255" s="12" t="str">
        <x:v>overlays\sad_004.png</x:v>
      </x:c>
      <x:c r="AD255" s="12" t="str"/>
      <x:c r="AE255" s="12" t="str"/>
      <x:c r="AF255" s="12" t="str">
        <x:v>acceptable</x:v>
      </x:c>
      <x:c r="AG255" s="12" t="n">
        <x:v>1</x:v>
      </x:c>
      <x:c r="AH255" s="12" t="str">
        <x:v>acceptable</x:v>
      </x:c>
      <x:c r="AI255" s="12" t="str">
        <x:v>acceptable</x:v>
      </x:c>
      <x:c r="AJ255" s="12" t="str">
        <x:v>acceptable</x:v>
      </x:c>
      <x:c r="AK255" s="12" t="str">
        <x:v>not_applicable</x:v>
      </x:c>
      <x:c r="AL255" s="12" t="str">
        <x:v>mild</x:v>
      </x:c>
      <x:c r="AM255" s="14" t="str">
        <x:v>Large pose or profile; visible landmarks are useful, while hidden-side contour points are inferred.</x:v>
      </x:c>
    </x:row>
    <x:row r="256" ht="30" customHeight="1">
      <x:c r="A256" s="12" t="str">
        <x:v>sad_005</x:v>
      </x:c>
      <x:c r="B256" s="12" t="str">
        <x:v>sad</x:v>
      </x:c>
      <x:c r="C256" s="14" t="str">
        <x:v>sad/Training_72295557.jpg</x:v>
      </x:c>
      <x:c r="D256" s="12" t="str">
        <x:v>9fe83bed4f1dd99e74214e43fa7bac4a01f505d2e7d82246d91d30ceef3c829f</x:v>
      </x:c>
      <x:c r="E256" s="12" t="str">
        <x:v>9fe83bed4f1dd99e74214e43fa7bac4a01f505d2e7d82246d91d30ceef3c829f</x:v>
      </x:c>
      <x:c r="F256" s="12" t="str">
        <x:v>True</x:v>
      </x:c>
      <x:c r="G256" s="12" t="str">
        <x:v>48</x:v>
      </x:c>
      <x:c r="H256" s="12" t="str">
        <x:v>48</x:v>
      </x:c>
      <x:c r="I256" s="12" t="str">
        <x:v>0.0</x:v>
      </x:c>
      <x:c r="J256" s="12" t="str">
        <x:v>0.0</x:v>
      </x:c>
      <x:c r="K256" s="12" t="str">
        <x:v>47.0</x:v>
      </x:c>
      <x:c r="L256" s="12" t="str">
        <x:v>47.0</x:v>
      </x:c>
      <x:c r="M256" s="12" t="str">
        <x:v>True</x:v>
      </x:c>
      <x:c r="N256" s="12" t="str">
        <x:v>106</x:v>
      </x:c>
      <x:c r="O256" s="12" t="str">
        <x:v>106</x:v>
      </x:c>
      <x:c r="P256" s="16" t="str">
        <x:v>1.0</x:v>
      </x:c>
      <x:c r="Q256" s="12" t="str">
        <x:v>83</x:v>
      </x:c>
      <x:c r="R256" s="16" t="str">
        <x:v>0.7830188679245284</x:v>
      </x:c>
      <x:c r="S256" s="12" t="str">
        <x:v>0.2</x:v>
      </x:c>
      <x:c r="T256" s="12" t="str">
        <x:v>106</x:v>
      </x:c>
      <x:c r="U256" s="16" t="str">
        <x:v>1.0</x:v>
      </x:c>
      <x:c r="V256" s="18" t="str">
        <x:v>0.2387847900390625</x:v>
      </x:c>
      <x:c r="W256" s="18" t="str">
        <x:v>0.3421154320240021</x:v>
      </x:c>
      <x:c r="X256" s="18" t="str">
        <x:v>0.4717887341976166</x:v>
      </x:c>
      <x:c r="Y256" s="18" t="str">
        <x:v>0.4834789037704468</x:v>
      </x:c>
      <x:c r="Z256" s="18" t="str">
        <x:v>0.5940094590187073</x:v>
      </x:c>
      <x:c r="AA256" s="18" t="str">
        <x:v>0.6484547853469849</x:v>
      </x:c>
      <x:c r="AB256" s="20" t="str">
        <x:v>110.57129999971949</x:v>
      </x:c>
      <x:c r="AC256" s="12" t="str">
        <x:v>overlays\sad_005.png</x:v>
      </x:c>
      <x:c r="AD256" s="12" t="str"/>
      <x:c r="AE256" s="12" t="str"/>
      <x:c r="AF256" s="12" t="str">
        <x:v>acceptable</x:v>
      </x:c>
      <x:c r="AG256" s="12" t="n">
        <x:v>1</x:v>
      </x:c>
      <x:c r="AH256" s="12" t="str">
        <x:v>acceptable</x:v>
      </x:c>
      <x:c r="AI256" s="12" t="str">
        <x:v>acceptable</x:v>
      </x:c>
      <x:c r="AJ256" s="12" t="str">
        <x:v>acceptable</x:v>
      </x:c>
      <x:c r="AK256" s="12" t="str">
        <x:v>not_applicable</x:v>
      </x:c>
      <x:c r="AL256" s="12" t="str">
        <x:v>mild</x:v>
      </x:c>
      <x:c r="AM256" s="14" t="str">
        <x:v>Large pose or profile; visible landmarks are useful, while hidden-side contour points are inferred.</x:v>
      </x:c>
    </x:row>
    <x:row r="257" ht="30" customHeight="1">
      <x:c r="A257" s="12" t="str">
        <x:v>sad_006</x:v>
      </x:c>
      <x:c r="B257" s="12" t="str">
        <x:v>sad</x:v>
      </x:c>
      <x:c r="C257" s="14" t="str">
        <x:v>sad/Training_80876097.jpg</x:v>
      </x:c>
      <x:c r="D257" s="12" t="str">
        <x:v>9a233521b68aa3bccb37ca85b14884d59cf456e4444f12c713e5e503029ed9af</x:v>
      </x:c>
      <x:c r="E257" s="12" t="str">
        <x:v>9a233521b68aa3bccb37ca85b14884d59cf456e4444f12c713e5e503029ed9af</x:v>
      </x:c>
      <x:c r="F257" s="12" t="str">
        <x:v>True</x:v>
      </x:c>
      <x:c r="G257" s="12" t="str">
        <x:v>48</x:v>
      </x:c>
      <x:c r="H257" s="12" t="str">
        <x:v>48</x:v>
      </x:c>
      <x:c r="I257" s="12" t="str">
        <x:v>0.0</x:v>
      </x:c>
      <x:c r="J257" s="12" t="str">
        <x:v>0.0</x:v>
      </x:c>
      <x:c r="K257" s="12" t="str">
        <x:v>47.0</x:v>
      </x:c>
      <x:c r="L257" s="12" t="str">
        <x:v>47.0</x:v>
      </x:c>
      <x:c r="M257" s="12" t="str">
        <x:v>True</x:v>
      </x:c>
      <x:c r="N257" s="12" t="str">
        <x:v>106</x:v>
      </x:c>
      <x:c r="O257" s="12" t="str">
        <x:v>106</x:v>
      </x:c>
      <x:c r="P257" s="16" t="str">
        <x:v>1.0</x:v>
      </x:c>
      <x:c r="Q257" s="12" t="str">
        <x:v>103</x:v>
      </x:c>
      <x:c r="R257" s="16" t="str">
        <x:v>0.9716981132075472</x:v>
      </x:c>
      <x:c r="S257" s="12" t="str">
        <x:v>0.2</x:v>
      </x:c>
      <x:c r="T257" s="12" t="str">
        <x:v>106</x:v>
      </x:c>
      <x:c r="U257" s="16" t="str">
        <x:v>1.0</x:v>
      </x:c>
      <x:c r="V257" s="18" t="str">
        <x:v>0.5134398937225342</x:v>
      </x:c>
      <x:c r="W257" s="18" t="str">
        <x:v>0.6124141812324524</x:v>
      </x:c>
      <x:c r="X257" s="18" t="str">
        <x:v>0.7621850967407227</x:v>
      </x:c>
      <x:c r="Y257" s="18" t="str">
        <x:v>0.7715798616409302</x:v>
      </x:c>
      <x:c r="Z257" s="18" t="str">
        <x:v>0.9191481471061707</x:v>
      </x:c>
      <x:c r="AA257" s="18" t="str">
        <x:v>0.9559571743011475</x:v>
      </x:c>
      <x:c r="AB257" s="20" t="str">
        <x:v>111.22080000131973</x:v>
      </x:c>
      <x:c r="AC257" s="12" t="str">
        <x:v>overlays\sad_006.png</x:v>
      </x:c>
      <x:c r="AD257" s="12" t="str"/>
      <x:c r="AE257" s="12" t="str"/>
      <x:c r="AF257" s="12" t="str">
        <x:v>acceptable</x:v>
      </x:c>
      <x:c r="AG257" s="12" t="n">
        <x:v>1</x:v>
      </x:c>
      <x:c r="AH257" s="12" t="str">
        <x:v>occluded</x:v>
      </x:c>
      <x:c r="AI257" s="12" t="str">
        <x:v>occluded</x:v>
      </x:c>
      <x:c r="AJ257" s="12" t="str">
        <x:v>acceptable</x:v>
      </x:c>
      <x:c r="AK257" s="12" t="str">
        <x:v>not_applicable</x:v>
      </x:c>
      <x:c r="AL257" s="12" t="str">
        <x:v>mild</x:v>
      </x:c>
      <x:c r="AM257" s="14" t="str">
        <x:v>Occlusion affects part of the face; visible landmarks remain usable, but hidden points are inferred.</x:v>
      </x:c>
    </x:row>
    <x:row r="258" ht="30" customHeight="1">
      <x:c r="A258" s="12" t="str">
        <x:v>sad_007</x:v>
      </x:c>
      <x:c r="B258" s="12" t="str">
        <x:v>sad</x:v>
      </x:c>
      <x:c r="C258" s="14" t="str">
        <x:v>sad/Training_18164476.jpg</x:v>
      </x:c>
      <x:c r="D258" s="12" t="str">
        <x:v>92f945a9d67c8b63e6eaa54d6542fa8328659ea1f474547d5b7edb763a07081e</x:v>
      </x:c>
      <x:c r="E258" s="12" t="str">
        <x:v>92f945a9d67c8b63e6eaa54d6542fa8328659ea1f474547d5b7edb763a07081e</x:v>
      </x:c>
      <x:c r="F258" s="12" t="str">
        <x:v>True</x:v>
      </x:c>
      <x:c r="G258" s="12" t="str">
        <x:v>48</x:v>
      </x:c>
      <x:c r="H258" s="12" t="str">
        <x:v>48</x:v>
      </x:c>
      <x:c r="I258" s="12" t="str">
        <x:v>0.0</x:v>
      </x:c>
      <x:c r="J258" s="12" t="str">
        <x:v>0.0</x:v>
      </x:c>
      <x:c r="K258" s="12" t="str">
        <x:v>47.0</x:v>
      </x:c>
      <x:c r="L258" s="12" t="str">
        <x:v>47.0</x:v>
      </x:c>
      <x:c r="M258" s="12" t="str">
        <x:v>True</x:v>
      </x:c>
      <x:c r="N258" s="12" t="str">
        <x:v>106</x:v>
      </x:c>
      <x:c r="O258" s="12" t="str">
        <x:v>106</x:v>
      </x:c>
      <x:c r="P258" s="16" t="str">
        <x:v>1.0</x:v>
      </x:c>
      <x:c r="Q258" s="12" t="str">
        <x:v>92</x:v>
      </x:c>
      <x:c r="R258" s="16" t="str">
        <x:v>0.8679245283018868</x:v>
      </x:c>
      <x:c r="S258" s="12" t="str">
        <x:v>0.2</x:v>
      </x:c>
      <x:c r="T258" s="12" t="str">
        <x:v>106</x:v>
      </x:c>
      <x:c r="U258" s="16" t="str">
        <x:v>1.0</x:v>
      </x:c>
      <x:c r="V258" s="18" t="str">
        <x:v>0.37522006034851074</x:v>
      </x:c>
      <x:c r="W258" s="18" t="str">
        <x:v>0.5153127610683441</x:v>
      </x:c>
      <x:c r="X258" s="18" t="str">
        <x:v>0.6819545030593872</x:v>
      </x:c>
      <x:c r="Y258" s="18" t="str">
        <x:v>0.6751335263252258</x:v>
      </x:c>
      <x:c r="Z258" s="18" t="str">
        <x:v>0.8422274589538574</x:v>
      </x:c>
      <x:c r="AA258" s="18" t="str">
        <x:v>0.9740959405899048</x:v>
      </x:c>
      <x:c r="AB258" s="20" t="str">
        <x:v>102.98450000118464</x:v>
      </x:c>
      <x:c r="AC258" s="12" t="str">
        <x:v>overlays\sad_007.png</x:v>
      </x:c>
      <x:c r="AD258" s="12" t="str"/>
      <x:c r="AE258" s="12" t="str"/>
      <x:c r="AF258" s="12" t="str">
        <x:v>acceptable</x:v>
      </x:c>
      <x:c r="AG258" s="12" t="n">
        <x:v>1</x:v>
      </x:c>
      <x:c r="AH258" s="12" t="str">
        <x:v>acceptable</x:v>
      </x:c>
      <x:c r="AI258" s="12" t="str">
        <x:v>acceptable</x:v>
      </x:c>
      <x:c r="AJ258" s="12" t="str">
        <x:v>acceptable</x:v>
      </x:c>
      <x:c r="AK258" s="12" t="str">
        <x:v>not_applicable</x:v>
      </x:c>
      <x:c r="AL258" s="12" t="str">
        <x:v>mild</x:v>
      </x:c>
      <x:c r="AM258" s="14" t="str">
        <x:v>Moderate pose, crop, or image degradation causes minor landmark uncertainty; the result remains usable.</x:v>
      </x:c>
    </x:row>
    <x:row r="259" ht="30" customHeight="1">
      <x:c r="A259" s="12" t="str">
        <x:v>sad_008</x:v>
      </x:c>
      <x:c r="B259" s="12" t="str">
        <x:v>sad</x:v>
      </x:c>
      <x:c r="C259" s="14" t="str">
        <x:v>sad/Training_24583037.jpg</x:v>
      </x:c>
      <x:c r="D259" s="12" t="str">
        <x:v>d782f95055a391c2115b9dc15579890f5f274e2a83bd16521be20b5de0c2874c</x:v>
      </x:c>
      <x:c r="E259" s="12" t="str">
        <x:v>d782f95055a391c2115b9dc15579890f5f274e2a83bd16521be20b5de0c2874c</x:v>
      </x:c>
      <x:c r="F259" s="12" t="str">
        <x:v>True</x:v>
      </x:c>
      <x:c r="G259" s="12" t="str">
        <x:v>48</x:v>
      </x:c>
      <x:c r="H259" s="12" t="str">
        <x:v>48</x:v>
      </x:c>
      <x:c r="I259" s="12" t="str">
        <x:v>0.0</x:v>
      </x:c>
      <x:c r="J259" s="12" t="str">
        <x:v>0.0</x:v>
      </x:c>
      <x:c r="K259" s="12" t="str">
        <x:v>47.0</x:v>
      </x:c>
      <x:c r="L259" s="12" t="str">
        <x:v>47.0</x:v>
      </x:c>
      <x:c r="M259" s="12" t="str">
        <x:v>True</x:v>
      </x:c>
      <x:c r="N259" s="12" t="str">
        <x:v>106</x:v>
      </x:c>
      <x:c r="O259" s="12" t="str">
        <x:v>106</x:v>
      </x:c>
      <x:c r="P259" s="16" t="str">
        <x:v>1.0</x:v>
      </x:c>
      <x:c r="Q259" s="12" t="str">
        <x:v>106</x:v>
      </x:c>
      <x:c r="R259" s="16" t="str">
        <x:v>1.0</x:v>
      </x:c>
      <x:c r="S259" s="12" t="str">
        <x:v>0.2</x:v>
      </x:c>
      <x:c r="T259" s="12" t="str">
        <x:v>106</x:v>
      </x:c>
      <x:c r="U259" s="16" t="str">
        <x:v>1.0</x:v>
      </x:c>
      <x:c r="V259" s="18" t="str">
        <x:v>0.6064043641090393</x:v>
      </x:c>
      <x:c r="W259" s="18" t="str">
        <x:v>0.6496561169624329</x:v>
      </x:c>
      <x:c r="X259" s="18" t="str">
        <x:v>0.7816290259361267</x:v>
      </x:c>
      <x:c r="Y259" s="18" t="str">
        <x:v>0.7900723814964294</x:v>
      </x:c>
      <x:c r="Z259" s="18" t="str">
        <x:v>0.9053442180156708</x:v>
      </x:c>
      <x:c r="AA259" s="18" t="str">
        <x:v>0.9951558113098145</x:v>
      </x:c>
      <x:c r="AB259" s="20" t="str">
        <x:v>103.87809999883757</x:v>
      </x:c>
      <x:c r="AC259" s="12" t="str">
        <x:v>overlays\sad_008.png</x:v>
      </x:c>
      <x:c r="AD259" s="12" t="str"/>
      <x:c r="AE259" s="12" t="str"/>
      <x:c r="AF259" s="12" t="str">
        <x:v>acceptable</x:v>
      </x:c>
      <x:c r="AG259" s="12" t="n">
        <x:v>1</x:v>
      </x:c>
      <x:c r="AH259" s="12" t="str">
        <x:v>occluded</x:v>
      </x:c>
      <x:c r="AI259" s="12" t="str">
        <x:v>occluded</x:v>
      </x:c>
      <x:c r="AJ259" s="12" t="str">
        <x:v>acceptable</x:v>
      </x:c>
      <x:c r="AK259" s="12" t="str">
        <x:v>not_applicable</x:v>
      </x:c>
      <x:c r="AL259" s="12" t="str">
        <x:v>mild</x:v>
      </x:c>
      <x:c r="AM259" s="14" t="str">
        <x:v>Occlusion affects part of the face; visible landmarks remain usable, but hidden points are inferred.</x:v>
      </x:c>
    </x:row>
    <x:row r="260" ht="30" customHeight="1">
      <x:c r="A260" s="12" t="str">
        <x:v>sad_009</x:v>
      </x:c>
      <x:c r="B260" s="12" t="str">
        <x:v>sad</x:v>
      </x:c>
      <x:c r="C260" s="14" t="str">
        <x:v>sad/Training_19138102.jpg</x:v>
      </x:c>
      <x:c r="D260" s="12" t="str">
        <x:v>f5733a6d2f31a2dce463f8faa0cc10773f5b21ebab7644da898a572b48e12626</x:v>
      </x:c>
      <x:c r="E260" s="12" t="str">
        <x:v>f5733a6d2f31a2dce463f8faa0cc10773f5b21ebab7644da898a572b48e12626</x:v>
      </x:c>
      <x:c r="F260" s="12" t="str">
        <x:v>True</x:v>
      </x:c>
      <x:c r="G260" s="12" t="str">
        <x:v>48</x:v>
      </x:c>
      <x:c r="H260" s="12" t="str">
        <x:v>48</x:v>
      </x:c>
      <x:c r="I260" s="12" t="str">
        <x:v>0.0</x:v>
      </x:c>
      <x:c r="J260" s="12" t="str">
        <x:v>0.0</x:v>
      </x:c>
      <x:c r="K260" s="12" t="str">
        <x:v>47.0</x:v>
      </x:c>
      <x:c r="L260" s="12" t="str">
        <x:v>47.0</x:v>
      </x:c>
      <x:c r="M260" s="12" t="str">
        <x:v>True</x:v>
      </x:c>
      <x:c r="N260" s="12" t="str">
        <x:v>106</x:v>
      </x:c>
      <x:c r="O260" s="12" t="str">
        <x:v>106</x:v>
      </x:c>
      <x:c r="P260" s="16" t="str">
        <x:v>1.0</x:v>
      </x:c>
      <x:c r="Q260" s="12" t="str">
        <x:v>91</x:v>
      </x:c>
      <x:c r="R260" s="16" t="str">
        <x:v>0.8584905660377359</x:v>
      </x:c>
      <x:c r="S260" s="12" t="str">
        <x:v>0.2</x:v>
      </x:c>
      <x:c r="T260" s="12" t="str">
        <x:v>106</x:v>
      </x:c>
      <x:c r="U260" s="16" t="str">
        <x:v>1.0</x:v>
      </x:c>
      <x:c r="V260" s="18" t="str">
        <x:v>0.446831613779068</x:v>
      </x:c>
      <x:c r="W260" s="18" t="str">
        <x:v>0.5368203520774841</x:v>
      </x:c>
      <x:c r="X260" s="18" t="str">
        <x:v>0.6903737187385559</x:v>
      </x:c>
      <x:c r="Y260" s="18" t="str">
        <x:v>0.7091904282569885</x:v>
      </x:c>
      <x:c r="Z260" s="18" t="str">
        <x:v>0.8185858428478241</x:v>
      </x:c>
      <x:c r="AA260" s="18" t="str">
        <x:v>0.8735415935516357</x:v>
      </x:c>
      <x:c r="AB260" s="20" t="str">
        <x:v>103.74769999907585</x:v>
      </x:c>
      <x:c r="AC260" s="12" t="str">
        <x:v>overlays\sad_009.png</x:v>
      </x:c>
      <x:c r="AD260" s="12" t="str"/>
      <x:c r="AE260" s="12" t="str"/>
      <x:c r="AF260" s="12" t="str">
        <x:v>acceptable</x:v>
      </x:c>
      <x:c r="AG260" s="12" t="n">
        <x:v>1</x:v>
      </x:c>
      <x:c r="AH260" s="12" t="str">
        <x:v>acceptable</x:v>
      </x:c>
      <x:c r="AI260" s="12" t="str">
        <x:v>acceptable</x:v>
      </x:c>
      <x:c r="AJ260" s="12" t="str">
        <x:v>acceptable</x:v>
      </x:c>
      <x:c r="AK260" s="12" t="str">
        <x:v>not_applicable</x:v>
      </x:c>
      <x:c r="AL260" s="12" t="str">
        <x:v>mild</x:v>
      </x:c>
      <x:c r="AM260" s="14" t="str">
        <x:v>Large pose or profile; visible landmarks are useful, while hidden-side contour points are inferred.</x:v>
      </x:c>
    </x:row>
    <x:row r="261" ht="30" customHeight="1">
      <x:c r="A261" s="12" t="str">
        <x:v>sad_010</x:v>
      </x:c>
      <x:c r="B261" s="12" t="str">
        <x:v>sad</x:v>
      </x:c>
      <x:c r="C261" s="14" t="str">
        <x:v>sad/Training_7095418.jpg</x:v>
      </x:c>
      <x:c r="D261" s="12" t="str">
        <x:v>69495884c5b365a659e8c8becc5ee2bbf3ef3492f2de62eb8befc56c73b253b8</x:v>
      </x:c>
      <x:c r="E261" s="12" t="str">
        <x:v>69495884c5b365a659e8c8becc5ee2bbf3ef3492f2de62eb8befc56c73b253b8</x:v>
      </x:c>
      <x:c r="F261" s="12" t="str">
        <x:v>True</x:v>
      </x:c>
      <x:c r="G261" s="12" t="str">
        <x:v>48</x:v>
      </x:c>
      <x:c r="H261" s="12" t="str">
        <x:v>48</x:v>
      </x:c>
      <x:c r="I261" s="12" t="str">
        <x:v>0.0</x:v>
      </x:c>
      <x:c r="J261" s="12" t="str">
        <x:v>0.0</x:v>
      </x:c>
      <x:c r="K261" s="12" t="str">
        <x:v>47.0</x:v>
      </x:c>
      <x:c r="L261" s="12" t="str">
        <x:v>47.0</x:v>
      </x:c>
      <x:c r="M261" s="12" t="str">
        <x:v>True</x:v>
      </x:c>
      <x:c r="N261" s="12" t="str">
        <x:v>106</x:v>
      </x:c>
      <x:c r="O261" s="12" t="str">
        <x:v>106</x:v>
      </x:c>
      <x:c r="P261" s="16" t="str">
        <x:v>1.0</x:v>
      </x:c>
      <x:c r="Q261" s="12" t="str">
        <x:v>97</x:v>
      </x:c>
      <x:c r="R261" s="16" t="str">
        <x:v>0.9150943396226415</x:v>
      </x:c>
      <x:c r="S261" s="12" t="str">
        <x:v>0.2</x:v>
      </x:c>
      <x:c r="T261" s="12" t="str">
        <x:v>106</x:v>
      </x:c>
      <x:c r="U261" s="16" t="str">
        <x:v>1.0</x:v>
      </x:c>
      <x:c r="V261" s="18" t="str">
        <x:v>0.48508697748184204</x:v>
      </x:c>
      <x:c r="W261" s="18" t="str">
        <x:v>0.5543769896030426</x:v>
      </x:c>
      <x:c r="X261" s="18" t="str">
        <x:v>0.6746395230293274</x:v>
      </x:c>
      <x:c r="Y261" s="18" t="str">
        <x:v>0.691425085067749</x:v>
      </x:c>
      <x:c r="Z261" s="18" t="str">
        <x:v>0.8023183941841125</x:v>
      </x:c>
      <x:c r="AA261" s="18" t="str">
        <x:v>0.8662905693054199</x:v>
      </x:c>
      <x:c r="AB261" s="20" t="str">
        <x:v>106.28260000157752</x:v>
      </x:c>
      <x:c r="AC261" s="12" t="str">
        <x:v>overlays\sad_010.png</x:v>
      </x:c>
      <x:c r="AD261" s="12" t="str"/>
      <x:c r="AE261" s="12" t="str"/>
      <x:c r="AF261" s="12" t="str">
        <x:v>acceptable</x:v>
      </x:c>
      <x:c r="AG261" s="12" t="n">
        <x:v>1</x:v>
      </x:c>
      <x:c r="AH261" s="12" t="str">
        <x:v>acceptable</x:v>
      </x:c>
      <x:c r="AI261" s="12" t="str">
        <x:v>acceptable</x:v>
      </x:c>
      <x:c r="AJ261" s="12" t="str">
        <x:v>acceptable</x:v>
      </x:c>
      <x:c r="AK261" s="12" t="str">
        <x:v>not_applicable</x:v>
      </x:c>
      <x:c r="AL261" s="12" t="str">
        <x:v>mild</x:v>
      </x:c>
      <x:c r="AM261" s="14" t="str">
        <x:v>Large pose or profile; visible landmarks are useful, while hidden-side contour points are inferred.</x:v>
      </x:c>
    </x:row>
    <x:row r="262" ht="30" customHeight="1">
      <x:c r="A262" s="12" t="str">
        <x:v>sad_011</x:v>
      </x:c>
      <x:c r="B262" s="12" t="str">
        <x:v>sad</x:v>
      </x:c>
      <x:c r="C262" s="14" t="str">
        <x:v>sad/Training_61459765.jpg</x:v>
      </x:c>
      <x:c r="D262" s="12" t="str">
        <x:v>05bbd193920dced77526f06e44890242c5945b9365491ba56637d3ecd3112ab8</x:v>
      </x:c>
      <x:c r="E262" s="12" t="str">
        <x:v>05bbd193920dced77526f06e44890242c5945b9365491ba56637d3ecd3112ab8</x:v>
      </x:c>
      <x:c r="F262" s="12" t="str">
        <x:v>True</x:v>
      </x:c>
      <x:c r="G262" s="12" t="str">
        <x:v>48</x:v>
      </x:c>
      <x:c r="H262" s="12" t="str">
        <x:v>48</x:v>
      </x:c>
      <x:c r="I262" s="12" t="str">
        <x:v>0.0</x:v>
      </x:c>
      <x:c r="J262" s="12" t="str">
        <x:v>0.0</x:v>
      </x:c>
      <x:c r="K262" s="12" t="str">
        <x:v>47.0</x:v>
      </x:c>
      <x:c r="L262" s="12" t="str">
        <x:v>47.0</x:v>
      </x:c>
      <x:c r="M262" s="12" t="str">
        <x:v>True</x:v>
      </x:c>
      <x:c r="N262" s="12" t="str">
        <x:v>106</x:v>
      </x:c>
      <x:c r="O262" s="12" t="str">
        <x:v>106</x:v>
      </x:c>
      <x:c r="P262" s="16" t="str">
        <x:v>1.0</x:v>
      </x:c>
      <x:c r="Q262" s="12" t="str">
        <x:v>106</x:v>
      </x:c>
      <x:c r="R262" s="16" t="str">
        <x:v>1.0</x:v>
      </x:c>
      <x:c r="S262" s="12" t="str">
        <x:v>0.2</x:v>
      </x:c>
      <x:c r="T262" s="12" t="str">
        <x:v>106</x:v>
      </x:c>
      <x:c r="U262" s="16" t="str">
        <x:v>1.0</x:v>
      </x:c>
      <x:c r="V262" s="18" t="str">
        <x:v>0.37464380264282227</x:v>
      </x:c>
      <x:c r="W262" s="18" t="str">
        <x:v>0.4941137284040451</x:v>
      </x:c>
      <x:c r="X262" s="18" t="str">
        <x:v>0.6838301420211792</x:v>
      </x:c>
      <x:c r="Y262" s="18" t="str">
        <x:v>0.6793817281723022</x:v>
      </x:c>
      <x:c r="Z262" s="18" t="str">
        <x:v>0.9063379168510437</x:v>
      </x:c>
      <x:c r="AA262" s="18" t="str">
        <x:v>0.9914950132369995</x:v>
      </x:c>
      <x:c r="AB262" s="20" t="str">
        <x:v>102.67020000173943</x:v>
      </x:c>
      <x:c r="AC262" s="12" t="str">
        <x:v>overlays\sad_011.png</x:v>
      </x:c>
      <x:c r="AD262" s="12" t="str"/>
      <x:c r="AE262" s="12" t="str"/>
      <x:c r="AF262" s="12" t="str">
        <x:v>acceptable</x:v>
      </x:c>
      <x:c r="AG262" s="12" t="n">
        <x:v>1</x:v>
      </x:c>
      <x:c r="AH262" s="12" t="str">
        <x:v>acceptable</x:v>
      </x:c>
      <x:c r="AI262" s="12" t="str">
        <x:v>acceptable</x:v>
      </x:c>
      <x:c r="AJ262" s="12" t="str">
        <x:v>acceptable</x:v>
      </x:c>
      <x:c r="AK262" s="12" t="str">
        <x:v>not_applicable</x:v>
      </x:c>
      <x:c r="AL262" s="12" t="str">
        <x:v>mild</x:v>
      </x:c>
      <x:c r="AM262" s="14" t="str">
        <x:v>Large pose or profile; visible landmarks are useful, while hidden-side contour points are inferred.</x:v>
      </x:c>
    </x:row>
    <x:row r="263" ht="30" customHeight="1">
      <x:c r="A263" s="12" t="str">
        <x:v>sad_012</x:v>
      </x:c>
      <x:c r="B263" s="12" t="str">
        <x:v>sad</x:v>
      </x:c>
      <x:c r="C263" s="14" t="str">
        <x:v>sad/Training_26319602.jpg</x:v>
      </x:c>
      <x:c r="D263" s="12" t="str">
        <x:v>177c3e3e2380cbc3cf6674c5b584505e47919d641e4dc1a80c8896b652685d55</x:v>
      </x:c>
      <x:c r="E263" s="12" t="str">
        <x:v>177c3e3e2380cbc3cf6674c5b584505e47919d641e4dc1a80c8896b652685d55</x:v>
      </x:c>
      <x:c r="F263" s="12" t="str">
        <x:v>True</x:v>
      </x:c>
      <x:c r="G263" s="12" t="str">
        <x:v>48</x:v>
      </x:c>
      <x:c r="H263" s="12" t="str">
        <x:v>48</x:v>
      </x:c>
      <x:c r="I263" s="12" t="str">
        <x:v>0.0</x:v>
      </x:c>
      <x:c r="J263" s="12" t="str">
        <x:v>0.0</x:v>
      </x:c>
      <x:c r="K263" s="12" t="str">
        <x:v>47.0</x:v>
      </x:c>
      <x:c r="L263" s="12" t="str">
        <x:v>47.0</x:v>
      </x:c>
      <x:c r="M263" s="12" t="str">
        <x:v>True</x:v>
      </x:c>
      <x:c r="N263" s="12" t="str">
        <x:v>106</x:v>
      </x:c>
      <x:c r="O263" s="12" t="str">
        <x:v>106</x:v>
      </x:c>
      <x:c r="P263" s="16" t="str">
        <x:v>1.0</x:v>
      </x:c>
      <x:c r="Q263" s="12" t="str">
        <x:v>105</x:v>
      </x:c>
      <x:c r="R263" s="16" t="str">
        <x:v>0.9905660377358491</x:v>
      </x:c>
      <x:c r="S263" s="12" t="str">
        <x:v>0.2</x:v>
      </x:c>
      <x:c r="T263" s="12" t="str">
        <x:v>106</x:v>
      </x:c>
      <x:c r="U263" s="16" t="str">
        <x:v>1.0</x:v>
      </x:c>
      <x:c r="V263" s="18" t="str">
        <x:v>0.3508525490760803</x:v>
      </x:c>
      <x:c r="W263" s="18" t="str">
        <x:v>0.437423512339592</x:v>
      </x:c>
      <x:c r="X263" s="18" t="str">
        <x:v>0.6647021174430847</x:v>
      </x:c>
      <x:c r="Y263" s="18" t="str">
        <x:v>0.6589558124542236</x:v>
      </x:c>
      <x:c r="Z263" s="18" t="str">
        <x:v>0.8995906710624695</x:v>
      </x:c>
      <x:c r="AA263" s="18" t="str">
        <x:v>0.9805777072906494</x:v>
      </x:c>
      <x:c r="AB263" s="20" t="str">
        <x:v>99.91490000174963</x:v>
      </x:c>
      <x:c r="AC263" s="12" t="str">
        <x:v>overlays\sad_012.png</x:v>
      </x:c>
      <x:c r="AD263" s="12" t="str"/>
      <x:c r="AE263" s="12" t="str"/>
      <x:c r="AF263" s="12" t="str">
        <x:v>good</x:v>
      </x:c>
      <x:c r="AG263" s="12" t="n">
        <x:v>1</x:v>
      </x:c>
      <x:c r="AH263" s="12" t="str">
        <x:v>good</x:v>
      </x:c>
      <x:c r="AI263" s="12" t="str">
        <x:v>good</x:v>
      </x:c>
      <x:c r="AJ263" s="12" t="str">
        <x:v>good</x:v>
      </x:c>
      <x:c r="AK263" s="12" t="str">
        <x:v>not_applicable</x:v>
      </x:c>
      <x:c r="AL263" s="12" t="str">
        <x:v>none</x:v>
      </x:c>
      <x:c r="AM263" s="14" t="str">
        <x:v>Clear and well-aligned facial landmarks with no major pose, crop, or occlusion issue.</x:v>
      </x:c>
    </x:row>
    <x:row r="264" ht="30" customHeight="1">
      <x:c r="A264" s="12" t="str">
        <x:v>sad_013</x:v>
      </x:c>
      <x:c r="B264" s="12" t="str">
        <x:v>sad</x:v>
      </x:c>
      <x:c r="C264" s="14" t="str">
        <x:v>sad/Training_47814386.jpg</x:v>
      </x:c>
      <x:c r="D264" s="12" t="str">
        <x:v>7438c31726f833985bf56b4a106d772d611df2d4af1046c52c030ed8306dd9bd</x:v>
      </x:c>
      <x:c r="E264" s="12" t="str">
        <x:v>7438c31726f833985bf56b4a106d772d611df2d4af1046c52c030ed8306dd9bd</x:v>
      </x:c>
      <x:c r="F264" s="12" t="str">
        <x:v>True</x:v>
      </x:c>
      <x:c r="G264" s="12" t="str">
        <x:v>48</x:v>
      </x:c>
      <x:c r="H264" s="12" t="str">
        <x:v>48</x:v>
      </x:c>
      <x:c r="I264" s="12" t="str">
        <x:v>0.0</x:v>
      </x:c>
      <x:c r="J264" s="12" t="str">
        <x:v>0.0</x:v>
      </x:c>
      <x:c r="K264" s="12" t="str">
        <x:v>47.0</x:v>
      </x:c>
      <x:c r="L264" s="12" t="str">
        <x:v>47.0</x:v>
      </x:c>
      <x:c r="M264" s="12" t="str">
        <x:v>True</x:v>
      </x:c>
      <x:c r="N264" s="12" t="str">
        <x:v>106</x:v>
      </x:c>
      <x:c r="O264" s="12" t="str">
        <x:v>106</x:v>
      </x:c>
      <x:c r="P264" s="16" t="str">
        <x:v>1.0</x:v>
      </x:c>
      <x:c r="Q264" s="12" t="str">
        <x:v>96</x:v>
      </x:c>
      <x:c r="R264" s="16" t="str">
        <x:v>0.9056603773584906</x:v>
      </x:c>
      <x:c r="S264" s="12" t="str">
        <x:v>0.2</x:v>
      </x:c>
      <x:c r="T264" s="12" t="str">
        <x:v>106</x:v>
      </x:c>
      <x:c r="U264" s="16" t="str">
        <x:v>1.0</x:v>
      </x:c>
      <x:c r="V264" s="18" t="str">
        <x:v>0.3320324420928955</x:v>
      </x:c>
      <x:c r="W264" s="18" t="str">
        <x:v>0.4144093990325928</x:v>
      </x:c>
      <x:c r="X264" s="18" t="str">
        <x:v>0.6434161067008972</x:v>
      </x:c>
      <x:c r="Y264" s="18" t="str">
        <x:v>0.623786449432373</x:v>
      </x:c>
      <x:c r="Z264" s="18" t="str">
        <x:v>0.8993948101997375</x:v>
      </x:c>
      <x:c r="AA264" s="18" t="str">
        <x:v>1.0106314420700073</x:v>
      </x:c>
      <x:c r="AB264" s="20" t="str">
        <x:v>110.58570000022883</x:v>
      </x:c>
      <x:c r="AC264" s="12" t="str">
        <x:v>overlays\sad_013.png</x:v>
      </x:c>
      <x:c r="AD264" s="12" t="str"/>
      <x:c r="AE264" s="12" t="str"/>
      <x:c r="AF264" s="12" t="str">
        <x:v>acceptable</x:v>
      </x:c>
      <x:c r="AG264" s="12" t="n">
        <x:v>1</x:v>
      </x:c>
      <x:c r="AH264" s="12" t="str">
        <x:v>acceptable</x:v>
      </x:c>
      <x:c r="AI264" s="12" t="str">
        <x:v>acceptable</x:v>
      </x:c>
      <x:c r="AJ264" s="12" t="str">
        <x:v>acceptable</x:v>
      </x:c>
      <x:c r="AK264" s="12" t="str">
        <x:v>acceptable</x:v>
      </x:c>
      <x:c r="AL264" s="12" t="str">
        <x:v>mild</x:v>
      </x:c>
      <x:c r="AM264" s="14" t="str">
        <x:v>Moderate pose, crop, or image degradation causes minor landmark uncertainty; the result remains usable.</x:v>
      </x:c>
    </x:row>
    <x:row r="265" ht="30" customHeight="1">
      <x:c r="A265" s="12" t="str">
        <x:v>sad_014</x:v>
      </x:c>
      <x:c r="B265" s="12" t="str">
        <x:v>sad</x:v>
      </x:c>
      <x:c r="C265" s="14" t="str">
        <x:v>sad/Training_39290842.jpg</x:v>
      </x:c>
      <x:c r="D265" s="12" t="str">
        <x:v>b959d6cda87f31b7fe017e3a3a61dd5900fabb3be08a13bd2b0984acc4e56286</x:v>
      </x:c>
      <x:c r="E265" s="12" t="str">
        <x:v>b959d6cda87f31b7fe017e3a3a61dd5900fabb3be08a13bd2b0984acc4e56286</x:v>
      </x:c>
      <x:c r="F265" s="12" t="str">
        <x:v>True</x:v>
      </x:c>
      <x:c r="G265" s="12" t="str">
        <x:v>48</x:v>
      </x:c>
      <x:c r="H265" s="12" t="str">
        <x:v>48</x:v>
      </x:c>
      <x:c r="I265" s="12" t="str">
        <x:v>0.0</x:v>
      </x:c>
      <x:c r="J265" s="12" t="str">
        <x:v>0.0</x:v>
      </x:c>
      <x:c r="K265" s="12" t="str">
        <x:v>47.0</x:v>
      </x:c>
      <x:c r="L265" s="12" t="str">
        <x:v>47.0</x:v>
      </x:c>
      <x:c r="M265" s="12" t="str">
        <x:v>True</x:v>
      </x:c>
      <x:c r="N265" s="12" t="str">
        <x:v>106</x:v>
      </x:c>
      <x:c r="O265" s="12" t="str">
        <x:v>106</x:v>
      </x:c>
      <x:c r="P265" s="16" t="str">
        <x:v>1.0</x:v>
      </x:c>
      <x:c r="Q265" s="12" t="str">
        <x:v>106</x:v>
      </x:c>
      <x:c r="R265" s="16" t="str">
        <x:v>1.0</x:v>
      </x:c>
      <x:c r="S265" s="12" t="str">
        <x:v>0.2</x:v>
      </x:c>
      <x:c r="T265" s="12" t="str">
        <x:v>106</x:v>
      </x:c>
      <x:c r="U265" s="16" t="str">
        <x:v>1.0</x:v>
      </x:c>
      <x:c r="V265" s="18" t="str">
        <x:v>0.23212195932865143</x:v>
      </x:c>
      <x:c r="W265" s="18" t="str">
        <x:v>0.3722853809595108</x:v>
      </x:c>
      <x:c r="X265" s="18" t="str">
        <x:v>0.5855568647384644</x:v>
      </x:c>
      <x:c r="Y265" s="18" t="str">
        <x:v>0.5954164266586304</x:v>
      </x:c>
      <x:c r="Z265" s="18" t="str">
        <x:v>0.8580815196037292</x:v>
      </x:c>
      <x:c r="AA265" s="18" t="str">
        <x:v>1.014466643333435</x:v>
      </x:c>
      <x:c r="AB265" s="20" t="str">
        <x:v>110.49260000072536</x:v>
      </x:c>
      <x:c r="AC265" s="12" t="str">
        <x:v>overlays\sad_014.png</x:v>
      </x:c>
      <x:c r="AD265" s="12" t="str"/>
      <x:c r="AE265" s="12" t="str"/>
      <x:c r="AF265" s="12" t="str">
        <x:v>good</x:v>
      </x:c>
      <x:c r="AG265" s="12" t="n">
        <x:v>1</x:v>
      </x:c>
      <x:c r="AH265" s="12" t="str">
        <x:v>good</x:v>
      </x:c>
      <x:c r="AI265" s="12" t="str">
        <x:v>good</x:v>
      </x:c>
      <x:c r="AJ265" s="12" t="str">
        <x:v>good</x:v>
      </x:c>
      <x:c r="AK265" s="12" t="str">
        <x:v>good</x:v>
      </x:c>
      <x:c r="AL265" s="12" t="str">
        <x:v>none</x:v>
      </x:c>
      <x:c r="AM265" s="14" t="str">
        <x:v>Clear and well-aligned facial landmarks with no major pose, crop, or occlusion issue.</x:v>
      </x:c>
    </x:row>
    <x:row r="266" ht="30" customHeight="1">
      <x:c r="A266" s="12" t="str">
        <x:v>sad_015</x:v>
      </x:c>
      <x:c r="B266" s="12" t="str">
        <x:v>sad</x:v>
      </x:c>
      <x:c r="C266" s="14" t="str">
        <x:v>sad/Training_39163469.jpg</x:v>
      </x:c>
      <x:c r="D266" s="12" t="str">
        <x:v>800547643302fc393c689ba4943551db1ceed951cdd9b7ebf4424962e21fb857</x:v>
      </x:c>
      <x:c r="E266" s="12" t="str">
        <x:v>800547643302fc393c689ba4943551db1ceed951cdd9b7ebf4424962e21fb857</x:v>
      </x:c>
      <x:c r="F266" s="12" t="str">
        <x:v>True</x:v>
      </x:c>
      <x:c r="G266" s="12" t="str">
        <x:v>48</x:v>
      </x:c>
      <x:c r="H266" s="12" t="str">
        <x:v>48</x:v>
      </x:c>
      <x:c r="I266" s="12" t="str">
        <x:v>0.0</x:v>
      </x:c>
      <x:c r="J266" s="12" t="str">
        <x:v>0.0</x:v>
      </x:c>
      <x:c r="K266" s="12" t="str">
        <x:v>47.0</x:v>
      </x:c>
      <x:c r="L266" s="12" t="str">
        <x:v>47.0</x:v>
      </x:c>
      <x:c r="M266" s="12" t="str">
        <x:v>True</x:v>
      </x:c>
      <x:c r="N266" s="12" t="str">
        <x:v>106</x:v>
      </x:c>
      <x:c r="O266" s="12" t="str">
        <x:v>106</x:v>
      </x:c>
      <x:c r="P266" s="16" t="str">
        <x:v>1.0</x:v>
      </x:c>
      <x:c r="Q266" s="12" t="str">
        <x:v>103</x:v>
      </x:c>
      <x:c r="R266" s="16" t="str">
        <x:v>0.9716981132075472</x:v>
      </x:c>
      <x:c r="S266" s="12" t="str">
        <x:v>0.2</x:v>
      </x:c>
      <x:c r="T266" s="12" t="str">
        <x:v>106</x:v>
      </x:c>
      <x:c r="U266" s="16" t="str">
        <x:v>1.0</x:v>
      </x:c>
      <x:c r="V266" s="18" t="str">
        <x:v>0.38667184114456177</x:v>
      </x:c>
      <x:c r="W266" s="18" t="str">
        <x:v>0.5248655378818512</x:v>
      </x:c>
      <x:c r="X266" s="18" t="str">
        <x:v>0.7027527689933777</x:v>
      </x:c>
      <x:c r="Y266" s="18" t="str">
        <x:v>0.719699501991272</x:v>
      </x:c>
      <x:c r="Z266" s="18" t="str">
        <x:v>0.80584716796875</x:v>
      </x:c>
      <x:c r="AA266" s="18" t="str">
        <x:v>0.9794043302536011</x:v>
      </x:c>
      <x:c r="AB266" s="20" t="str">
        <x:v>102.49639999892679</x:v>
      </x:c>
      <x:c r="AC266" s="12" t="str">
        <x:v>overlays\sad_015.png</x:v>
      </x:c>
      <x:c r="AD266" s="12" t="str"/>
      <x:c r="AE266" s="12" t="str"/>
      <x:c r="AF266" s="12" t="str">
        <x:v>acceptable</x:v>
      </x:c>
      <x:c r="AG266" s="12" t="n">
        <x:v>1</x:v>
      </x:c>
      <x:c r="AH266" s="12" t="str">
        <x:v>acceptable</x:v>
      </x:c>
      <x:c r="AI266" s="12" t="str">
        <x:v>acceptable</x:v>
      </x:c>
      <x:c r="AJ266" s="12" t="str">
        <x:v>acceptable</x:v>
      </x:c>
      <x:c r="AK266" s="12" t="str">
        <x:v>not_applicable</x:v>
      </x:c>
      <x:c r="AL266" s="12" t="str">
        <x:v>mild</x:v>
      </x:c>
      <x:c r="AM266" s="14" t="str">
        <x:v>Large pose or profile; visible landmarks are useful, while hidden-side contour points are inferred.</x:v>
      </x:c>
    </x:row>
    <x:row r="267" ht="30" customHeight="1">
      <x:c r="A267" s="12" t="str">
        <x:v>sad_016</x:v>
      </x:c>
      <x:c r="B267" s="12" t="str">
        <x:v>sad</x:v>
      </x:c>
      <x:c r="C267" s="14" t="str">
        <x:v>sad/Training_91662599.jpg</x:v>
      </x:c>
      <x:c r="D267" s="12" t="str">
        <x:v>d04e51c6a2bc3d6f12c8c7e5c65fd5aa9c38b05810ebeaa9cc50ae39b7002386</x:v>
      </x:c>
      <x:c r="E267" s="12" t="str">
        <x:v>d04e51c6a2bc3d6f12c8c7e5c65fd5aa9c38b05810ebeaa9cc50ae39b7002386</x:v>
      </x:c>
      <x:c r="F267" s="12" t="str">
        <x:v>True</x:v>
      </x:c>
      <x:c r="G267" s="12" t="str">
        <x:v>48</x:v>
      </x:c>
      <x:c r="H267" s="12" t="str">
        <x:v>48</x:v>
      </x:c>
      <x:c r="I267" s="12" t="str">
        <x:v>0.0</x:v>
      </x:c>
      <x:c r="J267" s="12" t="str">
        <x:v>0.0</x:v>
      </x:c>
      <x:c r="K267" s="12" t="str">
        <x:v>47.0</x:v>
      </x:c>
      <x:c r="L267" s="12" t="str">
        <x:v>47.0</x:v>
      </x:c>
      <x:c r="M267" s="12" t="str">
        <x:v>True</x:v>
      </x:c>
      <x:c r="N267" s="12" t="str">
        <x:v>106</x:v>
      </x:c>
      <x:c r="O267" s="12" t="str">
        <x:v>106</x:v>
      </x:c>
      <x:c r="P267" s="16" t="str">
        <x:v>1.0</x:v>
      </x:c>
      <x:c r="Q267" s="12" t="str">
        <x:v>67</x:v>
      </x:c>
      <x:c r="R267" s="16" t="str">
        <x:v>0.6320754716981132</x:v>
      </x:c>
      <x:c r="S267" s="12" t="str">
        <x:v>0.2</x:v>
      </x:c>
      <x:c r="T267" s="12" t="str">
        <x:v>106</x:v>
      </x:c>
      <x:c r="U267" s="16" t="str">
        <x:v>1.0</x:v>
      </x:c>
      <x:c r="V267" s="18" t="str">
        <x:v>0.309293657541275</x:v>
      </x:c>
      <x:c r="W267" s="18" t="str">
        <x:v>0.43174147605895996</x:v>
      </x:c>
      <x:c r="X267" s="18" t="str">
        <x:v>0.591009259223938</x:v>
      </x:c>
      <x:c r="Y267" s="18" t="str">
        <x:v>0.5927273631095886</x:v>
      </x:c>
      <x:c r="Z267" s="18" t="str">
        <x:v>0.7816928327083588</x:v>
      </x:c>
      <x:c r="AA267" s="18" t="str">
        <x:v>0.8892662525177002</x:v>
      </x:c>
      <x:c r="AB267" s="20" t="str">
        <x:v>122.54229999962263</x:v>
      </x:c>
      <x:c r="AC267" s="12" t="str">
        <x:v>overlays\sad_016.png</x:v>
      </x:c>
      <x:c r="AD267" s="12" t="str"/>
      <x:c r="AE267" s="12" t="str"/>
      <x:c r="AF267" s="12" t="str">
        <x:v>acceptable</x:v>
      </x:c>
      <x:c r="AG267" s="12" t="n">
        <x:v>1</x:v>
      </x:c>
      <x:c r="AH267" s="12" t="str">
        <x:v>acceptable</x:v>
      </x:c>
      <x:c r="AI267" s="12" t="str">
        <x:v>acceptable</x:v>
      </x:c>
      <x:c r="AJ267" s="12" t="str">
        <x:v>acceptable</x:v>
      </x:c>
      <x:c r="AK267" s="12" t="str">
        <x:v>not_applicable</x:v>
      </x:c>
      <x:c r="AL267" s="12" t="str">
        <x:v>mild</x:v>
      </x:c>
      <x:c r="AM267" s="14" t="str">
        <x:v>Tight crop places several contour points outside the frame; central facial landmarks remain usable.</x:v>
      </x:c>
    </x:row>
    <x:row r="268" ht="30" customHeight="1">
      <x:c r="A268" s="12" t="str">
        <x:v>sad_017</x:v>
      </x:c>
      <x:c r="B268" s="12" t="str">
        <x:v>sad</x:v>
      </x:c>
      <x:c r="C268" s="14" t="str">
        <x:v>sad/Training_78106696.jpg</x:v>
      </x:c>
      <x:c r="D268" s="12" t="str">
        <x:v>7a64d36eab94b8036e714d9bb914191aa954717daea74b804e2550c9a9c4b3b1</x:v>
      </x:c>
      <x:c r="E268" s="12" t="str">
        <x:v>7a64d36eab94b8036e714d9bb914191aa954717daea74b804e2550c9a9c4b3b1</x:v>
      </x:c>
      <x:c r="F268" s="12" t="str">
        <x:v>True</x:v>
      </x:c>
      <x:c r="G268" s="12" t="str">
        <x:v>48</x:v>
      </x:c>
      <x:c r="H268" s="12" t="str">
        <x:v>48</x:v>
      </x:c>
      <x:c r="I268" s="12" t="str">
        <x:v>0.0</x:v>
      </x:c>
      <x:c r="J268" s="12" t="str">
        <x:v>0.0</x:v>
      </x:c>
      <x:c r="K268" s="12" t="str">
        <x:v>47.0</x:v>
      </x:c>
      <x:c r="L268" s="12" t="str">
        <x:v>47.0</x:v>
      </x:c>
      <x:c r="M268" s="12" t="str">
        <x:v>True</x:v>
      </x:c>
      <x:c r="N268" s="12" t="str">
        <x:v>106</x:v>
      </x:c>
      <x:c r="O268" s="12" t="str">
        <x:v>106</x:v>
      </x:c>
      <x:c r="P268" s="16" t="str">
        <x:v>1.0</x:v>
      </x:c>
      <x:c r="Q268" s="12" t="str">
        <x:v>99</x:v>
      </x:c>
      <x:c r="R268" s="16" t="str">
        <x:v>0.9339622641509434</x:v>
      </x:c>
      <x:c r="S268" s="12" t="str">
        <x:v>0.2</x:v>
      </x:c>
      <x:c r="T268" s="12" t="str">
        <x:v>106</x:v>
      </x:c>
      <x:c r="U268" s="16" t="str">
        <x:v>1.0</x:v>
      </x:c>
      <x:c r="V268" s="18" t="str">
        <x:v>0.2624908685684204</x:v>
      </x:c>
      <x:c r="W268" s="18" t="str">
        <x:v>0.3647927939891815</x:v>
      </x:c>
      <x:c r="X268" s="18" t="str">
        <x:v>0.619823694229126</x:v>
      </x:c>
      <x:c r="Y268" s="18" t="str">
        <x:v>0.613539457321167</x:v>
      </x:c>
      <x:c r="Z268" s="18" t="str">
        <x:v>0.8986229300498962</x:v>
      </x:c>
      <x:c r="AA268" s="18" t="str">
        <x:v>0.9639880657196045</x:v>
      </x:c>
      <x:c r="AB268" s="20" t="str">
        <x:v>102.09789999862551</x:v>
      </x:c>
      <x:c r="AC268" s="12" t="str">
        <x:v>overlays\sad_017.png</x:v>
      </x:c>
      <x:c r="AD268" s="12" t="str"/>
      <x:c r="AE268" s="12" t="str"/>
      <x:c r="AF268" s="12" t="str">
        <x:v>good</x:v>
      </x:c>
      <x:c r="AG268" s="12" t="n">
        <x:v>1</x:v>
      </x:c>
      <x:c r="AH268" s="12" t="str">
        <x:v>good</x:v>
      </x:c>
      <x:c r="AI268" s="12" t="str">
        <x:v>good</x:v>
      </x:c>
      <x:c r="AJ268" s="12" t="str">
        <x:v>good</x:v>
      </x:c>
      <x:c r="AK268" s="12" t="str">
        <x:v>not_applicable</x:v>
      </x:c>
      <x:c r="AL268" s="12" t="str">
        <x:v>none</x:v>
      </x:c>
      <x:c r="AM268" s="14" t="str">
        <x:v>Clear and well-aligned facial landmarks with no major pose, crop, or occlusion issue.</x:v>
      </x:c>
    </x:row>
    <x:row r="269" ht="30" customHeight="1">
      <x:c r="A269" s="12" t="str">
        <x:v>sad_018</x:v>
      </x:c>
      <x:c r="B269" s="12" t="str">
        <x:v>sad</x:v>
      </x:c>
      <x:c r="C269" s="14" t="str">
        <x:v>sad/Training_31098779.jpg</x:v>
      </x:c>
      <x:c r="D269" s="12" t="str">
        <x:v>51a9fff21441400722644642ed359e232834b359458bcac591ba7ec6ec91cb21</x:v>
      </x:c>
      <x:c r="E269" s="12" t="str">
        <x:v>51a9fff21441400722644642ed359e232834b359458bcac591ba7ec6ec91cb21</x:v>
      </x:c>
      <x:c r="F269" s="12" t="str">
        <x:v>True</x:v>
      </x:c>
      <x:c r="G269" s="12" t="str">
        <x:v>48</x:v>
      </x:c>
      <x:c r="H269" s="12" t="str">
        <x:v>48</x:v>
      </x:c>
      <x:c r="I269" s="12" t="str">
        <x:v>0.0</x:v>
      </x:c>
      <x:c r="J269" s="12" t="str">
        <x:v>0.0</x:v>
      </x:c>
      <x:c r="K269" s="12" t="str">
        <x:v>47.0</x:v>
      </x:c>
      <x:c r="L269" s="12" t="str">
        <x:v>47.0</x:v>
      </x:c>
      <x:c r="M269" s="12" t="str">
        <x:v>True</x:v>
      </x:c>
      <x:c r="N269" s="12" t="str">
        <x:v>106</x:v>
      </x:c>
      <x:c r="O269" s="12" t="str">
        <x:v>106</x:v>
      </x:c>
      <x:c r="P269" s="16" t="str">
        <x:v>1.0</x:v>
      </x:c>
      <x:c r="Q269" s="12" t="str">
        <x:v>106</x:v>
      </x:c>
      <x:c r="R269" s="16" t="str">
        <x:v>1.0</x:v>
      </x:c>
      <x:c r="S269" s="12" t="str">
        <x:v>0.2</x:v>
      </x:c>
      <x:c r="T269" s="12" t="str">
        <x:v>106</x:v>
      </x:c>
      <x:c r="U269" s="16" t="str">
        <x:v>1.0</x:v>
      </x:c>
      <x:c r="V269" s="18" t="str">
        <x:v>0.5546403527259827</x:v>
      </x:c>
      <x:c r="W269" s="18" t="str">
        <x:v>0.5997166931629181</x:v>
      </x:c>
      <x:c r="X269" s="18" t="str">
        <x:v>0.7012520432472229</x:v>
      </x:c>
      <x:c r="Y269" s="18" t="str">
        <x:v>0.6967036724090576</x:v>
      </x:c>
      <x:c r="Z269" s="18" t="str">
        <x:v>0.8170965313911438</x:v>
      </x:c>
      <x:c r="AA269" s="18" t="str">
        <x:v>0.9448323249816895</x:v>
      </x:c>
      <x:c r="AB269" s="20" t="str">
        <x:v>104.04229999767267</x:v>
      </x:c>
      <x:c r="AC269" s="12" t="str">
        <x:v>overlays\sad_018.png</x:v>
      </x:c>
      <x:c r="AD269" s="12" t="str"/>
      <x:c r="AE269" s="12" t="str"/>
      <x:c r="AF269" s="12" t="str">
        <x:v>acceptable</x:v>
      </x:c>
      <x:c r="AG269" s="12" t="n">
        <x:v>1</x:v>
      </x:c>
      <x:c r="AH269" s="12" t="str">
        <x:v>acceptable</x:v>
      </x:c>
      <x:c r="AI269" s="12" t="str">
        <x:v>acceptable</x:v>
      </x:c>
      <x:c r="AJ269" s="12" t="str">
        <x:v>occluded</x:v>
      </x:c>
      <x:c r="AK269" s="12" t="str">
        <x:v>acceptable</x:v>
      </x:c>
      <x:c r="AL269" s="12" t="str">
        <x:v>mild</x:v>
      </x:c>
      <x:c r="AM269" s="14" t="str">
        <x:v>Occlusion affects part of the face; visible landmarks remain usable, but hidden points are inferred.</x:v>
      </x:c>
    </x:row>
    <x:row r="270" ht="30" customHeight="1">
      <x:c r="A270" s="12" t="str">
        <x:v>sad_019</x:v>
      </x:c>
      <x:c r="B270" s="12" t="str">
        <x:v>sad</x:v>
      </x:c>
      <x:c r="C270" s="14" t="str">
        <x:v>sad/Training_73814276.jpg</x:v>
      </x:c>
      <x:c r="D270" s="12" t="str">
        <x:v>259cb47824376b341c6d8b1d5b5a892f5e51f7a469dda550b7706bf601dd1450</x:v>
      </x:c>
      <x:c r="E270" s="12" t="str">
        <x:v>259cb47824376b341c6d8b1d5b5a892f5e51f7a469dda550b7706bf601dd1450</x:v>
      </x:c>
      <x:c r="F270" s="12" t="str">
        <x:v>True</x:v>
      </x:c>
      <x:c r="G270" s="12" t="str">
        <x:v>48</x:v>
      </x:c>
      <x:c r="H270" s="12" t="str">
        <x:v>48</x:v>
      </x:c>
      <x:c r="I270" s="12" t="str">
        <x:v>0.0</x:v>
      </x:c>
      <x:c r="J270" s="12" t="str">
        <x:v>0.0</x:v>
      </x:c>
      <x:c r="K270" s="12" t="str">
        <x:v>47.0</x:v>
      </x:c>
      <x:c r="L270" s="12" t="str">
        <x:v>47.0</x:v>
      </x:c>
      <x:c r="M270" s="12" t="str">
        <x:v>True</x:v>
      </x:c>
      <x:c r="N270" s="12" t="str">
        <x:v>106</x:v>
      </x:c>
      <x:c r="O270" s="12" t="str">
        <x:v>106</x:v>
      </x:c>
      <x:c r="P270" s="16" t="str">
        <x:v>1.0</x:v>
      </x:c>
      <x:c r="Q270" s="12" t="str">
        <x:v>106</x:v>
      </x:c>
      <x:c r="R270" s="16" t="str">
        <x:v>1.0</x:v>
      </x:c>
      <x:c r="S270" s="12" t="str">
        <x:v>0.2</x:v>
      </x:c>
      <x:c r="T270" s="12" t="str">
        <x:v>106</x:v>
      </x:c>
      <x:c r="U270" s="16" t="str">
        <x:v>1.0</x:v>
      </x:c>
      <x:c r="V270" s="18" t="str">
        <x:v>0.4804742932319641</x:v>
      </x:c>
      <x:c r="W270" s="18" t="str">
        <x:v>0.5634633898735046</x:v>
      </x:c>
      <x:c r="X270" s="18" t="str">
        <x:v>0.6948436498641968</x:v>
      </x:c>
      <x:c r="Y270" s="18" t="str">
        <x:v>0.7067878246307373</x:v>
      </x:c>
      <x:c r="Z270" s="18" t="str">
        <x:v>0.8138228058815002</x:v>
      </x:c>
      <x:c r="AA270" s="18" t="str">
        <x:v>0.8682222366333008</x:v>
      </x:c>
      <x:c r="AB270" s="20" t="str">
        <x:v>102.2424000002502</x:v>
      </x:c>
      <x:c r="AC270" s="12" t="str">
        <x:v>overlays\sad_019.png</x:v>
      </x:c>
      <x:c r="AD270" s="12" t="str"/>
      <x:c r="AE270" s="12" t="str"/>
      <x:c r="AF270" s="12" t="str">
        <x:v>acceptable</x:v>
      </x:c>
      <x:c r="AG270" s="12" t="n">
        <x:v>1</x:v>
      </x:c>
      <x:c r="AH270" s="12" t="str">
        <x:v>acceptable</x:v>
      </x:c>
      <x:c r="AI270" s="12" t="str">
        <x:v>acceptable</x:v>
      </x:c>
      <x:c r="AJ270" s="12" t="str">
        <x:v>acceptable</x:v>
      </x:c>
      <x:c r="AK270" s="12" t="str">
        <x:v>not_applicable</x:v>
      </x:c>
      <x:c r="AL270" s="12" t="str">
        <x:v>mild</x:v>
      </x:c>
      <x:c r="AM270" s="14" t="str">
        <x:v>Large pose or profile; visible landmarks are useful, while hidden-side contour points are inferred.</x:v>
      </x:c>
    </x:row>
    <x:row r="271" ht="30" customHeight="1">
      <x:c r="A271" s="12" t="str">
        <x:v>sad_020</x:v>
      </x:c>
      <x:c r="B271" s="12" t="str">
        <x:v>sad</x:v>
      </x:c>
      <x:c r="C271" s="14" t="str">
        <x:v>sad/Training_38314936.jpg</x:v>
      </x:c>
      <x:c r="D271" s="12" t="str">
        <x:v>6d47cddaf9d57036d5b5ca077ad15a36d13010a88a62e91a64844304610c672f</x:v>
      </x:c>
      <x:c r="E271" s="12" t="str">
        <x:v>6d47cddaf9d57036d5b5ca077ad15a36d13010a88a62e91a64844304610c672f</x:v>
      </x:c>
      <x:c r="F271" s="12" t="str">
        <x:v>True</x:v>
      </x:c>
      <x:c r="G271" s="12" t="str">
        <x:v>48</x:v>
      </x:c>
      <x:c r="H271" s="12" t="str">
        <x:v>48</x:v>
      </x:c>
      <x:c r="I271" s="12" t="str">
        <x:v>0.0</x:v>
      </x:c>
      <x:c r="J271" s="12" t="str">
        <x:v>0.0</x:v>
      </x:c>
      <x:c r="K271" s="12" t="str">
        <x:v>47.0</x:v>
      </x:c>
      <x:c r="L271" s="12" t="str">
        <x:v>47.0</x:v>
      </x:c>
      <x:c r="M271" s="12" t="str">
        <x:v>True</x:v>
      </x:c>
      <x:c r="N271" s="12" t="str">
        <x:v>106</x:v>
      </x:c>
      <x:c r="O271" s="12" t="str">
        <x:v>106</x:v>
      </x:c>
      <x:c r="P271" s="16" t="str">
        <x:v>1.0</x:v>
      </x:c>
      <x:c r="Q271" s="12" t="str">
        <x:v>106</x:v>
      </x:c>
      <x:c r="R271" s="16" t="str">
        <x:v>1.0</x:v>
      </x:c>
      <x:c r="S271" s="12" t="str">
        <x:v>0.2</x:v>
      </x:c>
      <x:c r="T271" s="12" t="str">
        <x:v>106</x:v>
      </x:c>
      <x:c r="U271" s="16" t="str">
        <x:v>1.0</x:v>
      </x:c>
      <x:c r="V271" s="18" t="str">
        <x:v>0.23693794012069702</x:v>
      </x:c>
      <x:c r="W271" s="18" t="str">
        <x:v>0.3896115720272064</x:v>
      </x:c>
      <x:c r="X271" s="18" t="str">
        <x:v>0.6896733045578003</x:v>
      </x:c>
      <x:c r="Y271" s="18" t="str">
        <x:v>0.6953003406524658</x:v>
      </x:c>
      <x:c r="Z271" s="18" t="str">
        <x:v>0.9427000880241394</x:v>
      </x:c>
      <x:c r="AA271" s="18" t="str">
        <x:v>1.0259578227996826</x:v>
      </x:c>
      <x:c r="AB271" s="20" t="str">
        <x:v>97.55980000045383</x:v>
      </x:c>
      <x:c r="AC271" s="12" t="str">
        <x:v>overlays\sad_020.png</x:v>
      </x:c>
      <x:c r="AD271" s="12" t="str"/>
      <x:c r="AE271" s="12" t="str"/>
      <x:c r="AF271" s="12" t="str">
        <x:v>acceptable</x:v>
      </x:c>
      <x:c r="AG271" s="12" t="n">
        <x:v>1</x:v>
      </x:c>
      <x:c r="AH271" s="12" t="str">
        <x:v>acceptable</x:v>
      </x:c>
      <x:c r="AI271" s="12" t="str">
        <x:v>acceptable</x:v>
      </x:c>
      <x:c r="AJ271" s="12" t="str">
        <x:v>acceptable</x:v>
      </x:c>
      <x:c r="AK271" s="12" t="str">
        <x:v>not_applicable</x:v>
      </x:c>
      <x:c r="AL271" s="12" t="str">
        <x:v>mild</x:v>
      </x:c>
      <x:c r="AM271" s="14" t="str">
        <x:v>Large pose or profile; visible landmarks are useful, while hidden-side contour points are inferred.</x:v>
      </x:c>
    </x:row>
    <x:row r="272" ht="30" customHeight="1">
      <x:c r="A272" s="12" t="str">
        <x:v>sad_021</x:v>
      </x:c>
      <x:c r="B272" s="12" t="str">
        <x:v>sad</x:v>
      </x:c>
      <x:c r="C272" s="14" t="str">
        <x:v>sad/Training_52203125.jpg</x:v>
      </x:c>
      <x:c r="D272" s="12" t="str">
        <x:v>ec7e79b8b1cf9aec34e8c2f1f81acebc9e236776f77a46b2e4ba3ba6e260603e</x:v>
      </x:c>
      <x:c r="E272" s="12" t="str">
        <x:v>ec7e79b8b1cf9aec34e8c2f1f81acebc9e236776f77a46b2e4ba3ba6e260603e</x:v>
      </x:c>
      <x:c r="F272" s="12" t="str">
        <x:v>True</x:v>
      </x:c>
      <x:c r="G272" s="12" t="str">
        <x:v>48</x:v>
      </x:c>
      <x:c r="H272" s="12" t="str">
        <x:v>48</x:v>
      </x:c>
      <x:c r="I272" s="12" t="str">
        <x:v>0.0</x:v>
      </x:c>
      <x:c r="J272" s="12" t="str">
        <x:v>0.0</x:v>
      </x:c>
      <x:c r="K272" s="12" t="str">
        <x:v>47.0</x:v>
      </x:c>
      <x:c r="L272" s="12" t="str">
        <x:v>47.0</x:v>
      </x:c>
      <x:c r="M272" s="12" t="str">
        <x:v>True</x:v>
      </x:c>
      <x:c r="N272" s="12" t="str">
        <x:v>106</x:v>
      </x:c>
      <x:c r="O272" s="12" t="str">
        <x:v>106</x:v>
      </x:c>
      <x:c r="P272" s="16" t="str">
        <x:v>1.0</x:v>
      </x:c>
      <x:c r="Q272" s="12" t="str">
        <x:v>100</x:v>
      </x:c>
      <x:c r="R272" s="16" t="str">
        <x:v>0.9433962264150944</x:v>
      </x:c>
      <x:c r="S272" s="12" t="str">
        <x:v>0.2</x:v>
      </x:c>
      <x:c r="T272" s="12" t="str">
        <x:v>106</x:v>
      </x:c>
      <x:c r="U272" s="16" t="str">
        <x:v>1.0</x:v>
      </x:c>
      <x:c r="V272" s="18" t="str">
        <x:v>0.3008631467819214</x:v>
      </x:c>
      <x:c r="W272" s="18" t="str">
        <x:v>0.39281436800956726</x:v>
      </x:c>
      <x:c r="X272" s="18" t="str">
        <x:v>0.5844354629516602</x:v>
      </x:c>
      <x:c r="Y272" s="18" t="str">
        <x:v>0.5821609497070312</x:v>
      </x:c>
      <x:c r="Z272" s="18" t="str">
        <x:v>0.812593400478363</x:v>
      </x:c>
      <x:c r="AA272" s="18" t="str">
        <x:v>0.8907779455184937</x:v>
      </x:c>
      <x:c r="AB272" s="20" t="str">
        <x:v>105.31719999926281</x:v>
      </x:c>
      <x:c r="AC272" s="12" t="str">
        <x:v>overlays\sad_021.png</x:v>
      </x:c>
      <x:c r="AD272" s="12" t="str"/>
      <x:c r="AE272" s="12" t="str"/>
      <x:c r="AF272" s="12" t="str">
        <x:v>acceptable</x:v>
      </x:c>
      <x:c r="AG272" s="12" t="n">
        <x:v>1</x:v>
      </x:c>
      <x:c r="AH272" s="12" t="str">
        <x:v>acceptable</x:v>
      </x:c>
      <x:c r="AI272" s="12" t="str">
        <x:v>acceptable</x:v>
      </x:c>
      <x:c r="AJ272" s="12" t="str">
        <x:v>acceptable</x:v>
      </x:c>
      <x:c r="AK272" s="12" t="str">
        <x:v>not_applicable</x:v>
      </x:c>
      <x:c r="AL272" s="12" t="str">
        <x:v>mild</x:v>
      </x:c>
      <x:c r="AM272" s="14" t="str">
        <x:v>Moderate pose, crop, or image degradation causes minor landmark uncertainty; the result remains usable.</x:v>
      </x:c>
    </x:row>
    <x:row r="273" ht="30" customHeight="1">
      <x:c r="A273" s="12" t="str">
        <x:v>sad_022</x:v>
      </x:c>
      <x:c r="B273" s="12" t="str">
        <x:v>sad</x:v>
      </x:c>
      <x:c r="C273" s="14" t="str">
        <x:v>sad/Training_80125846.jpg</x:v>
      </x:c>
      <x:c r="D273" s="12" t="str">
        <x:v>c30b929ca6fa46b7bfaa46b2584df11583e614dacb489c38b076a1290af1a978</x:v>
      </x:c>
      <x:c r="E273" s="12" t="str">
        <x:v>c30b929ca6fa46b7bfaa46b2584df11583e614dacb489c38b076a1290af1a978</x:v>
      </x:c>
      <x:c r="F273" s="12" t="str">
        <x:v>True</x:v>
      </x:c>
      <x:c r="G273" s="12" t="str">
        <x:v>48</x:v>
      </x:c>
      <x:c r="H273" s="12" t="str">
        <x:v>48</x:v>
      </x:c>
      <x:c r="I273" s="12" t="str">
        <x:v>0.0</x:v>
      </x:c>
      <x:c r="J273" s="12" t="str">
        <x:v>0.0</x:v>
      </x:c>
      <x:c r="K273" s="12" t="str">
        <x:v>47.0</x:v>
      </x:c>
      <x:c r="L273" s="12" t="str">
        <x:v>47.0</x:v>
      </x:c>
      <x:c r="M273" s="12" t="str">
        <x:v>True</x:v>
      </x:c>
      <x:c r="N273" s="12" t="str">
        <x:v>106</x:v>
      </x:c>
      <x:c r="O273" s="12" t="str">
        <x:v>106</x:v>
      </x:c>
      <x:c r="P273" s="16" t="str">
        <x:v>1.0</x:v>
      </x:c>
      <x:c r="Q273" s="12" t="str">
        <x:v>96</x:v>
      </x:c>
      <x:c r="R273" s="16" t="str">
        <x:v>0.9056603773584906</x:v>
      </x:c>
      <x:c r="S273" s="12" t="str">
        <x:v>0.2</x:v>
      </x:c>
      <x:c r="T273" s="12" t="str">
        <x:v>106</x:v>
      </x:c>
      <x:c r="U273" s="16" t="str">
        <x:v>1.0</x:v>
      </x:c>
      <x:c r="V273" s="18" t="str">
        <x:v>0.27554506063461304</x:v>
      </x:c>
      <x:c r="W273" s="18" t="str">
        <x:v>0.3546464741230011</x:v>
      </x:c>
      <x:c r="X273" s="18" t="str">
        <x:v>0.5664751529693604</x:v>
      </x:c>
      <x:c r="Y273" s="18" t="str">
        <x:v>0.5629242658615112</x:v>
      </x:c>
      <x:c r="Z273" s="18" t="str">
        <x:v>0.8326335549354553</x:v>
      </x:c>
      <x:c r="AA273" s="18" t="str">
        <x:v>0.9170774817466736</x:v>
      </x:c>
      <x:c r="AB273" s="20" t="str">
        <x:v>104.12240000005113</x:v>
      </x:c>
      <x:c r="AC273" s="12" t="str">
        <x:v>overlays\sad_022.png</x:v>
      </x:c>
      <x:c r="AD273" s="12" t="str"/>
      <x:c r="AE273" s="12" t="str"/>
      <x:c r="AF273" s="12" t="str">
        <x:v>good</x:v>
      </x:c>
      <x:c r="AG273" s="12" t="n">
        <x:v>1</x:v>
      </x:c>
      <x:c r="AH273" s="12" t="str">
        <x:v>good</x:v>
      </x:c>
      <x:c r="AI273" s="12" t="str">
        <x:v>good</x:v>
      </x:c>
      <x:c r="AJ273" s="12" t="str">
        <x:v>good</x:v>
      </x:c>
      <x:c r="AK273" s="12" t="str">
        <x:v>not_applicable</x:v>
      </x:c>
      <x:c r="AL273" s="12" t="str">
        <x:v>none</x:v>
      </x:c>
      <x:c r="AM273" s="14" t="str">
        <x:v>Clear and well-aligned facial landmarks with no major pose, crop, or occlusion issue.</x:v>
      </x:c>
    </x:row>
    <x:row r="274" ht="30" customHeight="1">
      <x:c r="A274" s="12" t="str">
        <x:v>sad_023</x:v>
      </x:c>
      <x:c r="B274" s="12" t="str">
        <x:v>sad</x:v>
      </x:c>
      <x:c r="C274" s="14" t="str">
        <x:v>sad/Training_48011500.jpg</x:v>
      </x:c>
      <x:c r="D274" s="12" t="str">
        <x:v>57058ed8c61588863d8f77076f9e3f09ffd37e44bd5ff154bd193e4d454cade8</x:v>
      </x:c>
      <x:c r="E274" s="12" t="str">
        <x:v>57058ed8c61588863d8f77076f9e3f09ffd37e44bd5ff154bd193e4d454cade8</x:v>
      </x:c>
      <x:c r="F274" s="12" t="str">
        <x:v>True</x:v>
      </x:c>
      <x:c r="G274" s="12" t="str">
        <x:v>48</x:v>
      </x:c>
      <x:c r="H274" s="12" t="str">
        <x:v>48</x:v>
      </x:c>
      <x:c r="I274" s="12" t="str">
        <x:v>0.0</x:v>
      </x:c>
      <x:c r="J274" s="12" t="str">
        <x:v>0.0</x:v>
      </x:c>
      <x:c r="K274" s="12" t="str">
        <x:v>47.0</x:v>
      </x:c>
      <x:c r="L274" s="12" t="str">
        <x:v>47.0</x:v>
      </x:c>
      <x:c r="M274" s="12" t="str">
        <x:v>True</x:v>
      </x:c>
      <x:c r="N274" s="12" t="str">
        <x:v>106</x:v>
      </x:c>
      <x:c r="O274" s="12" t="str">
        <x:v>106</x:v>
      </x:c>
      <x:c r="P274" s="16" t="str">
        <x:v>1.0</x:v>
      </x:c>
      <x:c r="Q274" s="12" t="str">
        <x:v>94</x:v>
      </x:c>
      <x:c r="R274" s="16" t="str">
        <x:v>0.8867924528301887</x:v>
      </x:c>
      <x:c r="S274" s="12" t="str">
        <x:v>0.2</x:v>
      </x:c>
      <x:c r="T274" s="12" t="str">
        <x:v>106</x:v>
      </x:c>
      <x:c r="U274" s="16" t="str">
        <x:v>1.0</x:v>
      </x:c>
      <x:c r="V274" s="18" t="str">
        <x:v>0.2863066494464874</x:v>
      </x:c>
      <x:c r="W274" s="18" t="str">
        <x:v>0.39295563101768494</x:v>
      </x:c>
      <x:c r="X274" s="18" t="str">
        <x:v>0.6035523414611816</x:v>
      </x:c>
      <x:c r="Y274" s="18" t="str">
        <x:v>0.5638481378555298</x:v>
      </x:c>
      <x:c r="Z274" s="18" t="str">
        <x:v>0.8554130792617798</x:v>
      </x:c>
      <x:c r="AA274" s="18" t="str">
        <x:v>0.8786965608596802</x:v>
      </x:c>
      <x:c r="AB274" s="20" t="str">
        <x:v>101.29439999946044</x:v>
      </x:c>
      <x:c r="AC274" s="12" t="str">
        <x:v>overlays\sad_023.png</x:v>
      </x:c>
      <x:c r="AD274" s="12" t="str"/>
      <x:c r="AE274" s="12" t="str"/>
      <x:c r="AF274" s="12" t="str">
        <x:v>acceptable</x:v>
      </x:c>
      <x:c r="AG274" s="12" t="n">
        <x:v>1</x:v>
      </x:c>
      <x:c r="AH274" s="12" t="str">
        <x:v>occluded</x:v>
      </x:c>
      <x:c r="AI274" s="12" t="str">
        <x:v>occluded</x:v>
      </x:c>
      <x:c r="AJ274" s="12" t="str">
        <x:v>occluded</x:v>
      </x:c>
      <x:c r="AK274" s="12" t="str">
        <x:v>not_applicable</x:v>
      </x:c>
      <x:c r="AL274" s="12" t="str">
        <x:v>mild</x:v>
      </x:c>
      <x:c r="AM274" s="14" t="str">
        <x:v>Occlusion affects part of the face; visible landmarks remain usable, but hidden points are inferred.</x:v>
      </x:c>
    </x:row>
    <x:row r="275" ht="30" customHeight="1">
      <x:c r="A275" s="12" t="str">
        <x:v>sad_024</x:v>
      </x:c>
      <x:c r="B275" s="12" t="str">
        <x:v>sad</x:v>
      </x:c>
      <x:c r="C275" s="14" t="str">
        <x:v>sad/Training_21216571.jpg</x:v>
      </x:c>
      <x:c r="D275" s="12" t="str">
        <x:v>d47982dd7e21181c5152d543e98d17e587b22a0927e27790d1f7875a3ed2aa19</x:v>
      </x:c>
      <x:c r="E275" s="12" t="str">
        <x:v>d47982dd7e21181c5152d543e98d17e587b22a0927e27790d1f7875a3ed2aa19</x:v>
      </x:c>
      <x:c r="F275" s="12" t="str">
        <x:v>True</x:v>
      </x:c>
      <x:c r="G275" s="12" t="str">
        <x:v>48</x:v>
      </x:c>
      <x:c r="H275" s="12" t="str">
        <x:v>48</x:v>
      </x:c>
      <x:c r="I275" s="12" t="str">
        <x:v>0.0</x:v>
      </x:c>
      <x:c r="J275" s="12" t="str">
        <x:v>0.0</x:v>
      </x:c>
      <x:c r="K275" s="12" t="str">
        <x:v>47.0</x:v>
      </x:c>
      <x:c r="L275" s="12" t="str">
        <x:v>47.0</x:v>
      </x:c>
      <x:c r="M275" s="12" t="str">
        <x:v>True</x:v>
      </x:c>
      <x:c r="N275" s="12" t="str">
        <x:v>106</x:v>
      </x:c>
      <x:c r="O275" s="12" t="str">
        <x:v>106</x:v>
      </x:c>
      <x:c r="P275" s="16" t="str">
        <x:v>1.0</x:v>
      </x:c>
      <x:c r="Q275" s="12" t="str">
        <x:v>103</x:v>
      </x:c>
      <x:c r="R275" s="16" t="str">
        <x:v>0.9716981132075472</x:v>
      </x:c>
      <x:c r="S275" s="12" t="str">
        <x:v>0.2</x:v>
      </x:c>
      <x:c r="T275" s="12" t="str">
        <x:v>106</x:v>
      </x:c>
      <x:c r="U275" s="16" t="str">
        <x:v>1.0</x:v>
      </x:c>
      <x:c r="V275" s="18" t="str">
        <x:v>0.4608761668205261</x:v>
      </x:c>
      <x:c r="W275" s="18" t="str">
        <x:v>0.5693937540054321</x:v>
      </x:c>
      <x:c r="X275" s="18" t="str">
        <x:v>0.6808763742446899</x:v>
      </x:c>
      <x:c r="Y275" s="18" t="str">
        <x:v>0.6580515503883362</x:v>
      </x:c>
      <x:c r="Z275" s="18" t="str">
        <x:v>0.8480649590492249</x:v>
      </x:c>
      <x:c r="AA275" s="18" t="str">
        <x:v>0.995907187461853</x:v>
      </x:c>
      <x:c r="AB275" s="20" t="str">
        <x:v>103.29349999665283</x:v>
      </x:c>
      <x:c r="AC275" s="12" t="str">
        <x:v>overlays\sad_024.png</x:v>
      </x:c>
      <x:c r="AD275" s="12" t="str"/>
      <x:c r="AE275" s="12" t="str"/>
      <x:c r="AF275" s="12" t="str">
        <x:v>acceptable</x:v>
      </x:c>
      <x:c r="AG275" s="12" t="n">
        <x:v>1</x:v>
      </x:c>
      <x:c r="AH275" s="12" t="str">
        <x:v>occluded</x:v>
      </x:c>
      <x:c r="AI275" s="12" t="str">
        <x:v>occluded</x:v>
      </x:c>
      <x:c r="AJ275" s="12" t="str">
        <x:v>occluded</x:v>
      </x:c>
      <x:c r="AK275" s="12" t="str">
        <x:v>not_applicable</x:v>
      </x:c>
      <x:c r="AL275" s="12" t="str">
        <x:v>mild</x:v>
      </x:c>
      <x:c r="AM275" s="14" t="str">
        <x:v>Occlusion affects part of the face; visible landmarks remain usable, but hidden points are inferred.</x:v>
      </x:c>
    </x:row>
    <x:row r="276" ht="30" customHeight="1">
      <x:c r="A276" s="12" t="str">
        <x:v>sad_025</x:v>
      </x:c>
      <x:c r="B276" s="12" t="str">
        <x:v>sad</x:v>
      </x:c>
      <x:c r="C276" s="14" t="str">
        <x:v>sad/Training_77151653.jpg</x:v>
      </x:c>
      <x:c r="D276" s="12" t="str">
        <x:v>4dc76d2ca611a6babb82673c0839b9d25848d4beaa033f82da89a79999f27a49</x:v>
      </x:c>
      <x:c r="E276" s="12" t="str">
        <x:v>4dc76d2ca611a6babb82673c0839b9d25848d4beaa033f82da89a79999f27a49</x:v>
      </x:c>
      <x:c r="F276" s="12" t="str">
        <x:v>True</x:v>
      </x:c>
      <x:c r="G276" s="12" t="str">
        <x:v>48</x:v>
      </x:c>
      <x:c r="H276" s="12" t="str">
        <x:v>48</x:v>
      </x:c>
      <x:c r="I276" s="12" t="str">
        <x:v>0.0</x:v>
      </x:c>
      <x:c r="J276" s="12" t="str">
        <x:v>0.0</x:v>
      </x:c>
      <x:c r="K276" s="12" t="str">
        <x:v>47.0</x:v>
      </x:c>
      <x:c r="L276" s="12" t="str">
        <x:v>47.0</x:v>
      </x:c>
      <x:c r="M276" s="12" t="str">
        <x:v>True</x:v>
      </x:c>
      <x:c r="N276" s="12" t="str">
        <x:v>106</x:v>
      </x:c>
      <x:c r="O276" s="12" t="str">
        <x:v>106</x:v>
      </x:c>
      <x:c r="P276" s="16" t="str">
        <x:v>1.0</x:v>
      </x:c>
      <x:c r="Q276" s="12" t="str">
        <x:v>104</x:v>
      </x:c>
      <x:c r="R276" s="16" t="str">
        <x:v>0.9811320754716981</x:v>
      </x:c>
      <x:c r="S276" s="12" t="str">
        <x:v>0.2</x:v>
      </x:c>
      <x:c r="T276" s="12" t="str">
        <x:v>106</x:v>
      </x:c>
      <x:c r="U276" s="16" t="str">
        <x:v>1.0</x:v>
      </x:c>
      <x:c r="V276" s="18" t="str">
        <x:v>0.5416566133499146</x:v>
      </x:c>
      <x:c r="W276" s="18" t="str">
        <x:v>0.6628560423851013</x:v>
      </x:c>
      <x:c r="X276" s="18" t="str">
        <x:v>0.7836694717407227</x:v>
      </x:c>
      <x:c r="Y276" s="18" t="str">
        <x:v>0.7948448061943054</x:v>
      </x:c>
      <x:c r="Z276" s="18" t="str">
        <x:v>0.8933011293411255</x:v>
      </x:c>
      <x:c r="AA276" s="18" t="str">
        <x:v>0.961667537689209</x:v>
      </x:c>
      <x:c r="AB276" s="20" t="str">
        <x:v>104.5512000018789</x:v>
      </x:c>
      <x:c r="AC276" s="12" t="str">
        <x:v>overlays\sad_025.png</x:v>
      </x:c>
      <x:c r="AD276" s="12" t="str"/>
      <x:c r="AE276" s="12" t="str"/>
      <x:c r="AF276" s="12" t="str">
        <x:v>acceptable</x:v>
      </x:c>
      <x:c r="AG276" s="12" t="n">
        <x:v>1</x:v>
      </x:c>
      <x:c r="AH276" s="12" t="str">
        <x:v>acceptable</x:v>
      </x:c>
      <x:c r="AI276" s="12" t="str">
        <x:v>acceptable</x:v>
      </x:c>
      <x:c r="AJ276" s="12" t="str">
        <x:v>acceptable</x:v>
      </x:c>
      <x:c r="AK276" s="12" t="str">
        <x:v>not_applicable</x:v>
      </x:c>
      <x:c r="AL276" s="12" t="str">
        <x:v>mild</x:v>
      </x:c>
      <x:c r="AM276" s="14" t="str">
        <x:v>Large pose or profile; visible landmarks are useful, while hidden-side contour points are inferred.</x:v>
      </x:c>
    </x:row>
    <x:row r="277" ht="30" customHeight="1">
      <x:c r="A277" s="12" t="str">
        <x:v>sad_026</x:v>
      </x:c>
      <x:c r="B277" s="12" t="str">
        <x:v>sad</x:v>
      </x:c>
      <x:c r="C277" s="14" t="str">
        <x:v>sad/Training_94255939.jpg</x:v>
      </x:c>
      <x:c r="D277" s="12" t="str">
        <x:v>ae08285985069b04fb97ff81e9da3df98421eb455ffe74a3b72253cbfa7e6ff1</x:v>
      </x:c>
      <x:c r="E277" s="12" t="str">
        <x:v>ae08285985069b04fb97ff81e9da3df98421eb455ffe74a3b72253cbfa7e6ff1</x:v>
      </x:c>
      <x:c r="F277" s="12" t="str">
        <x:v>True</x:v>
      </x:c>
      <x:c r="G277" s="12" t="str">
        <x:v>48</x:v>
      </x:c>
      <x:c r="H277" s="12" t="str">
        <x:v>48</x:v>
      </x:c>
      <x:c r="I277" s="12" t="str">
        <x:v>0.0</x:v>
      </x:c>
      <x:c r="J277" s="12" t="str">
        <x:v>0.0</x:v>
      </x:c>
      <x:c r="K277" s="12" t="str">
        <x:v>47.0</x:v>
      </x:c>
      <x:c r="L277" s="12" t="str">
        <x:v>47.0</x:v>
      </x:c>
      <x:c r="M277" s="12" t="str">
        <x:v>True</x:v>
      </x:c>
      <x:c r="N277" s="12" t="str">
        <x:v>106</x:v>
      </x:c>
      <x:c r="O277" s="12" t="str">
        <x:v>106</x:v>
      </x:c>
      <x:c r="P277" s="16" t="str">
        <x:v>1.0</x:v>
      </x:c>
      <x:c r="Q277" s="12" t="str">
        <x:v>106</x:v>
      </x:c>
      <x:c r="R277" s="16" t="str">
        <x:v>1.0</x:v>
      </x:c>
      <x:c r="S277" s="12" t="str">
        <x:v>0.2</x:v>
      </x:c>
      <x:c r="T277" s="12" t="str">
        <x:v>106</x:v>
      </x:c>
      <x:c r="U277" s="16" t="str">
        <x:v>1.0</x:v>
      </x:c>
      <x:c r="V277" s="18" t="str">
        <x:v>0.4116993546485901</x:v>
      </x:c>
      <x:c r="W277" s="18" t="str">
        <x:v>0.4687824994325638</x:v>
      </x:c>
      <x:c r="X277" s="18" t="str">
        <x:v>0.6435421705245972</x:v>
      </x:c>
      <x:c r="Y277" s="18" t="str">
        <x:v>0.6362169981002808</x:v>
      </x:c>
      <x:c r="Z277" s="18" t="str">
        <x:v>0.8445348143577576</x:v>
      </x:c>
      <x:c r="AA277" s="18" t="str">
        <x:v>0.939453661441803</x:v>
      </x:c>
      <x:c r="AB277" s="20" t="str">
        <x:v>117.51929999809363</x:v>
      </x:c>
      <x:c r="AC277" s="12" t="str">
        <x:v>overlays\sad_026.png</x:v>
      </x:c>
      <x:c r="AD277" s="12" t="str"/>
      <x:c r="AE277" s="12" t="str"/>
      <x:c r="AF277" s="12" t="str">
        <x:v>acceptable</x:v>
      </x:c>
      <x:c r="AG277" s="12" t="n">
        <x:v>1</x:v>
      </x:c>
      <x:c r="AH277" s="12" t="str">
        <x:v>acceptable</x:v>
      </x:c>
      <x:c r="AI277" s="12" t="str">
        <x:v>acceptable</x:v>
      </x:c>
      <x:c r="AJ277" s="12" t="str">
        <x:v>acceptable</x:v>
      </x:c>
      <x:c r="AK277" s="12" t="str">
        <x:v>not_applicable</x:v>
      </x:c>
      <x:c r="AL277" s="12" t="str">
        <x:v>mild</x:v>
      </x:c>
      <x:c r="AM277" s="14" t="str">
        <x:v>Large pose or profile; visible landmarks are useful, while hidden-side contour points are inferred.</x:v>
      </x:c>
    </x:row>
    <x:row r="278" ht="30" customHeight="1">
      <x:c r="A278" s="12" t="str">
        <x:v>sad_027</x:v>
      </x:c>
      <x:c r="B278" s="12" t="str">
        <x:v>sad</x:v>
      </x:c>
      <x:c r="C278" s="14" t="str">
        <x:v>sad/Training_24498297.jpg</x:v>
      </x:c>
      <x:c r="D278" s="12" t="str">
        <x:v>a71e5a69839ef74ac42c2f487f62233e1a08ac123dcd76afbfc7bd43d544a93b</x:v>
      </x:c>
      <x:c r="E278" s="12" t="str">
        <x:v>a71e5a69839ef74ac42c2f487f62233e1a08ac123dcd76afbfc7bd43d544a93b</x:v>
      </x:c>
      <x:c r="F278" s="12" t="str">
        <x:v>True</x:v>
      </x:c>
      <x:c r="G278" s="12" t="str">
        <x:v>48</x:v>
      </x:c>
      <x:c r="H278" s="12" t="str">
        <x:v>48</x:v>
      </x:c>
      <x:c r="I278" s="12" t="str">
        <x:v>0.0</x:v>
      </x:c>
      <x:c r="J278" s="12" t="str">
        <x:v>0.0</x:v>
      </x:c>
      <x:c r="K278" s="12" t="str">
        <x:v>47.0</x:v>
      </x:c>
      <x:c r="L278" s="12" t="str">
        <x:v>47.0</x:v>
      </x:c>
      <x:c r="M278" s="12" t="str">
        <x:v>True</x:v>
      </x:c>
      <x:c r="N278" s="12" t="str">
        <x:v>106</x:v>
      </x:c>
      <x:c r="O278" s="12" t="str">
        <x:v>106</x:v>
      </x:c>
      <x:c r="P278" s="16" t="str">
        <x:v>1.0</x:v>
      </x:c>
      <x:c r="Q278" s="12" t="str">
        <x:v>81</x:v>
      </x:c>
      <x:c r="R278" s="16" t="str">
        <x:v>0.7641509433962265</x:v>
      </x:c>
      <x:c r="S278" s="12" t="str">
        <x:v>0.2</x:v>
      </x:c>
      <x:c r="T278" s="12" t="str">
        <x:v>106</x:v>
      </x:c>
      <x:c r="U278" s="16" t="str">
        <x:v>1.0</x:v>
      </x:c>
      <x:c r="V278" s="18" t="str">
        <x:v>0.20234256982803345</x:v>
      </x:c>
      <x:c r="W278" s="18" t="str">
        <x:v>0.2964444160461426</x:v>
      </x:c>
      <x:c r="X278" s="18" t="str">
        <x:v>0.45947062969207764</x:v>
      </x:c>
      <x:c r="Y278" s="18" t="str">
        <x:v>0.43294915556907654</x:v>
      </x:c>
      <x:c r="Z278" s="18" t="str">
        <x:v>0.6791808009147644</x:v>
      </x:c>
      <x:c r="AA278" s="18" t="str">
        <x:v>0.7733384370803833</x:v>
      </x:c>
      <x:c r="AB278" s="20" t="str">
        <x:v>115.18919999798527</x:v>
      </x:c>
      <x:c r="AC278" s="12" t="str">
        <x:v>overlays\sad_027.png</x:v>
      </x:c>
      <x:c r="AD278" s="12" t="str"/>
      <x:c r="AE278" s="12" t="str"/>
      <x:c r="AF278" s="12" t="str">
        <x:v>acceptable</x:v>
      </x:c>
      <x:c r="AG278" s="12" t="n">
        <x:v>1</x:v>
      </x:c>
      <x:c r="AH278" s="12" t="str">
        <x:v>acceptable</x:v>
      </x:c>
      <x:c r="AI278" s="12" t="str">
        <x:v>acceptable</x:v>
      </x:c>
      <x:c r="AJ278" s="12" t="str">
        <x:v>acceptable</x:v>
      </x:c>
      <x:c r="AK278" s="12" t="str">
        <x:v>not_applicable</x:v>
      </x:c>
      <x:c r="AL278" s="12" t="str">
        <x:v>mild</x:v>
      </x:c>
      <x:c r="AM278" s="14" t="str">
        <x:v>Tight crop places several contour points outside the frame; central facial landmarks remain usable.</x:v>
      </x:c>
    </x:row>
    <x:row r="279" ht="30" customHeight="1">
      <x:c r="A279" s="12" t="str">
        <x:v>sad_028</x:v>
      </x:c>
      <x:c r="B279" s="12" t="str">
        <x:v>sad</x:v>
      </x:c>
      <x:c r="C279" s="14" t="str">
        <x:v>sad/Training_17717830.jpg</x:v>
      </x:c>
      <x:c r="D279" s="12" t="str">
        <x:v>3c179e3ad0c1b7d9fd6cf9f7c7cf46ab05238fea4363ab1bd0ac5ba02fdba5c8</x:v>
      </x:c>
      <x:c r="E279" s="12" t="str">
        <x:v>3c179e3ad0c1b7d9fd6cf9f7c7cf46ab05238fea4363ab1bd0ac5ba02fdba5c8</x:v>
      </x:c>
      <x:c r="F279" s="12" t="str">
        <x:v>True</x:v>
      </x:c>
      <x:c r="G279" s="12" t="str">
        <x:v>48</x:v>
      </x:c>
      <x:c r="H279" s="12" t="str">
        <x:v>48</x:v>
      </x:c>
      <x:c r="I279" s="12" t="str">
        <x:v>0.0</x:v>
      </x:c>
      <x:c r="J279" s="12" t="str">
        <x:v>0.0</x:v>
      </x:c>
      <x:c r="K279" s="12" t="str">
        <x:v>47.0</x:v>
      </x:c>
      <x:c r="L279" s="12" t="str">
        <x:v>47.0</x:v>
      </x:c>
      <x:c r="M279" s="12" t="str">
        <x:v>True</x:v>
      </x:c>
      <x:c r="N279" s="12" t="str">
        <x:v>106</x:v>
      </x:c>
      <x:c r="O279" s="12" t="str">
        <x:v>106</x:v>
      </x:c>
      <x:c r="P279" s="16" t="str">
        <x:v>1.0</x:v>
      </x:c>
      <x:c r="Q279" s="12" t="str">
        <x:v>101</x:v>
      </x:c>
      <x:c r="R279" s="16" t="str">
        <x:v>0.9528301886792453</x:v>
      </x:c>
      <x:c r="S279" s="12" t="str">
        <x:v>0.2</x:v>
      </x:c>
      <x:c r="T279" s="12" t="str">
        <x:v>106</x:v>
      </x:c>
      <x:c r="U279" s="16" t="str">
        <x:v>1.0</x:v>
      </x:c>
      <x:c r="V279" s="18" t="str">
        <x:v>0.328339159488678</x:v>
      </x:c>
      <x:c r="W279" s="18" t="str">
        <x:v>0.3969724476337433</x:v>
      </x:c>
      <x:c r="X279" s="18" t="str">
        <x:v>0.627356767654419</x:v>
      </x:c>
      <x:c r="Y279" s="18" t="str">
        <x:v>0.6115632653236389</x:v>
      </x:c>
      <x:c r="Z279" s="18" t="str">
        <x:v>0.8822479248046875</x:v>
      </x:c>
      <x:c r="AA279" s="18" t="str">
        <x:v>0.9594930410385132</x:v>
      </x:c>
      <x:c r="AB279" s="20" t="str">
        <x:v>109.99250000168104</x:v>
      </x:c>
      <x:c r="AC279" s="12" t="str">
        <x:v>overlays\sad_028.png</x:v>
      </x:c>
      <x:c r="AD279" s="12" t="str"/>
      <x:c r="AE279" s="12" t="str"/>
      <x:c r="AF279" s="12" t="str">
        <x:v>good</x:v>
      </x:c>
      <x:c r="AG279" s="12" t="n">
        <x:v>1</x:v>
      </x:c>
      <x:c r="AH279" s="12" t="str">
        <x:v>good</x:v>
      </x:c>
      <x:c r="AI279" s="12" t="str">
        <x:v>good</x:v>
      </x:c>
      <x:c r="AJ279" s="12" t="str">
        <x:v>good</x:v>
      </x:c>
      <x:c r="AK279" s="12" t="str">
        <x:v>not_applicable</x:v>
      </x:c>
      <x:c r="AL279" s="12" t="str">
        <x:v>none</x:v>
      </x:c>
      <x:c r="AM279" s="14" t="str">
        <x:v>Clear and well-aligned facial landmarks with no major pose, crop, or occlusion issue.</x:v>
      </x:c>
    </x:row>
    <x:row r="280" ht="30" customHeight="1">
      <x:c r="A280" s="12" t="str">
        <x:v>sad_029</x:v>
      </x:c>
      <x:c r="B280" s="12" t="str">
        <x:v>sad</x:v>
      </x:c>
      <x:c r="C280" s="14" t="str">
        <x:v>sad/Training_92543724.jpg</x:v>
      </x:c>
      <x:c r="D280" s="12" t="str">
        <x:v>aa5ad0f6a7329111a12c390588bd92599b384000babd8ba56424d10785a37556</x:v>
      </x:c>
      <x:c r="E280" s="12" t="str">
        <x:v>aa5ad0f6a7329111a12c390588bd92599b384000babd8ba56424d10785a37556</x:v>
      </x:c>
      <x:c r="F280" s="12" t="str">
        <x:v>True</x:v>
      </x:c>
      <x:c r="G280" s="12" t="str">
        <x:v>48</x:v>
      </x:c>
      <x:c r="H280" s="12" t="str">
        <x:v>48</x:v>
      </x:c>
      <x:c r="I280" s="12" t="str">
        <x:v>0.0</x:v>
      </x:c>
      <x:c r="J280" s="12" t="str">
        <x:v>0.0</x:v>
      </x:c>
      <x:c r="K280" s="12" t="str">
        <x:v>47.0</x:v>
      </x:c>
      <x:c r="L280" s="12" t="str">
        <x:v>47.0</x:v>
      </x:c>
      <x:c r="M280" s="12" t="str">
        <x:v>True</x:v>
      </x:c>
      <x:c r="N280" s="12" t="str">
        <x:v>106</x:v>
      </x:c>
      <x:c r="O280" s="12" t="str">
        <x:v>106</x:v>
      </x:c>
      <x:c r="P280" s="16" t="str">
        <x:v>1.0</x:v>
      </x:c>
      <x:c r="Q280" s="12" t="str">
        <x:v>99</x:v>
      </x:c>
      <x:c r="R280" s="16" t="str">
        <x:v>0.9339622641509434</x:v>
      </x:c>
      <x:c r="S280" s="12" t="str">
        <x:v>0.2</x:v>
      </x:c>
      <x:c r="T280" s="12" t="str">
        <x:v>106</x:v>
      </x:c>
      <x:c r="U280" s="16" t="str">
        <x:v>1.0</x:v>
      </x:c>
      <x:c r="V280" s="18" t="str">
        <x:v>0.31278830766677856</x:v>
      </x:c>
      <x:c r="W280" s="18" t="str">
        <x:v>0.460002601146698</x:v>
      </x:c>
      <x:c r="X280" s="18" t="str">
        <x:v>0.6327739357948303</x:v>
      </x:c>
      <x:c r="Y280" s="18" t="str">
        <x:v>0.599644660949707</x:v>
      </x:c>
      <x:c r="Z280" s="18" t="str">
        <x:v>0.8585955798625946</x:v>
      </x:c>
      <x:c r="AA280" s="18" t="str">
        <x:v>0.9395772218704224</x:v>
      </x:c>
      <x:c r="AB280" s="20" t="str">
        <x:v>107.55200000130571</x:v>
      </x:c>
      <x:c r="AC280" s="12" t="str">
        <x:v>overlays\sad_029.png</x:v>
      </x:c>
      <x:c r="AD280" s="12" t="str"/>
      <x:c r="AE280" s="12" t="str"/>
      <x:c r="AF280" s="12" t="str">
        <x:v>good</x:v>
      </x:c>
      <x:c r="AG280" s="12" t="n">
        <x:v>1</x:v>
      </x:c>
      <x:c r="AH280" s="12" t="str">
        <x:v>good</x:v>
      </x:c>
      <x:c r="AI280" s="12" t="str">
        <x:v>good</x:v>
      </x:c>
      <x:c r="AJ280" s="12" t="str">
        <x:v>good</x:v>
      </x:c>
      <x:c r="AK280" s="12" t="str">
        <x:v>not_applicable</x:v>
      </x:c>
      <x:c r="AL280" s="12" t="str">
        <x:v>none</x:v>
      </x:c>
      <x:c r="AM280" s="14" t="str">
        <x:v>Clear and well-aligned facial landmarks with no major pose, crop, or occlusion issue.</x:v>
      </x:c>
    </x:row>
    <x:row r="281" ht="30" customHeight="1">
      <x:c r="A281" s="12" t="str">
        <x:v>sad_030</x:v>
      </x:c>
      <x:c r="B281" s="12" t="str">
        <x:v>sad</x:v>
      </x:c>
      <x:c r="C281" s="14" t="str">
        <x:v>sad/Training_12388277.jpg</x:v>
      </x:c>
      <x:c r="D281" s="12" t="str">
        <x:v>84007aa61280890729400d46c9b6e8ca2a74fc9827ae979ce2ef2cf3b7670ecd</x:v>
      </x:c>
      <x:c r="E281" s="12" t="str">
        <x:v>84007aa61280890729400d46c9b6e8ca2a74fc9827ae979ce2ef2cf3b7670ecd</x:v>
      </x:c>
      <x:c r="F281" s="12" t="str">
        <x:v>True</x:v>
      </x:c>
      <x:c r="G281" s="12" t="str">
        <x:v>48</x:v>
      </x:c>
      <x:c r="H281" s="12" t="str">
        <x:v>48</x:v>
      </x:c>
      <x:c r="I281" s="12" t="str">
        <x:v>0.0</x:v>
      </x:c>
      <x:c r="J281" s="12" t="str">
        <x:v>0.0</x:v>
      </x:c>
      <x:c r="K281" s="12" t="str">
        <x:v>47.0</x:v>
      </x:c>
      <x:c r="L281" s="12" t="str">
        <x:v>47.0</x:v>
      </x:c>
      <x:c r="M281" s="12" t="str">
        <x:v>True</x:v>
      </x:c>
      <x:c r="N281" s="12" t="str">
        <x:v>106</x:v>
      </x:c>
      <x:c r="O281" s="12" t="str">
        <x:v>106</x:v>
      </x:c>
      <x:c r="P281" s="16" t="str">
        <x:v>1.0</x:v>
      </x:c>
      <x:c r="Q281" s="12" t="str">
        <x:v>78</x:v>
      </x:c>
      <x:c r="R281" s="16" t="str">
        <x:v>0.7358490566037735</x:v>
      </x:c>
      <x:c r="S281" s="12" t="str">
        <x:v>0.2</x:v>
      </x:c>
      <x:c r="T281" s="12" t="str">
        <x:v>106</x:v>
      </x:c>
      <x:c r="U281" s="16" t="str">
        <x:v>1.0</x:v>
      </x:c>
      <x:c r="V281" s="18" t="str">
        <x:v>0.45446479320526123</x:v>
      </x:c>
      <x:c r="W281" s="18" t="str">
        <x:v>0.5110380053520203</x:v>
      </x:c>
      <x:c r="X281" s="18" t="str">
        <x:v>0.7103447914123535</x:v>
      </x:c>
      <x:c r="Y281" s="18" t="str">
        <x:v>0.7408957481384277</x:v>
      </x:c>
      <x:c r="Z281" s="18" t="str">
        <x:v>0.8553885221481323</x:v>
      </x:c>
      <x:c r="AA281" s="18" t="str">
        <x:v>0.9045634865760803</x:v>
      </x:c>
      <x:c r="AB281" s="20" t="str">
        <x:v>106.50860000168905</x:v>
      </x:c>
      <x:c r="AC281" s="12" t="str">
        <x:v>overlays\sad_030.png</x:v>
      </x:c>
      <x:c r="AD281" s="12" t="str"/>
      <x:c r="AE281" s="12" t="str"/>
      <x:c r="AF281" s="12" t="str">
        <x:v>acceptable</x:v>
      </x:c>
      <x:c r="AG281" s="12" t="n">
        <x:v>1</x:v>
      </x:c>
      <x:c r="AH281" s="12" t="str">
        <x:v>acceptable</x:v>
      </x:c>
      <x:c r="AI281" s="12" t="str">
        <x:v>acceptable</x:v>
      </x:c>
      <x:c r="AJ281" s="12" t="str">
        <x:v>acceptable</x:v>
      </x:c>
      <x:c r="AK281" s="12" t="str">
        <x:v>not_applicable</x:v>
      </x:c>
      <x:c r="AL281" s="12" t="str">
        <x:v>mild</x:v>
      </x:c>
      <x:c r="AM281" s="14" t="str">
        <x:v>Tight crop places several contour points outside the frame; central facial landmarks remain usable.</x:v>
      </x:c>
    </x:row>
    <x:row r="282" ht="30" customHeight="1">
      <x:c r="A282" s="12" t="str">
        <x:v>sad_031</x:v>
      </x:c>
      <x:c r="B282" s="12" t="str">
        <x:v>sad</x:v>
      </x:c>
      <x:c r="C282" s="14" t="str">
        <x:v>sad/Training_23821588.jpg</x:v>
      </x:c>
      <x:c r="D282" s="12" t="str">
        <x:v>d2990e10b7ba8511f9cf4eae64a6593a98723fbc6f145d2a2bd333daf73990f0</x:v>
      </x:c>
      <x:c r="E282" s="12" t="str">
        <x:v>d2990e10b7ba8511f9cf4eae64a6593a98723fbc6f145d2a2bd333daf73990f0</x:v>
      </x:c>
      <x:c r="F282" s="12" t="str">
        <x:v>True</x:v>
      </x:c>
      <x:c r="G282" s="12" t="str">
        <x:v>48</x:v>
      </x:c>
      <x:c r="H282" s="12" t="str">
        <x:v>48</x:v>
      </x:c>
      <x:c r="I282" s="12" t="str">
        <x:v>0.0</x:v>
      </x:c>
      <x:c r="J282" s="12" t="str">
        <x:v>0.0</x:v>
      </x:c>
      <x:c r="K282" s="12" t="str">
        <x:v>47.0</x:v>
      </x:c>
      <x:c r="L282" s="12" t="str">
        <x:v>47.0</x:v>
      </x:c>
      <x:c r="M282" s="12" t="str">
        <x:v>True</x:v>
      </x:c>
      <x:c r="N282" s="12" t="str">
        <x:v>106</x:v>
      </x:c>
      <x:c r="O282" s="12" t="str">
        <x:v>106</x:v>
      </x:c>
      <x:c r="P282" s="16" t="str">
        <x:v>1.0</x:v>
      </x:c>
      <x:c r="Q282" s="12" t="str">
        <x:v>96</x:v>
      </x:c>
      <x:c r="R282" s="16" t="str">
        <x:v>0.9056603773584906</x:v>
      </x:c>
      <x:c r="S282" s="12" t="str">
        <x:v>0.2</x:v>
      </x:c>
      <x:c r="T282" s="12" t="str">
        <x:v>106</x:v>
      </x:c>
      <x:c r="U282" s="16" t="str">
        <x:v>1.0</x:v>
      </x:c>
      <x:c r="V282" s="18" t="str">
        <x:v>0.33089905977249146</x:v>
      </x:c>
      <x:c r="W282" s="18" t="str">
        <x:v>0.4402638226747513</x:v>
      </x:c>
      <x:c r="X282" s="18" t="str">
        <x:v>0.6504842638969421</x:v>
      </x:c>
      <x:c r="Y282" s="18" t="str">
        <x:v>0.6006925106048584</x:v>
      </x:c>
      <x:c r="Z282" s="18" t="str">
        <x:v>0.8966062963008881</x:v>
      </x:c>
      <x:c r="AA282" s="18" t="str">
        <x:v>1.0020039081573486</x:v>
      </x:c>
      <x:c r="AB282" s="20" t="str">
        <x:v>126.8173000025854</x:v>
      </x:c>
      <x:c r="AC282" s="12" t="str">
        <x:v>overlays\sad_031.png</x:v>
      </x:c>
      <x:c r="AD282" s="12" t="str"/>
      <x:c r="AE282" s="12" t="str"/>
      <x:c r="AF282" s="12" t="str">
        <x:v>good</x:v>
      </x:c>
      <x:c r="AG282" s="12" t="n">
        <x:v>1</x:v>
      </x:c>
      <x:c r="AH282" s="12" t="str">
        <x:v>good</x:v>
      </x:c>
      <x:c r="AI282" s="12" t="str">
        <x:v>good</x:v>
      </x:c>
      <x:c r="AJ282" s="12" t="str">
        <x:v>good</x:v>
      </x:c>
      <x:c r="AK282" s="12" t="str">
        <x:v>not_applicable</x:v>
      </x:c>
      <x:c r="AL282" s="12" t="str">
        <x:v>none</x:v>
      </x:c>
      <x:c r="AM282" s="14" t="str">
        <x:v>Clear and well-aligned facial landmarks with no major pose, crop, or occlusion issue.</x:v>
      </x:c>
    </x:row>
    <x:row r="283" ht="30" customHeight="1">
      <x:c r="A283" s="12" t="str">
        <x:v>sad_032</x:v>
      </x:c>
      <x:c r="B283" s="12" t="str">
        <x:v>sad</x:v>
      </x:c>
      <x:c r="C283" s="14" t="str">
        <x:v>sad/Training_46179653.jpg</x:v>
      </x:c>
      <x:c r="D283" s="12" t="str">
        <x:v>4d5f18b799bf6e48120edb78e408ff1ec0f332d50dc3290257572bb734e5693a</x:v>
      </x:c>
      <x:c r="E283" s="12" t="str">
        <x:v>4d5f18b799bf6e48120edb78e408ff1ec0f332d50dc3290257572bb734e5693a</x:v>
      </x:c>
      <x:c r="F283" s="12" t="str">
        <x:v>True</x:v>
      </x:c>
      <x:c r="G283" s="12" t="str">
        <x:v>48</x:v>
      </x:c>
      <x:c r="H283" s="12" t="str">
        <x:v>48</x:v>
      </x:c>
      <x:c r="I283" s="12" t="str">
        <x:v>0.0</x:v>
      </x:c>
      <x:c r="J283" s="12" t="str">
        <x:v>0.0</x:v>
      </x:c>
      <x:c r="K283" s="12" t="str">
        <x:v>47.0</x:v>
      </x:c>
      <x:c r="L283" s="12" t="str">
        <x:v>47.0</x:v>
      </x:c>
      <x:c r="M283" s="12" t="str">
        <x:v>True</x:v>
      </x:c>
      <x:c r="N283" s="12" t="str">
        <x:v>106</x:v>
      </x:c>
      <x:c r="O283" s="12" t="str">
        <x:v>106</x:v>
      </x:c>
      <x:c r="P283" s="16" t="str">
        <x:v>1.0</x:v>
      </x:c>
      <x:c r="Q283" s="12" t="str">
        <x:v>89</x:v>
      </x:c>
      <x:c r="R283" s="16" t="str">
        <x:v>0.839622641509434</x:v>
      </x:c>
      <x:c r="S283" s="12" t="str">
        <x:v>0.2</x:v>
      </x:c>
      <x:c r="T283" s="12" t="str">
        <x:v>106</x:v>
      </x:c>
      <x:c r="U283" s="16" t="str">
        <x:v>1.0</x:v>
      </x:c>
      <x:c r="V283" s="18" t="str">
        <x:v>0.31052547693252563</x:v>
      </x:c>
      <x:c r="W283" s="18" t="str">
        <x:v>0.37379609048366547</x:v>
      </x:c>
      <x:c r="X283" s="18" t="str">
        <x:v>0.5710728168487549</x:v>
      </x:c>
      <x:c r="Y283" s="18" t="str">
        <x:v>0.5497350692749023</x:v>
      </x:c>
      <x:c r="Z283" s="18" t="str">
        <x:v>0.8077790141105652</x:v>
      </x:c>
      <x:c r="AA283" s="18" t="str">
        <x:v>0.9364593029022217</x:v>
      </x:c>
      <x:c r="AB283" s="20" t="str">
        <x:v>112.67759999827831</x:v>
      </x:c>
      <x:c r="AC283" s="12" t="str">
        <x:v>overlays\sad_032.png</x:v>
      </x:c>
      <x:c r="AD283" s="12" t="str"/>
      <x:c r="AE283" s="12" t="str"/>
      <x:c r="AF283" s="12" t="str">
        <x:v>acceptable</x:v>
      </x:c>
      <x:c r="AG283" s="12" t="n">
        <x:v>1</x:v>
      </x:c>
      <x:c r="AH283" s="12" t="str">
        <x:v>acceptable</x:v>
      </x:c>
      <x:c r="AI283" s="12" t="str">
        <x:v>acceptable</x:v>
      </x:c>
      <x:c r="AJ283" s="12" t="str">
        <x:v>acceptable</x:v>
      </x:c>
      <x:c r="AK283" s="12" t="str">
        <x:v>not_applicable</x:v>
      </x:c>
      <x:c r="AL283" s="12" t="str">
        <x:v>mild</x:v>
      </x:c>
      <x:c r="AM283" s="14" t="str">
        <x:v>Tight crop places several contour points outside the frame; central facial landmarks remain usable.</x:v>
      </x:c>
    </x:row>
    <x:row r="284" ht="30" customHeight="1">
      <x:c r="A284" s="12" t="str">
        <x:v>sad_033</x:v>
      </x:c>
      <x:c r="B284" s="12" t="str">
        <x:v>sad</x:v>
      </x:c>
      <x:c r="C284" s="14" t="str">
        <x:v>sad/Training_35577713.jpg</x:v>
      </x:c>
      <x:c r="D284" s="12" t="str">
        <x:v>4f35033766ad74d031c63bc6b5ce201752d83b731676f37413aa944d41ee2803</x:v>
      </x:c>
      <x:c r="E284" s="12" t="str">
        <x:v>4f35033766ad74d031c63bc6b5ce201752d83b731676f37413aa944d41ee2803</x:v>
      </x:c>
      <x:c r="F284" s="12" t="str">
        <x:v>True</x:v>
      </x:c>
      <x:c r="G284" s="12" t="str">
        <x:v>48</x:v>
      </x:c>
      <x:c r="H284" s="12" t="str">
        <x:v>48</x:v>
      </x:c>
      <x:c r="I284" s="12" t="str">
        <x:v>0.0</x:v>
      </x:c>
      <x:c r="J284" s="12" t="str">
        <x:v>0.0</x:v>
      </x:c>
      <x:c r="K284" s="12" t="str">
        <x:v>47.0</x:v>
      </x:c>
      <x:c r="L284" s="12" t="str">
        <x:v>47.0</x:v>
      </x:c>
      <x:c r="M284" s="12" t="str">
        <x:v>True</x:v>
      </x:c>
      <x:c r="N284" s="12" t="str">
        <x:v>106</x:v>
      </x:c>
      <x:c r="O284" s="12" t="str">
        <x:v>106</x:v>
      </x:c>
      <x:c r="P284" s="16" t="str">
        <x:v>1.0</x:v>
      </x:c>
      <x:c r="Q284" s="12" t="str">
        <x:v>90</x:v>
      </x:c>
      <x:c r="R284" s="16" t="str">
        <x:v>0.8490566037735849</x:v>
      </x:c>
      <x:c r="S284" s="12" t="str">
        <x:v>0.2</x:v>
      </x:c>
      <x:c r="T284" s="12" t="str">
        <x:v>106</x:v>
      </x:c>
      <x:c r="U284" s="16" t="str">
        <x:v>1.0</x:v>
      </x:c>
      <x:c r="V284" s="18" t="str">
        <x:v>0.3329123854637146</x:v>
      </x:c>
      <x:c r="W284" s="18" t="str">
        <x:v>0.4362618923187256</x:v>
      </x:c>
      <x:c r="X284" s="18" t="str">
        <x:v>0.6548754572868347</x:v>
      </x:c>
      <x:c r="Y284" s="18" t="str">
        <x:v>0.6157938241958618</x:v>
      </x:c>
      <x:c r="Z284" s="18" t="str">
        <x:v>0.9119988679885864</x:v>
      </x:c>
      <x:c r="AA284" s="18" t="str">
        <x:v>0.9611619710922241</x:v>
      </x:c>
      <x:c r="AB284" s="20" t="str">
        <x:v>108.49410000082571</x:v>
      </x:c>
      <x:c r="AC284" s="12" t="str">
        <x:v>overlays\sad_033.png</x:v>
      </x:c>
      <x:c r="AD284" s="12" t="str"/>
      <x:c r="AE284" s="12" t="str"/>
      <x:c r="AF284" s="12" t="str">
        <x:v>acceptable</x:v>
      </x:c>
      <x:c r="AG284" s="12" t="n">
        <x:v>1</x:v>
      </x:c>
      <x:c r="AH284" s="12" t="str">
        <x:v>acceptable</x:v>
      </x:c>
      <x:c r="AI284" s="12" t="str">
        <x:v>acceptable</x:v>
      </x:c>
      <x:c r="AJ284" s="12" t="str">
        <x:v>acceptable</x:v>
      </x:c>
      <x:c r="AK284" s="12" t="str">
        <x:v>not_applicable</x:v>
      </x:c>
      <x:c r="AL284" s="12" t="str">
        <x:v>mild</x:v>
      </x:c>
      <x:c r="AM284" s="14" t="str">
        <x:v>Tight crop places several contour points outside the frame; central facial landmarks remain usable.</x:v>
      </x:c>
    </x:row>
    <x:row r="285" ht="30" customHeight="1">
      <x:c r="A285" s="12" t="str">
        <x:v>sad_034</x:v>
      </x:c>
      <x:c r="B285" s="12" t="str">
        <x:v>sad</x:v>
      </x:c>
      <x:c r="C285" s="14" t="str">
        <x:v>sad/Training_71584150.jpg</x:v>
      </x:c>
      <x:c r="D285" s="12" t="str">
        <x:v>8170990b276355775ecf837be17bca76e46910454b3c4e2d558bfe7186eb61d9</x:v>
      </x:c>
      <x:c r="E285" s="12" t="str">
        <x:v>8170990b276355775ecf837be17bca76e46910454b3c4e2d558bfe7186eb61d9</x:v>
      </x:c>
      <x:c r="F285" s="12" t="str">
        <x:v>True</x:v>
      </x:c>
      <x:c r="G285" s="12" t="str">
        <x:v>48</x:v>
      </x:c>
      <x:c r="H285" s="12" t="str">
        <x:v>48</x:v>
      </x:c>
      <x:c r="I285" s="12" t="str">
        <x:v>0.0</x:v>
      </x:c>
      <x:c r="J285" s="12" t="str">
        <x:v>0.0</x:v>
      </x:c>
      <x:c r="K285" s="12" t="str">
        <x:v>47.0</x:v>
      </x:c>
      <x:c r="L285" s="12" t="str">
        <x:v>47.0</x:v>
      </x:c>
      <x:c r="M285" s="12" t="str">
        <x:v>True</x:v>
      </x:c>
      <x:c r="N285" s="12" t="str">
        <x:v>106</x:v>
      </x:c>
      <x:c r="O285" s="12" t="str">
        <x:v>106</x:v>
      </x:c>
      <x:c r="P285" s="16" t="str">
        <x:v>1.0</x:v>
      </x:c>
      <x:c r="Q285" s="12" t="str">
        <x:v>106</x:v>
      </x:c>
      <x:c r="R285" s="16" t="str">
        <x:v>1.0</x:v>
      </x:c>
      <x:c r="S285" s="12" t="str">
        <x:v>0.2</x:v>
      </x:c>
      <x:c r="T285" s="12" t="str">
        <x:v>106</x:v>
      </x:c>
      <x:c r="U285" s="16" t="str">
        <x:v>1.0</x:v>
      </x:c>
      <x:c r="V285" s="18" t="str">
        <x:v>0.592212438583374</x:v>
      </x:c>
      <x:c r="W285" s="18" t="str">
        <x:v>0.6785092949867249</x:v>
      </x:c>
      <x:c r="X285" s="18" t="str">
        <x:v>0.8044354319572449</x:v>
      </x:c>
      <x:c r="Y285" s="18" t="str">
        <x:v>0.8151068687438965</x:v>
      </x:c>
      <x:c r="Z285" s="18" t="str">
        <x:v>0.8946722149848938</x:v>
      </x:c>
      <x:c r="AA285" s="18" t="str">
        <x:v>1.0685765743255615</x:v>
      </x:c>
      <x:c r="AB285" s="20" t="str">
        <x:v>111.95880000013858</x:v>
      </x:c>
      <x:c r="AC285" s="12" t="str">
        <x:v>overlays\sad_034.png</x:v>
      </x:c>
      <x:c r="AD285" s="12" t="str"/>
      <x:c r="AE285" s="12" t="str"/>
      <x:c r="AF285" s="12" t="str">
        <x:v>good</x:v>
      </x:c>
      <x:c r="AG285" s="12" t="n">
        <x:v>1</x:v>
      </x:c>
      <x:c r="AH285" s="12" t="str">
        <x:v>good</x:v>
      </x:c>
      <x:c r="AI285" s="12" t="str">
        <x:v>good</x:v>
      </x:c>
      <x:c r="AJ285" s="12" t="str">
        <x:v>good</x:v>
      </x:c>
      <x:c r="AK285" s="12" t="str">
        <x:v>not_applicable</x:v>
      </x:c>
      <x:c r="AL285" s="12" t="str">
        <x:v>none</x:v>
      </x:c>
      <x:c r="AM285" s="14" t="str">
        <x:v>Clear and well-aligned facial landmarks with no major pose, crop, or occlusion issue.</x:v>
      </x:c>
    </x:row>
    <x:row r="286" ht="30" customHeight="1">
      <x:c r="A286" s="12" t="str">
        <x:v>sad_035</x:v>
      </x:c>
      <x:c r="B286" s="12" t="str">
        <x:v>sad</x:v>
      </x:c>
      <x:c r="C286" s="14" t="str">
        <x:v>sad/Training_83687453.jpg</x:v>
      </x:c>
      <x:c r="D286" s="12" t="str">
        <x:v>9ac4d4c67e0f6cc9eedbd0020b3f7a955ba611670434547575bd305ed261e46f</x:v>
      </x:c>
      <x:c r="E286" s="12" t="str">
        <x:v>9ac4d4c67e0f6cc9eedbd0020b3f7a955ba611670434547575bd305ed261e46f</x:v>
      </x:c>
      <x:c r="F286" s="12" t="str">
        <x:v>True</x:v>
      </x:c>
      <x:c r="G286" s="12" t="str">
        <x:v>48</x:v>
      </x:c>
      <x:c r="H286" s="12" t="str">
        <x:v>48</x:v>
      </x:c>
      <x:c r="I286" s="12" t="str">
        <x:v>0.0</x:v>
      </x:c>
      <x:c r="J286" s="12" t="str">
        <x:v>0.0</x:v>
      </x:c>
      <x:c r="K286" s="12" t="str">
        <x:v>47.0</x:v>
      </x:c>
      <x:c r="L286" s="12" t="str">
        <x:v>47.0</x:v>
      </x:c>
      <x:c r="M286" s="12" t="str">
        <x:v>True</x:v>
      </x:c>
      <x:c r="N286" s="12" t="str">
        <x:v>106</x:v>
      </x:c>
      <x:c r="O286" s="12" t="str">
        <x:v>106</x:v>
      </x:c>
      <x:c r="P286" s="16" t="str">
        <x:v>1.0</x:v>
      </x:c>
      <x:c r="Q286" s="12" t="str">
        <x:v>105</x:v>
      </x:c>
      <x:c r="R286" s="16" t="str">
        <x:v>0.9905660377358491</x:v>
      </x:c>
      <x:c r="S286" s="12" t="str">
        <x:v>0.2</x:v>
      </x:c>
      <x:c r="T286" s="12" t="str">
        <x:v>106</x:v>
      </x:c>
      <x:c r="U286" s="16" t="str">
        <x:v>1.0</x:v>
      </x:c>
      <x:c r="V286" s="18" t="str">
        <x:v>0.21981891989707947</x:v>
      </x:c>
      <x:c r="W286" s="18" t="str">
        <x:v>0.45684152841567993</x:v>
      </x:c>
      <x:c r="X286" s="18" t="str">
        <x:v>0.6831914782524109</x:v>
      </x:c>
      <x:c r="Y286" s="18" t="str">
        <x:v>0.6935474872589111</x:v>
      </x:c>
      <x:c r="Z286" s="18" t="str">
        <x:v>0.9198657870292664</x:v>
      </x:c>
      <x:c r="AA286" s="18" t="str">
        <x:v>1.0310437679290771</x:v>
      </x:c>
      <x:c r="AB286" s="20" t="str">
        <x:v>108.60060000049998</x:v>
      </x:c>
      <x:c r="AC286" s="12" t="str">
        <x:v>overlays\sad_035.png</x:v>
      </x:c>
      <x:c r="AD286" s="12" t="str"/>
      <x:c r="AE286" s="12" t="str"/>
      <x:c r="AF286" s="12" t="str">
        <x:v>acceptable</x:v>
      </x:c>
      <x:c r="AG286" s="12" t="n">
        <x:v>1</x:v>
      </x:c>
      <x:c r="AH286" s="12" t="str">
        <x:v>acceptable</x:v>
      </x:c>
      <x:c r="AI286" s="12" t="str">
        <x:v>acceptable</x:v>
      </x:c>
      <x:c r="AJ286" s="12" t="str">
        <x:v>acceptable</x:v>
      </x:c>
      <x:c r="AK286" s="12" t="str">
        <x:v>not_applicable</x:v>
      </x:c>
      <x:c r="AL286" s="12" t="str">
        <x:v>mild</x:v>
      </x:c>
      <x:c r="AM286" s="14" t="str">
        <x:v>Large pose or profile; visible landmarks are useful, while hidden-side contour points are inferred.</x:v>
      </x:c>
    </x:row>
    <x:row r="287" ht="30" customHeight="1">
      <x:c r="A287" s="12" t="str">
        <x:v>sad_036</x:v>
      </x:c>
      <x:c r="B287" s="12" t="str">
        <x:v>sad</x:v>
      </x:c>
      <x:c r="C287" s="14" t="str">
        <x:v>sad/Training_82887890.jpg</x:v>
      </x:c>
      <x:c r="D287" s="12" t="str">
        <x:v>28be8e6568b9c5329e5e39d4a04c592bfc8f2828ba3022df59f08a11fb449c91</x:v>
      </x:c>
      <x:c r="E287" s="12" t="str">
        <x:v>28be8e6568b9c5329e5e39d4a04c592bfc8f2828ba3022df59f08a11fb449c91</x:v>
      </x:c>
      <x:c r="F287" s="12" t="str">
        <x:v>True</x:v>
      </x:c>
      <x:c r="G287" s="12" t="str">
        <x:v>48</x:v>
      </x:c>
      <x:c r="H287" s="12" t="str">
        <x:v>48</x:v>
      </x:c>
      <x:c r="I287" s="12" t="str">
        <x:v>0.0</x:v>
      </x:c>
      <x:c r="J287" s="12" t="str">
        <x:v>0.0</x:v>
      </x:c>
      <x:c r="K287" s="12" t="str">
        <x:v>47.0</x:v>
      </x:c>
      <x:c r="L287" s="12" t="str">
        <x:v>47.0</x:v>
      </x:c>
      <x:c r="M287" s="12" t="str">
        <x:v>True</x:v>
      </x:c>
      <x:c r="N287" s="12" t="str">
        <x:v>106</x:v>
      </x:c>
      <x:c r="O287" s="12" t="str">
        <x:v>106</x:v>
      </x:c>
      <x:c r="P287" s="16" t="str">
        <x:v>1.0</x:v>
      </x:c>
      <x:c r="Q287" s="12" t="str">
        <x:v>106</x:v>
      </x:c>
      <x:c r="R287" s="16" t="str">
        <x:v>1.0</x:v>
      </x:c>
      <x:c r="S287" s="12" t="str">
        <x:v>0.2</x:v>
      </x:c>
      <x:c r="T287" s="12" t="str">
        <x:v>106</x:v>
      </x:c>
      <x:c r="U287" s="16" t="str">
        <x:v>1.0</x:v>
      </x:c>
      <x:c r="V287" s="18" t="str">
        <x:v>0.5967081189155579</x:v>
      </x:c>
      <x:c r="W287" s="18" t="str">
        <x:v>0.6770158410072327</x:v>
      </x:c>
      <x:c r="X287" s="18" t="str">
        <x:v>0.8043493628501892</x:v>
      </x:c>
      <x:c r="Y287" s="18" t="str">
        <x:v>0.8132936954498291</x:v>
      </x:c>
      <x:c r="Z287" s="18" t="str">
        <x:v>0.9113004803657532</x:v>
      </x:c>
      <x:c r="AA287" s="18" t="str">
        <x:v>0.9807751178741455</x:v>
      </x:c>
      <x:c r="AB287" s="20" t="str">
        <x:v>107.19030000109342</x:v>
      </x:c>
      <x:c r="AC287" s="12" t="str">
        <x:v>overlays\sad_036.png</x:v>
      </x:c>
      <x:c r="AD287" s="12" t="str"/>
      <x:c r="AE287" s="12" t="str"/>
      <x:c r="AF287" s="12" t="str">
        <x:v>good</x:v>
      </x:c>
      <x:c r="AG287" s="12" t="n">
        <x:v>1</x:v>
      </x:c>
      <x:c r="AH287" s="12" t="str">
        <x:v>good</x:v>
      </x:c>
      <x:c r="AI287" s="12" t="str">
        <x:v>good</x:v>
      </x:c>
      <x:c r="AJ287" s="12" t="str">
        <x:v>good</x:v>
      </x:c>
      <x:c r="AK287" s="12" t="str">
        <x:v>not_applicable</x:v>
      </x:c>
      <x:c r="AL287" s="12" t="str">
        <x:v>none</x:v>
      </x:c>
      <x:c r="AM287" s="14" t="str">
        <x:v>Clear and well-aligned facial landmarks with no major pose, crop, or occlusion issue.</x:v>
      </x:c>
    </x:row>
    <x:row r="288" ht="30" customHeight="1">
      <x:c r="A288" s="12" t="str">
        <x:v>sad_037</x:v>
      </x:c>
      <x:c r="B288" s="12" t="str">
        <x:v>sad</x:v>
      </x:c>
      <x:c r="C288" s="14" t="str">
        <x:v>sad/Training_42743536.jpg</x:v>
      </x:c>
      <x:c r="D288" s="12" t="str">
        <x:v>b3801bd7c51256b6d522c62b63370b8659a33c6f0ea89d49fc165422bda10371</x:v>
      </x:c>
      <x:c r="E288" s="12" t="str">
        <x:v>b3801bd7c51256b6d522c62b63370b8659a33c6f0ea89d49fc165422bda10371</x:v>
      </x:c>
      <x:c r="F288" s="12" t="str">
        <x:v>True</x:v>
      </x:c>
      <x:c r="G288" s="12" t="str">
        <x:v>48</x:v>
      </x:c>
      <x:c r="H288" s="12" t="str">
        <x:v>48</x:v>
      </x:c>
      <x:c r="I288" s="12" t="str">
        <x:v>0.0</x:v>
      </x:c>
      <x:c r="J288" s="12" t="str">
        <x:v>0.0</x:v>
      </x:c>
      <x:c r="K288" s="12" t="str">
        <x:v>47.0</x:v>
      </x:c>
      <x:c r="L288" s="12" t="str">
        <x:v>47.0</x:v>
      </x:c>
      <x:c r="M288" s="12" t="str">
        <x:v>True</x:v>
      </x:c>
      <x:c r="N288" s="12" t="str">
        <x:v>106</x:v>
      </x:c>
      <x:c r="O288" s="12" t="str">
        <x:v>106</x:v>
      </x:c>
      <x:c r="P288" s="16" t="str">
        <x:v>1.0</x:v>
      </x:c>
      <x:c r="Q288" s="12" t="str">
        <x:v>106</x:v>
      </x:c>
      <x:c r="R288" s="16" t="str">
        <x:v>1.0</x:v>
      </x:c>
      <x:c r="S288" s="12" t="str">
        <x:v>0.2</x:v>
      </x:c>
      <x:c r="T288" s="12" t="str">
        <x:v>106</x:v>
      </x:c>
      <x:c r="U288" s="16" t="str">
        <x:v>1.0</x:v>
      </x:c>
      <x:c r="V288" s="18" t="str">
        <x:v>0.46495363116264343</x:v>
      </x:c>
      <x:c r="W288" s="18" t="str">
        <x:v>0.6212377846240997</x:v>
      </x:c>
      <x:c r="X288" s="18" t="str">
        <x:v>0.7373055219650269</x:v>
      </x:c>
      <x:c r="Y288" s="18" t="str">
        <x:v>0.7522642016410828</x:v>
      </x:c>
      <x:c r="Z288" s="18" t="str">
        <x:v>0.836938738822937</x:v>
      </x:c>
      <x:c r="AA288" s="18" t="str">
        <x:v>0.9388724565505981</x:v>
      </x:c>
      <x:c r="AB288" s="20" t="str">
        <x:v>101.46929999973509</x:v>
      </x:c>
      <x:c r="AC288" s="12" t="str">
        <x:v>overlays\sad_037.png</x:v>
      </x:c>
      <x:c r="AD288" s="12" t="str"/>
      <x:c r="AE288" s="12" t="str"/>
      <x:c r="AF288" s="12" t="str">
        <x:v>acceptable</x:v>
      </x:c>
      <x:c r="AG288" s="12" t="n">
        <x:v>1</x:v>
      </x:c>
      <x:c r="AH288" s="12" t="str">
        <x:v>acceptable</x:v>
      </x:c>
      <x:c r="AI288" s="12" t="str">
        <x:v>acceptable</x:v>
      </x:c>
      <x:c r="AJ288" s="12" t="str">
        <x:v>acceptable</x:v>
      </x:c>
      <x:c r="AK288" s="12" t="str">
        <x:v>not_applicable</x:v>
      </x:c>
      <x:c r="AL288" s="12" t="str">
        <x:v>mild</x:v>
      </x:c>
      <x:c r="AM288" s="14" t="str">
        <x:v>Large pose or profile; visible landmarks are useful, while hidden-side contour points are inferred.</x:v>
      </x:c>
    </x:row>
    <x:row r="289" ht="30" customHeight="1">
      <x:c r="A289" s="12" t="str">
        <x:v>sad_038</x:v>
      </x:c>
      <x:c r="B289" s="12" t="str">
        <x:v>sad</x:v>
      </x:c>
      <x:c r="C289" s="14" t="str">
        <x:v>sad/Training_70634821.jpg</x:v>
      </x:c>
      <x:c r="D289" s="12" t="str">
        <x:v>843fe9c87701f6463ecbc20a423c1155865a507ae8043a6b03463aa5f85f8e17</x:v>
      </x:c>
      <x:c r="E289" s="12" t="str">
        <x:v>843fe9c87701f6463ecbc20a423c1155865a507ae8043a6b03463aa5f85f8e17</x:v>
      </x:c>
      <x:c r="F289" s="12" t="str">
        <x:v>True</x:v>
      </x:c>
      <x:c r="G289" s="12" t="str">
        <x:v>48</x:v>
      </x:c>
      <x:c r="H289" s="12" t="str">
        <x:v>48</x:v>
      </x:c>
      <x:c r="I289" s="12" t="str">
        <x:v>0.0</x:v>
      </x:c>
      <x:c r="J289" s="12" t="str">
        <x:v>0.0</x:v>
      </x:c>
      <x:c r="K289" s="12" t="str">
        <x:v>47.0</x:v>
      </x:c>
      <x:c r="L289" s="12" t="str">
        <x:v>47.0</x:v>
      </x:c>
      <x:c r="M289" s="12" t="str">
        <x:v>True</x:v>
      </x:c>
      <x:c r="N289" s="12" t="str">
        <x:v>106</x:v>
      </x:c>
      <x:c r="O289" s="12" t="str">
        <x:v>106</x:v>
      </x:c>
      <x:c r="P289" s="16" t="str">
        <x:v>1.0</x:v>
      </x:c>
      <x:c r="Q289" s="12" t="str">
        <x:v>106</x:v>
      </x:c>
      <x:c r="R289" s="16" t="str">
        <x:v>1.0</x:v>
      </x:c>
      <x:c r="S289" s="12" t="str">
        <x:v>0.2</x:v>
      </x:c>
      <x:c r="T289" s="12" t="str">
        <x:v>106</x:v>
      </x:c>
      <x:c r="U289" s="16" t="str">
        <x:v>1.0</x:v>
      </x:c>
      <x:c r="V289" s="18" t="str">
        <x:v>0.5320812463760376</x:v>
      </x:c>
      <x:c r="W289" s="18" t="str">
        <x:v>0.589384913444519</x:v>
      </x:c>
      <x:c r="X289" s="18" t="str">
        <x:v>0.7377445101737976</x:v>
      </x:c>
      <x:c r="Y289" s="18" t="str">
        <x:v>0.7422938942909241</x:v>
      </x:c>
      <x:c r="Z289" s="18" t="str">
        <x:v>0.876192569732666</x:v>
      </x:c>
      <x:c r="AA289" s="18" t="str">
        <x:v>0.9543774127960205</x:v>
      </x:c>
      <x:c r="AB289" s="20" t="str">
        <x:v>109.31120000168448</x:v>
      </x:c>
      <x:c r="AC289" s="12" t="str">
        <x:v>overlays\sad_038.png</x:v>
      </x:c>
      <x:c r="AD289" s="12" t="str"/>
      <x:c r="AE289" s="12" t="str"/>
      <x:c r="AF289" s="12" t="str">
        <x:v>acceptable</x:v>
      </x:c>
      <x:c r="AG289" s="12" t="n">
        <x:v>1</x:v>
      </x:c>
      <x:c r="AH289" s="12" t="str">
        <x:v>acceptable</x:v>
      </x:c>
      <x:c r="AI289" s="12" t="str">
        <x:v>acceptable</x:v>
      </x:c>
      <x:c r="AJ289" s="12" t="str">
        <x:v>acceptable</x:v>
      </x:c>
      <x:c r="AK289" s="12" t="str">
        <x:v>not_applicable</x:v>
      </x:c>
      <x:c r="AL289" s="12" t="str">
        <x:v>mild</x:v>
      </x:c>
      <x:c r="AM289" s="14" t="str">
        <x:v>Moderate pose, crop, or image degradation causes minor landmark uncertainty; the result remains usable.</x:v>
      </x:c>
    </x:row>
    <x:row r="290" ht="30" customHeight="1">
      <x:c r="A290" s="12" t="str">
        <x:v>sad_039</x:v>
      </x:c>
      <x:c r="B290" s="12" t="str">
        <x:v>sad</x:v>
      </x:c>
      <x:c r="C290" s="14" t="str">
        <x:v>sad/Training_18843463.jpg</x:v>
      </x:c>
      <x:c r="D290" s="12" t="str">
        <x:v>1a347effa7318d1d4578811b9c3b8a3f0c382cf35e9b1989ee38f8f26a8fa502</x:v>
      </x:c>
      <x:c r="E290" s="12" t="str">
        <x:v>1a347effa7318d1d4578811b9c3b8a3f0c382cf35e9b1989ee38f8f26a8fa502</x:v>
      </x:c>
      <x:c r="F290" s="12" t="str">
        <x:v>True</x:v>
      </x:c>
      <x:c r="G290" s="12" t="str">
        <x:v>48</x:v>
      </x:c>
      <x:c r="H290" s="12" t="str">
        <x:v>48</x:v>
      </x:c>
      <x:c r="I290" s="12" t="str">
        <x:v>0.0</x:v>
      </x:c>
      <x:c r="J290" s="12" t="str">
        <x:v>0.0</x:v>
      </x:c>
      <x:c r="K290" s="12" t="str">
        <x:v>47.0</x:v>
      </x:c>
      <x:c r="L290" s="12" t="str">
        <x:v>47.0</x:v>
      </x:c>
      <x:c r="M290" s="12" t="str">
        <x:v>True</x:v>
      </x:c>
      <x:c r="N290" s="12" t="str">
        <x:v>106</x:v>
      </x:c>
      <x:c r="O290" s="12" t="str">
        <x:v>106</x:v>
      </x:c>
      <x:c r="P290" s="16" t="str">
        <x:v>1.0</x:v>
      </x:c>
      <x:c r="Q290" s="12" t="str">
        <x:v>84</x:v>
      </x:c>
      <x:c r="R290" s="16" t="str">
        <x:v>0.7924528301886793</x:v>
      </x:c>
      <x:c r="S290" s="12" t="str">
        <x:v>0.2</x:v>
      </x:c>
      <x:c r="T290" s="12" t="str">
        <x:v>103</x:v>
      </x:c>
      <x:c r="U290" s="16" t="str">
        <x:v>0.9716981132075472</x:v>
      </x:c>
      <x:c r="V290" s="18" t="str">
        <x:v>0.14716550707817078</x:v>
      </x:c>
      <x:c r="W290" s="18" t="str">
        <x:v>0.32100625336170197</x:v>
      </x:c>
      <x:c r="X290" s="18" t="str">
        <x:v>0.5586284399032593</x:v>
      </x:c>
      <x:c r="Y290" s="18" t="str">
        <x:v>0.5434175729751587</x:v>
      </x:c>
      <x:c r="Z290" s="18" t="str">
        <x:v>0.823642373085022</x:v>
      </x:c>
      <x:c r="AA290" s="18" t="str">
        <x:v>0.9190202355384827</x:v>
      </x:c>
      <x:c r="AB290" s="20" t="str">
        <x:v>105.59769999963464</x:v>
      </x:c>
      <x:c r="AC290" s="12" t="str">
        <x:v>overlays\sad_039.png</x:v>
      </x:c>
      <x:c r="AD290" s="12" t="str"/>
      <x:c r="AE290" s="12" t="str"/>
      <x:c r="AF290" s="12" t="str">
        <x:v>acceptable</x:v>
      </x:c>
      <x:c r="AG290" s="12" t="n">
        <x:v>1</x:v>
      </x:c>
      <x:c r="AH290" s="12" t="str">
        <x:v>acceptable</x:v>
      </x:c>
      <x:c r="AI290" s="12" t="str">
        <x:v>acceptable</x:v>
      </x:c>
      <x:c r="AJ290" s="12" t="str">
        <x:v>acceptable</x:v>
      </x:c>
      <x:c r="AK290" s="12" t="str">
        <x:v>not_applicable</x:v>
      </x:c>
      <x:c r="AL290" s="12" t="str">
        <x:v>mild</x:v>
      </x:c>
      <x:c r="AM290" s="14" t="str">
        <x:v>Tight crop places several contour points outside the frame; central facial landmarks remain usable.</x:v>
      </x:c>
    </x:row>
    <x:row r="291" ht="30" customHeight="1">
      <x:c r="A291" s="12" t="str">
        <x:v>sad_040</x:v>
      </x:c>
      <x:c r="B291" s="12" t="str">
        <x:v>sad</x:v>
      </x:c>
      <x:c r="C291" s="14" t="str">
        <x:v>sad/Training_35315706.jpg</x:v>
      </x:c>
      <x:c r="D291" s="12" t="str">
        <x:v>b5a1f76c61f864180cfc132ce3b47fed709705eabbda23f9f95fd1ed489cf7f1</x:v>
      </x:c>
      <x:c r="E291" s="12" t="str">
        <x:v>b5a1f76c61f864180cfc132ce3b47fed709705eabbda23f9f95fd1ed489cf7f1</x:v>
      </x:c>
      <x:c r="F291" s="12" t="str">
        <x:v>True</x:v>
      </x:c>
      <x:c r="G291" s="12" t="str">
        <x:v>48</x:v>
      </x:c>
      <x:c r="H291" s="12" t="str">
        <x:v>48</x:v>
      </x:c>
      <x:c r="I291" s="12" t="str">
        <x:v>0.0</x:v>
      </x:c>
      <x:c r="J291" s="12" t="str">
        <x:v>0.0</x:v>
      </x:c>
      <x:c r="K291" s="12" t="str">
        <x:v>47.0</x:v>
      </x:c>
      <x:c r="L291" s="12" t="str">
        <x:v>47.0</x:v>
      </x:c>
      <x:c r="M291" s="12" t="str">
        <x:v>True</x:v>
      </x:c>
      <x:c r="N291" s="12" t="str">
        <x:v>106</x:v>
      </x:c>
      <x:c r="O291" s="12" t="str">
        <x:v>106</x:v>
      </x:c>
      <x:c r="P291" s="16" t="str">
        <x:v>1.0</x:v>
      </x:c>
      <x:c r="Q291" s="12" t="str">
        <x:v>102</x:v>
      </x:c>
      <x:c r="R291" s="16" t="str">
        <x:v>0.9622641509433962</x:v>
      </x:c>
      <x:c r="S291" s="12" t="str">
        <x:v>0.2</x:v>
      </x:c>
      <x:c r="T291" s="12" t="str">
        <x:v>99</x:v>
      </x:c>
      <x:c r="U291" s="16" t="str">
        <x:v>0.9339622641509434</x:v>
      </x:c>
      <x:c r="V291" s="18" t="str">
        <x:v>0.09481792896986008</x:v>
      </x:c>
      <x:c r="W291" s="18" t="str">
        <x:v>0.2608627378940582</x:v>
      </x:c>
      <x:c r="X291" s="18" t="str">
        <x:v>0.5191921591758728</x:v>
      </x:c>
      <x:c r="Y291" s="18" t="str">
        <x:v>0.5786386728286743</x:v>
      </x:c>
      <x:c r="Z291" s="18" t="str">
        <x:v>0.7174413800239563</x:v>
      </x:c>
      <x:c r="AA291" s="18" t="str">
        <x:v>0.7817122340202332</x:v>
      </x:c>
      <x:c r="AB291" s="20" t="str">
        <x:v>103.35400000258232</x:v>
      </x:c>
      <x:c r="AC291" s="12" t="str">
        <x:v>overlays\sad_040.png</x:v>
      </x:c>
      <x:c r="AD291" s="12" t="str"/>
      <x:c r="AE291" s="12" t="str"/>
      <x:c r="AF291" s="12" t="str">
        <x:v>acceptable</x:v>
      </x:c>
      <x:c r="AG291" s="12" t="n">
        <x:v>1</x:v>
      </x:c>
      <x:c r="AH291" s="12" t="str">
        <x:v>acceptable</x:v>
      </x:c>
      <x:c r="AI291" s="12" t="str">
        <x:v>acceptable</x:v>
      </x:c>
      <x:c r="AJ291" s="12" t="str">
        <x:v>acceptable</x:v>
      </x:c>
      <x:c r="AK291" s="12" t="str">
        <x:v>not_applicable</x:v>
      </x:c>
      <x:c r="AL291" s="12" t="str">
        <x:v>mild</x:v>
      </x:c>
      <x:c r="AM291" s="14" t="str">
        <x:v>Large pose or profile; visible landmarks are useful, while hidden-side contour points are inferred.</x:v>
      </x:c>
    </x:row>
    <x:row r="292" ht="30" customHeight="1">
      <x:c r="A292" s="12" t="str">
        <x:v>sad_041</x:v>
      </x:c>
      <x:c r="B292" s="12" t="str">
        <x:v>sad</x:v>
      </x:c>
      <x:c r="C292" s="14" t="str">
        <x:v>sad/Training_66967267.jpg</x:v>
      </x:c>
      <x:c r="D292" s="12" t="str">
        <x:v>d7bb06e5cca22ff13cb1331c8cd02958ea7f2ac986ce5a96218ec987c7328509</x:v>
      </x:c>
      <x:c r="E292" s="12" t="str">
        <x:v>d7bb06e5cca22ff13cb1331c8cd02958ea7f2ac986ce5a96218ec987c7328509</x:v>
      </x:c>
      <x:c r="F292" s="12" t="str">
        <x:v>True</x:v>
      </x:c>
      <x:c r="G292" s="12" t="str">
        <x:v>48</x:v>
      </x:c>
      <x:c r="H292" s="12" t="str">
        <x:v>48</x:v>
      </x:c>
      <x:c r="I292" s="12" t="str">
        <x:v>0.0</x:v>
      </x:c>
      <x:c r="J292" s="12" t="str">
        <x:v>0.0</x:v>
      </x:c>
      <x:c r="K292" s="12" t="str">
        <x:v>47.0</x:v>
      </x:c>
      <x:c r="L292" s="12" t="str">
        <x:v>47.0</x:v>
      </x:c>
      <x:c r="M292" s="12" t="str">
        <x:v>True</x:v>
      </x:c>
      <x:c r="N292" s="12" t="str">
        <x:v>106</x:v>
      </x:c>
      <x:c r="O292" s="12" t="str">
        <x:v>106</x:v>
      </x:c>
      <x:c r="P292" s="16" t="str">
        <x:v>1.0</x:v>
      </x:c>
      <x:c r="Q292" s="12" t="str">
        <x:v>90</x:v>
      </x:c>
      <x:c r="R292" s="16" t="str">
        <x:v>0.8490566037735849</x:v>
      </x:c>
      <x:c r="S292" s="12" t="str">
        <x:v>0.2</x:v>
      </x:c>
      <x:c r="T292" s="12" t="str">
        <x:v>106</x:v>
      </x:c>
      <x:c r="U292" s="16" t="str">
        <x:v>1.0</x:v>
      </x:c>
      <x:c r="V292" s="18" t="str">
        <x:v>0.23304089903831482</x:v>
      </x:c>
      <x:c r="W292" s="18" t="str">
        <x:v>0.4229520410299301</x:v>
      </x:c>
      <x:c r="X292" s="18" t="str">
        <x:v>0.6129330992698669</x:v>
      </x:c>
      <x:c r="Y292" s="18" t="str">
        <x:v>0.582736611366272</x:v>
      </x:c>
      <x:c r="Z292" s="18" t="str">
        <x:v>0.8577915728092194</x:v>
      </x:c>
      <x:c r="AA292" s="18" t="str">
        <x:v>0.9462356567382812</x:v>
      </x:c>
      <x:c r="AB292" s="20" t="str">
        <x:v>104.3212999975367</x:v>
      </x:c>
      <x:c r="AC292" s="12" t="str">
        <x:v>overlays\sad_041.png</x:v>
      </x:c>
      <x:c r="AD292" s="12" t="str"/>
      <x:c r="AE292" s="12" t="str"/>
      <x:c r="AF292" s="12" t="str">
        <x:v>acceptable</x:v>
      </x:c>
      <x:c r="AG292" s="12" t="n">
        <x:v>1</x:v>
      </x:c>
      <x:c r="AH292" s="12" t="str">
        <x:v>acceptable</x:v>
      </x:c>
      <x:c r="AI292" s="12" t="str">
        <x:v>acceptable</x:v>
      </x:c>
      <x:c r="AJ292" s="12" t="str">
        <x:v>acceptable</x:v>
      </x:c>
      <x:c r="AK292" s="12" t="str">
        <x:v>not_applicable</x:v>
      </x:c>
      <x:c r="AL292" s="12" t="str">
        <x:v>mild</x:v>
      </x:c>
      <x:c r="AM292" s="14" t="str">
        <x:v>Tight crop places several contour points outside the frame; central facial landmarks remain usable.</x:v>
      </x:c>
    </x:row>
    <x:row r="293" ht="30" customHeight="1">
      <x:c r="A293" s="12" t="str">
        <x:v>sad_042</x:v>
      </x:c>
      <x:c r="B293" s="12" t="str">
        <x:v>sad</x:v>
      </x:c>
      <x:c r="C293" s="14" t="str">
        <x:v>sad/Training_10248550.jpg</x:v>
      </x:c>
      <x:c r="D293" s="12" t="str">
        <x:v>cb273dc27ff66ccb332711e4149e3ea5188af4d0897816ec896547efaf496cc6</x:v>
      </x:c>
      <x:c r="E293" s="12" t="str">
        <x:v>cb273dc27ff66ccb332711e4149e3ea5188af4d0897816ec896547efaf496cc6</x:v>
      </x:c>
      <x:c r="F293" s="12" t="str">
        <x:v>True</x:v>
      </x:c>
      <x:c r="G293" s="12" t="str">
        <x:v>48</x:v>
      </x:c>
      <x:c r="H293" s="12" t="str">
        <x:v>48</x:v>
      </x:c>
      <x:c r="I293" s="12" t="str">
        <x:v>0.0</x:v>
      </x:c>
      <x:c r="J293" s="12" t="str">
        <x:v>0.0</x:v>
      </x:c>
      <x:c r="K293" s="12" t="str">
        <x:v>47.0</x:v>
      </x:c>
      <x:c r="L293" s="12" t="str">
        <x:v>47.0</x:v>
      </x:c>
      <x:c r="M293" s="12" t="str">
        <x:v>True</x:v>
      </x:c>
      <x:c r="N293" s="12" t="str">
        <x:v>106</x:v>
      </x:c>
      <x:c r="O293" s="12" t="str">
        <x:v>106</x:v>
      </x:c>
      <x:c r="P293" s="16" t="str">
        <x:v>1.0</x:v>
      </x:c>
      <x:c r="Q293" s="12" t="str">
        <x:v>99</x:v>
      </x:c>
      <x:c r="R293" s="16" t="str">
        <x:v>0.9339622641509434</x:v>
      </x:c>
      <x:c r="S293" s="12" t="str">
        <x:v>0.2</x:v>
      </x:c>
      <x:c r="T293" s="12" t="str">
        <x:v>106</x:v>
      </x:c>
      <x:c r="U293" s="16" t="str">
        <x:v>1.0</x:v>
      </x:c>
      <x:c r="V293" s="18" t="str">
        <x:v>0.40784940123558044</x:v>
      </x:c>
      <x:c r="W293" s="18" t="str">
        <x:v>0.45731449127197266</x:v>
      </x:c>
      <x:c r="X293" s="18" t="str">
        <x:v>0.6278685927391052</x:v>
      </x:c>
      <x:c r="Y293" s="18" t="str">
        <x:v>0.604346752166748</x:v>
      </x:c>
      <x:c r="Z293" s="18" t="str">
        <x:v>0.8165236711502075</x:v>
      </x:c>
      <x:c r="AA293" s="18" t="str">
        <x:v>0.9397082328796387</x:v>
      </x:c>
      <x:c r="AB293" s="20" t="str">
        <x:v>103.70640000110143</x:v>
      </x:c>
      <x:c r="AC293" s="12" t="str">
        <x:v>overlays\sad_042.png</x:v>
      </x:c>
      <x:c r="AD293" s="12" t="str"/>
      <x:c r="AE293" s="12" t="str"/>
      <x:c r="AF293" s="12" t="str">
        <x:v>acceptable</x:v>
      </x:c>
      <x:c r="AG293" s="12" t="n">
        <x:v>1</x:v>
      </x:c>
      <x:c r="AH293" s="12" t="str">
        <x:v>acceptable</x:v>
      </x:c>
      <x:c r="AI293" s="12" t="str">
        <x:v>acceptable</x:v>
      </x:c>
      <x:c r="AJ293" s="12" t="str">
        <x:v>acceptable</x:v>
      </x:c>
      <x:c r="AK293" s="12" t="str">
        <x:v>not_applicable</x:v>
      </x:c>
      <x:c r="AL293" s="12" t="str">
        <x:v>mild</x:v>
      </x:c>
      <x:c r="AM293" s="14" t="str">
        <x:v>Large pose or profile; visible landmarks are useful, while hidden-side contour points are inferred.</x:v>
      </x:c>
    </x:row>
    <x:row r="294" ht="30" customHeight="1">
      <x:c r="A294" s="12" t="str">
        <x:v>sad_043</x:v>
      </x:c>
      <x:c r="B294" s="12" t="str">
        <x:v>sad</x:v>
      </x:c>
      <x:c r="C294" s="14" t="str">
        <x:v>sad/Training_68710853.jpg</x:v>
      </x:c>
      <x:c r="D294" s="12" t="str">
        <x:v>0a1005adf6daf845f3285eb2548e1114f27318a0c6338641e1ed32b8c2b74ec4</x:v>
      </x:c>
      <x:c r="E294" s="12" t="str">
        <x:v>0a1005adf6daf845f3285eb2548e1114f27318a0c6338641e1ed32b8c2b74ec4</x:v>
      </x:c>
      <x:c r="F294" s="12" t="str">
        <x:v>True</x:v>
      </x:c>
      <x:c r="G294" s="12" t="str">
        <x:v>48</x:v>
      </x:c>
      <x:c r="H294" s="12" t="str">
        <x:v>48</x:v>
      </x:c>
      <x:c r="I294" s="12" t="str">
        <x:v>0.0</x:v>
      </x:c>
      <x:c r="J294" s="12" t="str">
        <x:v>0.0</x:v>
      </x:c>
      <x:c r="K294" s="12" t="str">
        <x:v>47.0</x:v>
      </x:c>
      <x:c r="L294" s="12" t="str">
        <x:v>47.0</x:v>
      </x:c>
      <x:c r="M294" s="12" t="str">
        <x:v>True</x:v>
      </x:c>
      <x:c r="N294" s="12" t="str">
        <x:v>106</x:v>
      </x:c>
      <x:c r="O294" s="12" t="str">
        <x:v>106</x:v>
      </x:c>
      <x:c r="P294" s="16" t="str">
        <x:v>1.0</x:v>
      </x:c>
      <x:c r="Q294" s="12" t="str">
        <x:v>96</x:v>
      </x:c>
      <x:c r="R294" s="16" t="str">
        <x:v>0.9056603773584906</x:v>
      </x:c>
      <x:c r="S294" s="12" t="str">
        <x:v>0.2</x:v>
      </x:c>
      <x:c r="T294" s="12" t="str">
        <x:v>106</x:v>
      </x:c>
      <x:c r="U294" s="16" t="str">
        <x:v>1.0</x:v>
      </x:c>
      <x:c r="V294" s="18" t="str">
        <x:v>0.42000848054885864</x:v>
      </x:c>
      <x:c r="W294" s="18" t="str">
        <x:v>0.5440708100795746</x:v>
      </x:c>
      <x:c r="X294" s="18" t="str">
        <x:v>0.7297312021255493</x:v>
      </x:c>
      <x:c r="Y294" s="18" t="str">
        <x:v>0.7304090857505798</x:v>
      </x:c>
      <x:c r="Z294" s="18" t="str">
        <x:v>0.8955379724502563</x:v>
      </x:c>
      <x:c r="AA294" s="18" t="str">
        <x:v>0.980979323387146</x:v>
      </x:c>
      <x:c r="AB294" s="20" t="str">
        <x:v>123.81839999943622</x:v>
      </x:c>
      <x:c r="AC294" s="12" t="str">
        <x:v>overlays\sad_043.png</x:v>
      </x:c>
      <x:c r="AD294" s="12" t="str"/>
      <x:c r="AE294" s="12" t="str"/>
      <x:c r="AF294" s="12" t="str">
        <x:v>acceptable</x:v>
      </x:c>
      <x:c r="AG294" s="12" t="n">
        <x:v>1</x:v>
      </x:c>
      <x:c r="AH294" s="12" t="str">
        <x:v>acceptable</x:v>
      </x:c>
      <x:c r="AI294" s="12" t="str">
        <x:v>acceptable</x:v>
      </x:c>
      <x:c r="AJ294" s="12" t="str">
        <x:v>acceptable</x:v>
      </x:c>
      <x:c r="AK294" s="12" t="str">
        <x:v>not_applicable</x:v>
      </x:c>
      <x:c r="AL294" s="12" t="str">
        <x:v>mild</x:v>
      </x:c>
      <x:c r="AM294" s="14" t="str">
        <x:v>Large pose or profile; visible landmarks are useful, while hidden-side contour points are inferred.</x:v>
      </x:c>
    </x:row>
    <x:row r="295" ht="30" customHeight="1">
      <x:c r="A295" s="12" t="str">
        <x:v>sad_044</x:v>
      </x:c>
      <x:c r="B295" s="12" t="str">
        <x:v>sad</x:v>
      </x:c>
      <x:c r="C295" s="14" t="str">
        <x:v>sad/Training_5015510.jpg</x:v>
      </x:c>
      <x:c r="D295" s="12" t="str">
        <x:v>3d4a69725626badd68806fc9f5f74f8ea863d7156eff7e8b465048a92ca1be0d</x:v>
      </x:c>
      <x:c r="E295" s="12" t="str">
        <x:v>3d4a69725626badd68806fc9f5f74f8ea863d7156eff7e8b465048a92ca1be0d</x:v>
      </x:c>
      <x:c r="F295" s="12" t="str">
        <x:v>True</x:v>
      </x:c>
      <x:c r="G295" s="12" t="str">
        <x:v>48</x:v>
      </x:c>
      <x:c r="H295" s="12" t="str">
        <x:v>48</x:v>
      </x:c>
      <x:c r="I295" s="12" t="str">
        <x:v>0.0</x:v>
      </x:c>
      <x:c r="J295" s="12" t="str">
        <x:v>0.0</x:v>
      </x:c>
      <x:c r="K295" s="12" t="str">
        <x:v>47.0</x:v>
      </x:c>
      <x:c r="L295" s="12" t="str">
        <x:v>47.0</x:v>
      </x:c>
      <x:c r="M295" s="12" t="str">
        <x:v>True</x:v>
      </x:c>
      <x:c r="N295" s="12" t="str">
        <x:v>106</x:v>
      </x:c>
      <x:c r="O295" s="12" t="str">
        <x:v>106</x:v>
      </x:c>
      <x:c r="P295" s="16" t="str">
        <x:v>1.0</x:v>
      </x:c>
      <x:c r="Q295" s="12" t="str">
        <x:v>106</x:v>
      </x:c>
      <x:c r="R295" s="16" t="str">
        <x:v>1.0</x:v>
      </x:c>
      <x:c r="S295" s="12" t="str">
        <x:v>0.2</x:v>
      </x:c>
      <x:c r="T295" s="12" t="str">
        <x:v>106</x:v>
      </x:c>
      <x:c r="U295" s="16" t="str">
        <x:v>1.0</x:v>
      </x:c>
      <x:c r="V295" s="18" t="str">
        <x:v>0.3683471381664276</x:v>
      </x:c>
      <x:c r="W295" s="18" t="str">
        <x:v>0.49347899854183197</x:v>
      </x:c>
      <x:c r="X295" s="18" t="str">
        <x:v>0.6562806367874146</x:v>
      </x:c>
      <x:c r="Y295" s="18" t="str">
        <x:v>0.6690974831581116</x:v>
      </x:c>
      <x:c r="Z295" s="18" t="str">
        <x:v>0.7827362418174744</x:v>
      </x:c>
      <x:c r="AA295" s="18" t="str">
        <x:v>0.8836369514465332</x:v>
      </x:c>
      <x:c r="AB295" s="20" t="str">
        <x:v>123.20179999733227</x:v>
      </x:c>
      <x:c r="AC295" s="12" t="str">
        <x:v>overlays\sad_044.png</x:v>
      </x:c>
      <x:c r="AD295" s="12" t="str"/>
      <x:c r="AE295" s="12" t="str"/>
      <x:c r="AF295" s="12" t="str">
        <x:v>good</x:v>
      </x:c>
      <x:c r="AG295" s="12" t="n">
        <x:v>1</x:v>
      </x:c>
      <x:c r="AH295" s="12" t="str">
        <x:v>good</x:v>
      </x:c>
      <x:c r="AI295" s="12" t="str">
        <x:v>good</x:v>
      </x:c>
      <x:c r="AJ295" s="12" t="str">
        <x:v>good</x:v>
      </x:c>
      <x:c r="AK295" s="12" t="str">
        <x:v>not_applicable</x:v>
      </x:c>
      <x:c r="AL295" s="12" t="str">
        <x:v>none</x:v>
      </x:c>
      <x:c r="AM295" s="14" t="str">
        <x:v>Clear and well-aligned facial landmarks with no major pose, crop, or occlusion issue.</x:v>
      </x:c>
    </x:row>
    <x:row r="296" ht="30" customHeight="1">
      <x:c r="A296" s="12" t="str">
        <x:v>sad_045</x:v>
      </x:c>
      <x:c r="B296" s="12" t="str">
        <x:v>sad</x:v>
      </x:c>
      <x:c r="C296" s="14" t="str">
        <x:v>sad/Training_78985679.jpg</x:v>
      </x:c>
      <x:c r="D296" s="12" t="str">
        <x:v>90f07f16b5ec4a8df678d378a2195936964738f087836928836a7d3b3ad9370b</x:v>
      </x:c>
      <x:c r="E296" s="12" t="str">
        <x:v>90f07f16b5ec4a8df678d378a2195936964738f087836928836a7d3b3ad9370b</x:v>
      </x:c>
      <x:c r="F296" s="12" t="str">
        <x:v>True</x:v>
      </x:c>
      <x:c r="G296" s="12" t="str">
        <x:v>48</x:v>
      </x:c>
      <x:c r="H296" s="12" t="str">
        <x:v>48</x:v>
      </x:c>
      <x:c r="I296" s="12" t="str">
        <x:v>0.0</x:v>
      </x:c>
      <x:c r="J296" s="12" t="str">
        <x:v>0.0</x:v>
      </x:c>
      <x:c r="K296" s="12" t="str">
        <x:v>47.0</x:v>
      </x:c>
      <x:c r="L296" s="12" t="str">
        <x:v>47.0</x:v>
      </x:c>
      <x:c r="M296" s="12" t="str">
        <x:v>True</x:v>
      </x:c>
      <x:c r="N296" s="12" t="str">
        <x:v>106</x:v>
      </x:c>
      <x:c r="O296" s="12" t="str">
        <x:v>106</x:v>
      </x:c>
      <x:c r="P296" s="16" t="str">
        <x:v>1.0</x:v>
      </x:c>
      <x:c r="Q296" s="12" t="str">
        <x:v>99</x:v>
      </x:c>
      <x:c r="R296" s="16" t="str">
        <x:v>0.9339622641509434</x:v>
      </x:c>
      <x:c r="S296" s="12" t="str">
        <x:v>0.2</x:v>
      </x:c>
      <x:c r="T296" s="12" t="str">
        <x:v>106</x:v>
      </x:c>
      <x:c r="U296" s="16" t="str">
        <x:v>1.0</x:v>
      </x:c>
      <x:c r="V296" s="18" t="str">
        <x:v>0.3996468782424927</x:v>
      </x:c>
      <x:c r="W296" s="18" t="str">
        <x:v>0.5280053615570068</x:v>
      </x:c>
      <x:c r="X296" s="18" t="str">
        <x:v>0.6785181164741516</x:v>
      </x:c>
      <x:c r="Y296" s="18" t="str">
        <x:v>0.6501335501670837</x:v>
      </x:c>
      <x:c r="Z296" s="18" t="str">
        <x:v>0.9099681973457336</x:v>
      </x:c>
      <x:c r="AA296" s="18" t="str">
        <x:v>0.947385311126709</x:v>
      </x:c>
      <x:c r="AB296" s="20" t="str">
        <x:v>115.66880000100355</x:v>
      </x:c>
      <x:c r="AC296" s="12" t="str">
        <x:v>overlays\sad_045.png</x:v>
      </x:c>
      <x:c r="AD296" s="12" t="str"/>
      <x:c r="AE296" s="12" t="str"/>
      <x:c r="AF296" s="12" t="str">
        <x:v>good</x:v>
      </x:c>
      <x:c r="AG296" s="12" t="n">
        <x:v>1</x:v>
      </x:c>
      <x:c r="AH296" s="12" t="str">
        <x:v>good</x:v>
      </x:c>
      <x:c r="AI296" s="12" t="str">
        <x:v>good</x:v>
      </x:c>
      <x:c r="AJ296" s="12" t="str">
        <x:v>good</x:v>
      </x:c>
      <x:c r="AK296" s="12" t="str">
        <x:v>not_applicable</x:v>
      </x:c>
      <x:c r="AL296" s="12" t="str">
        <x:v>none</x:v>
      </x:c>
      <x:c r="AM296" s="14" t="str">
        <x:v>Clear and well-aligned facial landmarks with no major pose, crop, or occlusion issue.</x:v>
      </x:c>
    </x:row>
    <x:row r="297" ht="30" customHeight="1">
      <x:c r="A297" s="12" t="str">
        <x:v>sad_046</x:v>
      </x:c>
      <x:c r="B297" s="12" t="str">
        <x:v>sad</x:v>
      </x:c>
      <x:c r="C297" s="14" t="str">
        <x:v>sad/Training_53308754.jpg</x:v>
      </x:c>
      <x:c r="D297" s="12" t="str">
        <x:v>3899fc8d33e626124afca84fe1d803dfb967b4c17666b8d64eebb162f6014277</x:v>
      </x:c>
      <x:c r="E297" s="12" t="str">
        <x:v>3899fc8d33e626124afca84fe1d803dfb967b4c17666b8d64eebb162f6014277</x:v>
      </x:c>
      <x:c r="F297" s="12" t="str">
        <x:v>True</x:v>
      </x:c>
      <x:c r="G297" s="12" t="str">
        <x:v>48</x:v>
      </x:c>
      <x:c r="H297" s="12" t="str">
        <x:v>48</x:v>
      </x:c>
      <x:c r="I297" s="12" t="str">
        <x:v>0.0</x:v>
      </x:c>
      <x:c r="J297" s="12" t="str">
        <x:v>0.0</x:v>
      </x:c>
      <x:c r="K297" s="12" t="str">
        <x:v>47.0</x:v>
      </x:c>
      <x:c r="L297" s="12" t="str">
        <x:v>47.0</x:v>
      </x:c>
      <x:c r="M297" s="12" t="str">
        <x:v>True</x:v>
      </x:c>
      <x:c r="N297" s="12" t="str">
        <x:v>106</x:v>
      </x:c>
      <x:c r="O297" s="12" t="str">
        <x:v>106</x:v>
      </x:c>
      <x:c r="P297" s="16" t="str">
        <x:v>1.0</x:v>
      </x:c>
      <x:c r="Q297" s="12" t="str">
        <x:v>102</x:v>
      </x:c>
      <x:c r="R297" s="16" t="str">
        <x:v>0.9622641509433962</x:v>
      </x:c>
      <x:c r="S297" s="12" t="str">
        <x:v>0.2</x:v>
      </x:c>
      <x:c r="T297" s="12" t="str">
        <x:v>106</x:v>
      </x:c>
      <x:c r="U297" s="16" t="str">
        <x:v>1.0</x:v>
      </x:c>
      <x:c r="V297" s="18" t="str">
        <x:v>0.41909825801849365</x:v>
      </x:c>
      <x:c r="W297" s="18" t="str">
        <x:v>0.560937374830246</x:v>
      </x:c>
      <x:c r="X297" s="18" t="str">
        <x:v>0.6962131857872009</x:v>
      </x:c>
      <x:c r="Y297" s="18" t="str">
        <x:v>0.6738451719284058</x:v>
      </x:c>
      <x:c r="Z297" s="18" t="str">
        <x:v>0.8422956764698029</x:v>
      </x:c>
      <x:c r="AA297" s="18" t="str">
        <x:v>0.9897957444190979</x:v>
      </x:c>
      <x:c r="AB297" s="20" t="str">
        <x:v>119.37859999670764</x:v>
      </x:c>
      <x:c r="AC297" s="12" t="str">
        <x:v>overlays\sad_046.png</x:v>
      </x:c>
      <x:c r="AD297" s="12" t="str"/>
      <x:c r="AE297" s="12" t="str"/>
      <x:c r="AF297" s="12" t="str">
        <x:v>acceptable</x:v>
      </x:c>
      <x:c r="AG297" s="12" t="n">
        <x:v>1</x:v>
      </x:c>
      <x:c r="AH297" s="12" t="str">
        <x:v>acceptable</x:v>
      </x:c>
      <x:c r="AI297" s="12" t="str">
        <x:v>acceptable</x:v>
      </x:c>
      <x:c r="AJ297" s="12" t="str">
        <x:v>acceptable</x:v>
      </x:c>
      <x:c r="AK297" s="12" t="str">
        <x:v>not_applicable</x:v>
      </x:c>
      <x:c r="AL297" s="12" t="str">
        <x:v>mild</x:v>
      </x:c>
      <x:c r="AM297" s="14" t="str">
        <x:v>Moderate pose, crop, or image degradation causes minor landmark uncertainty; the result remains usable.</x:v>
      </x:c>
    </x:row>
    <x:row r="298" ht="30" customHeight="1">
      <x:c r="A298" s="12" t="str">
        <x:v>sad_047</x:v>
      </x:c>
      <x:c r="B298" s="12" t="str">
        <x:v>sad</x:v>
      </x:c>
      <x:c r="C298" s="14" t="str">
        <x:v>sad/Training_73913636.jpg</x:v>
      </x:c>
      <x:c r="D298" s="12" t="str">
        <x:v>fb3a0b45b60edad1426f52c04dbcad981351efa67677387cac13e45155f40d91</x:v>
      </x:c>
      <x:c r="E298" s="12" t="str">
        <x:v>fb3a0b45b60edad1426f52c04dbcad981351efa67677387cac13e45155f40d91</x:v>
      </x:c>
      <x:c r="F298" s="12" t="str">
        <x:v>True</x:v>
      </x:c>
      <x:c r="G298" s="12" t="str">
        <x:v>48</x:v>
      </x:c>
      <x:c r="H298" s="12" t="str">
        <x:v>48</x:v>
      </x:c>
      <x:c r="I298" s="12" t="str">
        <x:v>0.0</x:v>
      </x:c>
      <x:c r="J298" s="12" t="str">
        <x:v>0.0</x:v>
      </x:c>
      <x:c r="K298" s="12" t="str">
        <x:v>47.0</x:v>
      </x:c>
      <x:c r="L298" s="12" t="str">
        <x:v>47.0</x:v>
      </x:c>
      <x:c r="M298" s="12" t="str">
        <x:v>True</x:v>
      </x:c>
      <x:c r="N298" s="12" t="str">
        <x:v>106</x:v>
      </x:c>
      <x:c r="O298" s="12" t="str">
        <x:v>106</x:v>
      </x:c>
      <x:c r="P298" s="16" t="str">
        <x:v>1.0</x:v>
      </x:c>
      <x:c r="Q298" s="12" t="str">
        <x:v>106</x:v>
      </x:c>
      <x:c r="R298" s="16" t="str">
        <x:v>1.0</x:v>
      </x:c>
      <x:c r="S298" s="12" t="str">
        <x:v>0.2</x:v>
      </x:c>
      <x:c r="T298" s="12" t="str">
        <x:v>106</x:v>
      </x:c>
      <x:c r="U298" s="16" t="str">
        <x:v>1.0</x:v>
      </x:c>
      <x:c r="V298" s="18" t="str">
        <x:v>0.4092474579811096</x:v>
      </x:c>
      <x:c r="W298" s="18" t="str">
        <x:v>0.5212262272834778</x:v>
      </x:c>
      <x:c r="X298" s="18" t="str">
        <x:v>0.6441217064857483</x:v>
      </x:c>
      <x:c r="Y298" s="18" t="str">
        <x:v>0.6078397035598755</x:v>
      </x:c>
      <x:c r="Z298" s="18" t="str">
        <x:v>0.8271956741809845</x:v>
      </x:c>
      <x:c r="AA298" s="18" t="str">
        <x:v>0.8793805837631226</x:v>
      </x:c>
      <x:c r="AB298" s="20" t="str">
        <x:v>118.13270000129705</x:v>
      </x:c>
      <x:c r="AC298" s="12" t="str">
        <x:v>overlays\sad_047.png</x:v>
      </x:c>
      <x:c r="AD298" s="12" t="str"/>
      <x:c r="AE298" s="12" t="str"/>
      <x:c r="AF298" s="12" t="str">
        <x:v>acceptable</x:v>
      </x:c>
      <x:c r="AG298" s="12" t="n">
        <x:v>1</x:v>
      </x:c>
      <x:c r="AH298" s="12" t="str">
        <x:v>acceptable</x:v>
      </x:c>
      <x:c r="AI298" s="12" t="str">
        <x:v>acceptable</x:v>
      </x:c>
      <x:c r="AJ298" s="12" t="str">
        <x:v>acceptable</x:v>
      </x:c>
      <x:c r="AK298" s="12" t="str">
        <x:v>not_applicable</x:v>
      </x:c>
      <x:c r="AL298" s="12" t="str">
        <x:v>mild</x:v>
      </x:c>
      <x:c r="AM298" s="14" t="str">
        <x:v>Large pose or profile; visible landmarks are useful, while hidden-side contour points are inferred.</x:v>
      </x:c>
    </x:row>
    <x:row r="299" ht="30" customHeight="1">
      <x:c r="A299" s="12" t="str">
        <x:v>sad_048</x:v>
      </x:c>
      <x:c r="B299" s="12" t="str">
        <x:v>sad</x:v>
      </x:c>
      <x:c r="C299" s="14" t="str">
        <x:v>sad/Training_94893745.jpg</x:v>
      </x:c>
      <x:c r="D299" s="12" t="str">
        <x:v>0375cb5a3dfbb16850814328e6ee17f8be87907f10d5476f9e10cd3ce2914db5</x:v>
      </x:c>
      <x:c r="E299" s="12" t="str">
        <x:v>0375cb5a3dfbb16850814328e6ee17f8be87907f10d5476f9e10cd3ce2914db5</x:v>
      </x:c>
      <x:c r="F299" s="12" t="str">
        <x:v>True</x:v>
      </x:c>
      <x:c r="G299" s="12" t="str">
        <x:v>48</x:v>
      </x:c>
      <x:c r="H299" s="12" t="str">
        <x:v>48</x:v>
      </x:c>
      <x:c r="I299" s="12" t="str">
        <x:v>0.0</x:v>
      </x:c>
      <x:c r="J299" s="12" t="str">
        <x:v>0.0</x:v>
      </x:c>
      <x:c r="K299" s="12" t="str">
        <x:v>47.0</x:v>
      </x:c>
      <x:c r="L299" s="12" t="str">
        <x:v>47.0</x:v>
      </x:c>
      <x:c r="M299" s="12" t="str">
        <x:v>True</x:v>
      </x:c>
      <x:c r="N299" s="12" t="str">
        <x:v>106</x:v>
      </x:c>
      <x:c r="O299" s="12" t="str">
        <x:v>106</x:v>
      </x:c>
      <x:c r="P299" s="16" t="str">
        <x:v>1.0</x:v>
      </x:c>
      <x:c r="Q299" s="12" t="str">
        <x:v>92</x:v>
      </x:c>
      <x:c r="R299" s="16" t="str">
        <x:v>0.8679245283018868</x:v>
      </x:c>
      <x:c r="S299" s="12" t="str">
        <x:v>0.2</x:v>
      </x:c>
      <x:c r="T299" s="12" t="str">
        <x:v>106</x:v>
      </x:c>
      <x:c r="U299" s="16" t="str">
        <x:v>1.0</x:v>
      </x:c>
      <x:c r="V299" s="18" t="str">
        <x:v>0.30122196674346924</x:v>
      </x:c>
      <x:c r="W299" s="18" t="str">
        <x:v>0.3601588308811188</x:v>
      </x:c>
      <x:c r="X299" s="18" t="str">
        <x:v>0.5585986375808716</x:v>
      </x:c>
      <x:c r="Y299" s="18" t="str">
        <x:v>0.5472921133041382</x:v>
      </x:c>
      <x:c r="Z299" s="18" t="str">
        <x:v>0.7798576354980469</x:v>
      </x:c>
      <x:c r="AA299" s="18" t="str">
        <x:v>0.8806626796722412</x:v>
      </x:c>
      <x:c r="AB299" s="20" t="str">
        <x:v>119.40749999848776</x:v>
      </x:c>
      <x:c r="AC299" s="12" t="str">
        <x:v>overlays\sad_048.png</x:v>
      </x:c>
      <x:c r="AD299" s="12" t="str"/>
      <x:c r="AE299" s="12" t="str"/>
      <x:c r="AF299" s="12" t="str">
        <x:v>acceptable</x:v>
      </x:c>
      <x:c r="AG299" s="12" t="n">
        <x:v>1</x:v>
      </x:c>
      <x:c r="AH299" s="12" t="str">
        <x:v>acceptable</x:v>
      </x:c>
      <x:c r="AI299" s="12" t="str">
        <x:v>acceptable</x:v>
      </x:c>
      <x:c r="AJ299" s="12" t="str">
        <x:v>acceptable</x:v>
      </x:c>
      <x:c r="AK299" s="12" t="str">
        <x:v>not_applicable</x:v>
      </x:c>
      <x:c r="AL299" s="12" t="str">
        <x:v>mild</x:v>
      </x:c>
      <x:c r="AM299" s="14" t="str">
        <x:v>Large pose or profile; visible landmarks are useful, while hidden-side contour points are inferred.</x:v>
      </x:c>
    </x:row>
    <x:row r="300" ht="30" customHeight="1">
      <x:c r="A300" s="12" t="str">
        <x:v>sad_049</x:v>
      </x:c>
      <x:c r="B300" s="12" t="str">
        <x:v>sad</x:v>
      </x:c>
      <x:c r="C300" s="14" t="str">
        <x:v>sad/Training_83779952.jpg</x:v>
      </x:c>
      <x:c r="D300" s="12" t="str">
        <x:v>fb962f56f3e82cdc28a3baa470345a3f2177e2d07eea793010dace486e702939</x:v>
      </x:c>
      <x:c r="E300" s="12" t="str">
        <x:v>fb962f56f3e82cdc28a3baa470345a3f2177e2d07eea793010dace486e702939</x:v>
      </x:c>
      <x:c r="F300" s="12" t="str">
        <x:v>True</x:v>
      </x:c>
      <x:c r="G300" s="12" t="str">
        <x:v>48</x:v>
      </x:c>
      <x:c r="H300" s="12" t="str">
        <x:v>48</x:v>
      </x:c>
      <x:c r="I300" s="12" t="str">
        <x:v>0.0</x:v>
      </x:c>
      <x:c r="J300" s="12" t="str">
        <x:v>0.0</x:v>
      </x:c>
      <x:c r="K300" s="12" t="str">
        <x:v>47.0</x:v>
      </x:c>
      <x:c r="L300" s="12" t="str">
        <x:v>47.0</x:v>
      </x:c>
      <x:c r="M300" s="12" t="str">
        <x:v>True</x:v>
      </x:c>
      <x:c r="N300" s="12" t="str">
        <x:v>106</x:v>
      </x:c>
      <x:c r="O300" s="12" t="str">
        <x:v>106</x:v>
      </x:c>
      <x:c r="P300" s="16" t="str">
        <x:v>1.0</x:v>
      </x:c>
      <x:c r="Q300" s="12" t="str">
        <x:v>93</x:v>
      </x:c>
      <x:c r="R300" s="16" t="str">
        <x:v>0.8773584905660378</x:v>
      </x:c>
      <x:c r="S300" s="12" t="str">
        <x:v>0.2</x:v>
      </x:c>
      <x:c r="T300" s="12" t="str">
        <x:v>106</x:v>
      </x:c>
      <x:c r="U300" s="16" t="str">
        <x:v>1.0</x:v>
      </x:c>
      <x:c r="V300" s="18" t="str">
        <x:v>0.3202663064002991</x:v>
      </x:c>
      <x:c r="W300" s="18" t="str">
        <x:v>0.4288111627101898</x:v>
      </x:c>
      <x:c r="X300" s="18" t="str">
        <x:v>0.5425822138786316</x:v>
      </x:c>
      <x:c r="Y300" s="18" t="str">
        <x:v>0.5393085479736328</x:v>
      </x:c>
      <x:c r="Z300" s="18" t="str">
        <x:v>0.6779556572437286</x:v>
      </x:c>
      <x:c r="AA300" s="18" t="str">
        <x:v>0.7556232213973999</x:v>
      </x:c>
      <x:c r="AB300" s="20" t="str">
        <x:v>133.79970000096364</x:v>
      </x:c>
      <x:c r="AC300" s="12" t="str">
        <x:v>overlays\sad_049.png</x:v>
      </x:c>
      <x:c r="AD300" s="12" t="str"/>
      <x:c r="AE300" s="12" t="str"/>
      <x:c r="AF300" s="12" t="str">
        <x:v>acceptable</x:v>
      </x:c>
      <x:c r="AG300" s="12" t="n">
        <x:v>1</x:v>
      </x:c>
      <x:c r="AH300" s="12" t="str">
        <x:v>acceptable</x:v>
      </x:c>
      <x:c r="AI300" s="12" t="str">
        <x:v>acceptable</x:v>
      </x:c>
      <x:c r="AJ300" s="12" t="str">
        <x:v>acceptable</x:v>
      </x:c>
      <x:c r="AK300" s="12" t="str">
        <x:v>not_applicable</x:v>
      </x:c>
      <x:c r="AL300" s="12" t="str">
        <x:v>mild</x:v>
      </x:c>
      <x:c r="AM300" s="14" t="str">
        <x:v>Large pose or profile; visible landmarks are useful, while hidden-side contour points are inferred.</x:v>
      </x:c>
    </x:row>
    <x:row r="301" ht="30" customHeight="1">
      <x:c r="A301" s="12" t="str">
        <x:v>sad_050</x:v>
      </x:c>
      <x:c r="B301" s="12" t="str">
        <x:v>sad</x:v>
      </x:c>
      <x:c r="C301" s="14" t="str">
        <x:v>sad/Training_33580964.jpg</x:v>
      </x:c>
      <x:c r="D301" s="12" t="str">
        <x:v>276745222dc19c4d03716d04a7a9ec3a82fa5f42448602ed0126310b613912f1</x:v>
      </x:c>
      <x:c r="E301" s="12" t="str">
        <x:v>276745222dc19c4d03716d04a7a9ec3a82fa5f42448602ed0126310b613912f1</x:v>
      </x:c>
      <x:c r="F301" s="12" t="str">
        <x:v>True</x:v>
      </x:c>
      <x:c r="G301" s="12" t="str">
        <x:v>48</x:v>
      </x:c>
      <x:c r="H301" s="12" t="str">
        <x:v>48</x:v>
      </x:c>
      <x:c r="I301" s="12" t="str">
        <x:v>0.0</x:v>
      </x:c>
      <x:c r="J301" s="12" t="str">
        <x:v>0.0</x:v>
      </x:c>
      <x:c r="K301" s="12" t="str">
        <x:v>47.0</x:v>
      </x:c>
      <x:c r="L301" s="12" t="str">
        <x:v>47.0</x:v>
      </x:c>
      <x:c r="M301" s="12" t="str">
        <x:v>True</x:v>
      </x:c>
      <x:c r="N301" s="12" t="str">
        <x:v>106</x:v>
      </x:c>
      <x:c r="O301" s="12" t="str">
        <x:v>106</x:v>
      </x:c>
      <x:c r="P301" s="16" t="str">
        <x:v>1.0</x:v>
      </x:c>
      <x:c r="Q301" s="12" t="str">
        <x:v>106</x:v>
      </x:c>
      <x:c r="R301" s="16" t="str">
        <x:v>1.0</x:v>
      </x:c>
      <x:c r="S301" s="12" t="str">
        <x:v>0.2</x:v>
      </x:c>
      <x:c r="T301" s="12" t="str">
        <x:v>106</x:v>
      </x:c>
      <x:c r="U301" s="16" t="str">
        <x:v>1.0</x:v>
      </x:c>
      <x:c r="V301" s="18" t="str">
        <x:v>0.5124242901802063</x:v>
      </x:c>
      <x:c r="W301" s="18" t="str">
        <x:v>0.570539265871048</x:v>
      </x:c>
      <x:c r="X301" s="18" t="str">
        <x:v>0.7406826615333557</x:v>
      </x:c>
      <x:c r="Y301" s="18" t="str">
        <x:v>0.7662128210067749</x:v>
      </x:c>
      <x:c r="Z301" s="18" t="str">
        <x:v>0.8911132216453552</x:v>
      </x:c>
      <x:c r="AA301" s="18" t="str">
        <x:v>0.9761746525764465</x:v>
      </x:c>
      <x:c r="AB301" s="20" t="str">
        <x:v>110.57520000031218</x:v>
      </x:c>
      <x:c r="AC301" s="12" t="str">
        <x:v>overlays\sad_050.png</x:v>
      </x:c>
      <x:c r="AD301" s="12" t="str"/>
      <x:c r="AE301" s="12" t="str"/>
      <x:c r="AF301" s="12" t="str">
        <x:v>acceptable</x:v>
      </x:c>
      <x:c r="AG301" s="12" t="n">
        <x:v>1</x:v>
      </x:c>
      <x:c r="AH301" s="12" t="str">
        <x:v>acceptable</x:v>
      </x:c>
      <x:c r="AI301" s="12" t="str">
        <x:v>acceptable</x:v>
      </x:c>
      <x:c r="AJ301" s="12" t="str">
        <x:v>acceptable</x:v>
      </x:c>
      <x:c r="AK301" s="12" t="str">
        <x:v>acceptable</x:v>
      </x:c>
      <x:c r="AL301" s="12" t="str">
        <x:v>mild</x:v>
      </x:c>
      <x:c r="AM301" s="14" t="str">
        <x:v>Moderate pose, crop, or image degradation causes minor landmark uncertainty; the result remains usable.</x:v>
      </x:c>
    </x:row>
    <x:row r="302" ht="30" customHeight="1">
      <x:c r="A302" s="12" t="str">
        <x:v>surprise_001</x:v>
      </x:c>
      <x:c r="B302" s="12" t="str">
        <x:v>surprise</x:v>
      </x:c>
      <x:c r="C302" s="14" t="str">
        <x:v>surprise/Training_31893733.jpg</x:v>
      </x:c>
      <x:c r="D302" s="12" t="str">
        <x:v>a56d5ac7a7e70fc2651ca58dc19f03bbddb2c67771cc2b6b2196163d212dca94</x:v>
      </x:c>
      <x:c r="E302" s="12" t="str">
        <x:v>a56d5ac7a7e70fc2651ca58dc19f03bbddb2c67771cc2b6b2196163d212dca94</x:v>
      </x:c>
      <x:c r="F302" s="12" t="str">
        <x:v>True</x:v>
      </x:c>
      <x:c r="G302" s="12" t="str">
        <x:v>48</x:v>
      </x:c>
      <x:c r="H302" s="12" t="str">
        <x:v>48</x:v>
      </x:c>
      <x:c r="I302" s="12" t="str">
        <x:v>0.0</x:v>
      </x:c>
      <x:c r="J302" s="12" t="str">
        <x:v>0.0</x:v>
      </x:c>
      <x:c r="K302" s="12" t="str">
        <x:v>47.0</x:v>
      </x:c>
      <x:c r="L302" s="12" t="str">
        <x:v>47.0</x:v>
      </x:c>
      <x:c r="M302" s="12" t="str">
        <x:v>True</x:v>
      </x:c>
      <x:c r="N302" s="12" t="str">
        <x:v>106</x:v>
      </x:c>
      <x:c r="O302" s="12" t="str">
        <x:v>106</x:v>
      </x:c>
      <x:c r="P302" s="16" t="str">
        <x:v>1.0</x:v>
      </x:c>
      <x:c r="Q302" s="12" t="str">
        <x:v>75</x:v>
      </x:c>
      <x:c r="R302" s="16" t="str">
        <x:v>0.7075471698113207</x:v>
      </x:c>
      <x:c r="S302" s="12" t="str">
        <x:v>0.2</x:v>
      </x:c>
      <x:c r="T302" s="12" t="str">
        <x:v>106</x:v>
      </x:c>
      <x:c r="U302" s="16" t="str">
        <x:v>1.0</x:v>
      </x:c>
      <x:c r="V302" s="18" t="str">
        <x:v>0.22477436065673828</x:v>
      </x:c>
      <x:c r="W302" s="18" t="str">
        <x:v>0.3230675011873245</x:v>
      </x:c>
      <x:c r="X302" s="18" t="str">
        <x:v>0.522317111492157</x:v>
      </x:c>
      <x:c r="Y302" s="18" t="str">
        <x:v>0.48189932107925415</x:v>
      </x:c>
      <x:c r="Z302" s="18" t="str">
        <x:v>0.7733261585235596</x:v>
      </x:c>
      <x:c r="AA302" s="18" t="str">
        <x:v>0.9044048190116882</x:v>
      </x:c>
      <x:c r="AB302" s="20" t="str">
        <x:v>115.1809000002686</x:v>
      </x:c>
      <x:c r="AC302" s="12" t="str">
        <x:v>overlays\surprise_001.png</x:v>
      </x:c>
      <x:c r="AD302" s="12" t="str"/>
      <x:c r="AE302" s="12" t="str"/>
      <x:c r="AF302" s="12" t="str">
        <x:v>acceptable</x:v>
      </x:c>
      <x:c r="AG302" s="12" t="n">
        <x:v>1</x:v>
      </x:c>
      <x:c r="AH302" s="12" t="str">
        <x:v>acceptable</x:v>
      </x:c>
      <x:c r="AI302" s="12" t="str">
        <x:v>acceptable</x:v>
      </x:c>
      <x:c r="AJ302" s="12" t="str">
        <x:v>acceptable</x:v>
      </x:c>
      <x:c r="AK302" s="12" t="str">
        <x:v>acceptable</x:v>
      </x:c>
      <x:c r="AL302" s="12" t="str">
        <x:v>mild</x:v>
      </x:c>
      <x:c r="AM302" s="14" t="str">
        <x:v>Tight crop places several contour points outside the frame; central facial landmarks remain usable.</x:v>
      </x:c>
    </x:row>
    <x:row r="303" ht="30" customHeight="1">
      <x:c r="A303" s="12" t="str">
        <x:v>surprise_002</x:v>
      </x:c>
      <x:c r="B303" s="12" t="str">
        <x:v>surprise</x:v>
      </x:c>
      <x:c r="C303" s="14" t="str">
        <x:v>surprise/Training_4473463.jpg</x:v>
      </x:c>
      <x:c r="D303" s="12" t="str">
        <x:v>de7344837ad48ec32ead92101ea3da797a2b47c309d7c4a42105cd5a459a5b7b</x:v>
      </x:c>
      <x:c r="E303" s="12" t="str">
        <x:v>de7344837ad48ec32ead92101ea3da797a2b47c309d7c4a42105cd5a459a5b7b</x:v>
      </x:c>
      <x:c r="F303" s="12" t="str">
        <x:v>True</x:v>
      </x:c>
      <x:c r="G303" s="12" t="str">
        <x:v>48</x:v>
      </x:c>
      <x:c r="H303" s="12" t="str">
        <x:v>48</x:v>
      </x:c>
      <x:c r="I303" s="12" t="str">
        <x:v>0.0</x:v>
      </x:c>
      <x:c r="J303" s="12" t="str">
        <x:v>0.0</x:v>
      </x:c>
      <x:c r="K303" s="12" t="str">
        <x:v>47.0</x:v>
      </x:c>
      <x:c r="L303" s="12" t="str">
        <x:v>47.0</x:v>
      </x:c>
      <x:c r="M303" s="12" t="str">
        <x:v>True</x:v>
      </x:c>
      <x:c r="N303" s="12" t="str">
        <x:v>106</x:v>
      </x:c>
      <x:c r="O303" s="12" t="str">
        <x:v>106</x:v>
      </x:c>
      <x:c r="P303" s="16" t="str">
        <x:v>1.0</x:v>
      </x:c>
      <x:c r="Q303" s="12" t="str">
        <x:v>95</x:v>
      </x:c>
      <x:c r="R303" s="16" t="str">
        <x:v>0.8962264150943396</x:v>
      </x:c>
      <x:c r="S303" s="12" t="str">
        <x:v>0.2</x:v>
      </x:c>
      <x:c r="T303" s="12" t="str">
        <x:v>106</x:v>
      </x:c>
      <x:c r="U303" s="16" t="str">
        <x:v>1.0</x:v>
      </x:c>
      <x:c r="V303" s="18" t="str">
        <x:v>0.2766073942184448</x:v>
      </x:c>
      <x:c r="W303" s="18" t="str">
        <x:v>0.37630772590637207</x:v>
      </x:c>
      <x:c r="X303" s="18" t="str">
        <x:v>0.6090654134750366</x:v>
      </x:c>
      <x:c r="Y303" s="18" t="str">
        <x:v>0.5939719676971436</x:v>
      </x:c>
      <x:c r="Z303" s="18" t="str">
        <x:v>0.8018206059932709</x:v>
      </x:c>
      <x:c r="AA303" s="18" t="str">
        <x:v>0.9228469133377075</x:v>
      </x:c>
      <x:c r="AB303" s="20" t="str">
        <x:v>117.58890000055544</x:v>
      </x:c>
      <x:c r="AC303" s="12" t="str">
        <x:v>overlays\surprise_002.png</x:v>
      </x:c>
      <x:c r="AD303" s="12" t="str"/>
      <x:c r="AE303" s="12" t="str"/>
      <x:c r="AF303" s="12" t="str">
        <x:v>acceptable</x:v>
      </x:c>
      <x:c r="AG303" s="12" t="n">
        <x:v>1</x:v>
      </x:c>
      <x:c r="AH303" s="12" t="str">
        <x:v>acceptable</x:v>
      </x:c>
      <x:c r="AI303" s="12" t="str">
        <x:v>acceptable</x:v>
      </x:c>
      <x:c r="AJ303" s="12" t="str">
        <x:v>occluded</x:v>
      </x:c>
      <x:c r="AK303" s="12" t="str">
        <x:v>acceptable</x:v>
      </x:c>
      <x:c r="AL303" s="12" t="str">
        <x:v>mild</x:v>
      </x:c>
      <x:c r="AM303" s="14" t="str">
        <x:v>Occlusion affects part of the face; visible landmarks remain usable, but hidden points are inferred.</x:v>
      </x:c>
    </x:row>
    <x:row r="304" ht="30" customHeight="1">
      <x:c r="A304" s="12" t="str">
        <x:v>surprise_003</x:v>
      </x:c>
      <x:c r="B304" s="12" t="str">
        <x:v>surprise</x:v>
      </x:c>
      <x:c r="C304" s="14" t="str">
        <x:v>surprise/Training_35123949.jpg</x:v>
      </x:c>
      <x:c r="D304" s="12" t="str">
        <x:v>dc6d180488b57e702b8c69b38d11a88cfeb02a16f35d49219338453a7ec116c7</x:v>
      </x:c>
      <x:c r="E304" s="12" t="str">
        <x:v>dc6d180488b57e702b8c69b38d11a88cfeb02a16f35d49219338453a7ec116c7</x:v>
      </x:c>
      <x:c r="F304" s="12" t="str">
        <x:v>True</x:v>
      </x:c>
      <x:c r="G304" s="12" t="str">
        <x:v>48</x:v>
      </x:c>
      <x:c r="H304" s="12" t="str">
        <x:v>48</x:v>
      </x:c>
      <x:c r="I304" s="12" t="str">
        <x:v>0.0</x:v>
      </x:c>
      <x:c r="J304" s="12" t="str">
        <x:v>0.0</x:v>
      </x:c>
      <x:c r="K304" s="12" t="str">
        <x:v>47.0</x:v>
      </x:c>
      <x:c r="L304" s="12" t="str">
        <x:v>47.0</x:v>
      </x:c>
      <x:c r="M304" s="12" t="str">
        <x:v>True</x:v>
      </x:c>
      <x:c r="N304" s="12" t="str">
        <x:v>106</x:v>
      </x:c>
      <x:c r="O304" s="12" t="str">
        <x:v>106</x:v>
      </x:c>
      <x:c r="P304" s="16" t="str">
        <x:v>1.0</x:v>
      </x:c>
      <x:c r="Q304" s="12" t="str">
        <x:v>101</x:v>
      </x:c>
      <x:c r="R304" s="16" t="str">
        <x:v>0.9528301886792453</x:v>
      </x:c>
      <x:c r="S304" s="12" t="str">
        <x:v>0.2</x:v>
      </x:c>
      <x:c r="T304" s="12" t="str">
        <x:v>106</x:v>
      </x:c>
      <x:c r="U304" s="16" t="str">
        <x:v>1.0</x:v>
      </x:c>
      <x:c r="V304" s="18" t="str">
        <x:v>0.5578843355178833</x:v>
      </x:c>
      <x:c r="W304" s="18" t="str">
        <x:v>0.6510347425937653</x:v>
      </x:c>
      <x:c r="X304" s="18" t="str">
        <x:v>0.7642194032669067</x:v>
      </x:c>
      <x:c r="Y304" s="18" t="str">
        <x:v>0.7524120807647705</x:v>
      </x:c>
      <x:c r="Z304" s="18" t="str">
        <x:v>0.9254514276981354</x:v>
      </x:c>
      <x:c r="AA304" s="18" t="str">
        <x:v>1.0048549175262451</x:v>
      </x:c>
      <x:c r="AB304" s="20" t="str">
        <x:v>111.17690000173752</x:v>
      </x:c>
      <x:c r="AC304" s="12" t="str">
        <x:v>overlays\surprise_003.png</x:v>
      </x:c>
      <x:c r="AD304" s="12" t="str"/>
      <x:c r="AE304" s="12" t="str"/>
      <x:c r="AF304" s="12" t="str">
        <x:v>good</x:v>
      </x:c>
      <x:c r="AG304" s="12" t="n">
        <x:v>1</x:v>
      </x:c>
      <x:c r="AH304" s="12" t="str">
        <x:v>good</x:v>
      </x:c>
      <x:c r="AI304" s="12" t="str">
        <x:v>good</x:v>
      </x:c>
      <x:c r="AJ304" s="12" t="str">
        <x:v>good</x:v>
      </x:c>
      <x:c r="AK304" s="12" t="str">
        <x:v>good</x:v>
      </x:c>
      <x:c r="AL304" s="12" t="str">
        <x:v>none</x:v>
      </x:c>
      <x:c r="AM304" s="14" t="str">
        <x:v>Clear and well-aligned facial landmarks with no major pose, crop, or occlusion issue.</x:v>
      </x:c>
    </x:row>
    <x:row r="305" ht="30" customHeight="1">
      <x:c r="A305" s="12" t="str">
        <x:v>surprise_004</x:v>
      </x:c>
      <x:c r="B305" s="12" t="str">
        <x:v>surprise</x:v>
      </x:c>
      <x:c r="C305" s="14" t="str">
        <x:v>surprise/Training_16805119.jpg</x:v>
      </x:c>
      <x:c r="D305" s="12" t="str">
        <x:v>a1f089ea13c1d979d734cd78ba84cd6e43c450f489a6d93bdabb7c15a19ea22d</x:v>
      </x:c>
      <x:c r="E305" s="12" t="str">
        <x:v>a1f089ea13c1d979d734cd78ba84cd6e43c450f489a6d93bdabb7c15a19ea22d</x:v>
      </x:c>
      <x:c r="F305" s="12" t="str">
        <x:v>True</x:v>
      </x:c>
      <x:c r="G305" s="12" t="str">
        <x:v>48</x:v>
      </x:c>
      <x:c r="H305" s="12" t="str">
        <x:v>48</x:v>
      </x:c>
      <x:c r="I305" s="12" t="str">
        <x:v>0.0</x:v>
      </x:c>
      <x:c r="J305" s="12" t="str">
        <x:v>0.0</x:v>
      </x:c>
      <x:c r="K305" s="12" t="str">
        <x:v>47.0</x:v>
      </x:c>
      <x:c r="L305" s="12" t="str">
        <x:v>47.0</x:v>
      </x:c>
      <x:c r="M305" s="12" t="str">
        <x:v>True</x:v>
      </x:c>
      <x:c r="N305" s="12" t="str">
        <x:v>106</x:v>
      </x:c>
      <x:c r="O305" s="12" t="str">
        <x:v>106</x:v>
      </x:c>
      <x:c r="P305" s="16" t="str">
        <x:v>1.0</x:v>
      </x:c>
      <x:c r="Q305" s="12" t="str">
        <x:v>106</x:v>
      </x:c>
      <x:c r="R305" s="16" t="str">
        <x:v>1.0</x:v>
      </x:c>
      <x:c r="S305" s="12" t="str">
        <x:v>0.2</x:v>
      </x:c>
      <x:c r="T305" s="12" t="str">
        <x:v>106</x:v>
      </x:c>
      <x:c r="U305" s="16" t="str">
        <x:v>1.0</x:v>
      </x:c>
      <x:c r="V305" s="18" t="str">
        <x:v>0.5951284766197205</x:v>
      </x:c>
      <x:c r="W305" s="18" t="str">
        <x:v>0.6571056544780731</x:v>
      </x:c>
      <x:c r="X305" s="18" t="str">
        <x:v>0.7535913586616516</x:v>
      </x:c>
      <x:c r="Y305" s="18" t="str">
        <x:v>0.751739501953125</x:v>
      </x:c>
      <x:c r="Z305" s="18" t="str">
        <x:v>0.862016499042511</x:v>
      </x:c>
      <x:c r="AA305" s="18" t="str">
        <x:v>0.9751312136650085</x:v>
      </x:c>
      <x:c r="AB305" s="20" t="str">
        <x:v>109.25640000277781</x:v>
      </x:c>
      <x:c r="AC305" s="12" t="str">
        <x:v>overlays\surprise_004.png</x:v>
      </x:c>
      <x:c r="AD305" s="12" t="str"/>
      <x:c r="AE305" s="12" t="str"/>
      <x:c r="AF305" s="12" t="str">
        <x:v>acceptable</x:v>
      </x:c>
      <x:c r="AG305" s="12" t="n">
        <x:v>1</x:v>
      </x:c>
      <x:c r="AH305" s="12" t="str">
        <x:v>acceptable</x:v>
      </x:c>
      <x:c r="AI305" s="12" t="str">
        <x:v>acceptable</x:v>
      </x:c>
      <x:c r="AJ305" s="12" t="str">
        <x:v>acceptable</x:v>
      </x:c>
      <x:c r="AK305" s="12" t="str">
        <x:v>acceptable</x:v>
      </x:c>
      <x:c r="AL305" s="12" t="str">
        <x:v>mild</x:v>
      </x:c>
      <x:c r="AM305" s="14" t="str">
        <x:v>Moderate pose, crop, or image degradation causes minor landmark uncertainty; the result remains usable.</x:v>
      </x:c>
    </x:row>
    <x:row r="306" ht="30" customHeight="1">
      <x:c r="A306" s="12" t="str">
        <x:v>surprise_005</x:v>
      </x:c>
      <x:c r="B306" s="12" t="str">
        <x:v>surprise</x:v>
      </x:c>
      <x:c r="C306" s="14" t="str">
        <x:v>surprise/Training_76520230.jpg</x:v>
      </x:c>
      <x:c r="D306" s="12" t="str">
        <x:v>00f273bd125947b5926072f4f30ac04560ab8a175482f0ad2916ed9335d9edda</x:v>
      </x:c>
      <x:c r="E306" s="12" t="str">
        <x:v>00f273bd125947b5926072f4f30ac04560ab8a175482f0ad2916ed9335d9edda</x:v>
      </x:c>
      <x:c r="F306" s="12" t="str">
        <x:v>True</x:v>
      </x:c>
      <x:c r="G306" s="12" t="str">
        <x:v>48</x:v>
      </x:c>
      <x:c r="H306" s="12" t="str">
        <x:v>48</x:v>
      </x:c>
      <x:c r="I306" s="12" t="str">
        <x:v>0.0</x:v>
      </x:c>
      <x:c r="J306" s="12" t="str">
        <x:v>0.0</x:v>
      </x:c>
      <x:c r="K306" s="12" t="str">
        <x:v>47.0</x:v>
      </x:c>
      <x:c r="L306" s="12" t="str">
        <x:v>47.0</x:v>
      </x:c>
      <x:c r="M306" s="12" t="str">
        <x:v>True</x:v>
      </x:c>
      <x:c r="N306" s="12" t="str">
        <x:v>106</x:v>
      </x:c>
      <x:c r="O306" s="12" t="str">
        <x:v>106</x:v>
      </x:c>
      <x:c r="P306" s="16" t="str">
        <x:v>1.0</x:v>
      </x:c>
      <x:c r="Q306" s="12" t="str">
        <x:v>87</x:v>
      </x:c>
      <x:c r="R306" s="16" t="str">
        <x:v>0.8207547169811321</x:v>
      </x:c>
      <x:c r="S306" s="12" t="str">
        <x:v>0.2</x:v>
      </x:c>
      <x:c r="T306" s="12" t="str">
        <x:v>106</x:v>
      </x:c>
      <x:c r="U306" s="16" t="str">
        <x:v>1.0</x:v>
      </x:c>
      <x:c r="V306" s="18" t="str">
        <x:v>0.3503601551055908</x:v>
      </x:c>
      <x:c r="W306" s="18" t="str">
        <x:v>0.39655983448028564</x:v>
      </x:c>
      <x:c r="X306" s="18" t="str">
        <x:v>0.5732464790344238</x:v>
      </x:c>
      <x:c r="Y306" s="18" t="str">
        <x:v>0.5461326241493225</x:v>
      </x:c>
      <x:c r="Z306" s="18" t="str">
        <x:v>0.7985846698284149</x:v>
      </x:c>
      <x:c r="AA306" s="18" t="str">
        <x:v>0.8811393976211548</x:v>
      </x:c>
      <x:c r="AB306" s="20" t="str">
        <x:v>109.24939999677008</x:v>
      </x:c>
      <x:c r="AC306" s="12" t="str">
        <x:v>overlays\surprise_005.png</x:v>
      </x:c>
      <x:c r="AD306" s="12" t="str"/>
      <x:c r="AE306" s="12" t="str"/>
      <x:c r="AF306" s="12" t="str">
        <x:v>acceptable</x:v>
      </x:c>
      <x:c r="AG306" s="12" t="n">
        <x:v>1</x:v>
      </x:c>
      <x:c r="AH306" s="12" t="str">
        <x:v>acceptable</x:v>
      </x:c>
      <x:c r="AI306" s="12" t="str">
        <x:v>acceptable</x:v>
      </x:c>
      <x:c r="AJ306" s="12" t="str">
        <x:v>acceptable</x:v>
      </x:c>
      <x:c r="AK306" s="12" t="str">
        <x:v>acceptable</x:v>
      </x:c>
      <x:c r="AL306" s="12" t="str">
        <x:v>mild</x:v>
      </x:c>
      <x:c r="AM306" s="14" t="str">
        <x:v>Tight crop places several contour points outside the frame; central facial landmarks remain usable.</x:v>
      </x:c>
    </x:row>
    <x:row r="307" ht="30" customHeight="1">
      <x:c r="A307" s="12" t="str">
        <x:v>surprise_006</x:v>
      </x:c>
      <x:c r="B307" s="12" t="str">
        <x:v>surprise</x:v>
      </x:c>
      <x:c r="C307" s="14" t="str">
        <x:v>surprise/Training_95558533.jpg</x:v>
      </x:c>
      <x:c r="D307" s="12" t="str">
        <x:v>88257cf0d595df3cab8af92213bae78f9de75c71525925759caa7d5c352814e7</x:v>
      </x:c>
      <x:c r="E307" s="12" t="str">
        <x:v>88257cf0d595df3cab8af92213bae78f9de75c71525925759caa7d5c352814e7</x:v>
      </x:c>
      <x:c r="F307" s="12" t="str">
        <x:v>True</x:v>
      </x:c>
      <x:c r="G307" s="12" t="str">
        <x:v>48</x:v>
      </x:c>
      <x:c r="H307" s="12" t="str">
        <x:v>48</x:v>
      </x:c>
      <x:c r="I307" s="12" t="str">
        <x:v>0.0</x:v>
      </x:c>
      <x:c r="J307" s="12" t="str">
        <x:v>0.0</x:v>
      </x:c>
      <x:c r="K307" s="12" t="str">
        <x:v>47.0</x:v>
      </x:c>
      <x:c r="L307" s="12" t="str">
        <x:v>47.0</x:v>
      </x:c>
      <x:c r="M307" s="12" t="str">
        <x:v>True</x:v>
      </x:c>
      <x:c r="N307" s="12" t="str">
        <x:v>106</x:v>
      </x:c>
      <x:c r="O307" s="12" t="str">
        <x:v>106</x:v>
      </x:c>
      <x:c r="P307" s="16" t="str">
        <x:v>1.0</x:v>
      </x:c>
      <x:c r="Q307" s="12" t="str">
        <x:v>76</x:v>
      </x:c>
      <x:c r="R307" s="16" t="str">
        <x:v>0.7169811320754716</x:v>
      </x:c>
      <x:c r="S307" s="12" t="str">
        <x:v>0.2</x:v>
      </x:c>
      <x:c r="T307" s="12" t="str">
        <x:v>106</x:v>
      </x:c>
      <x:c r="U307" s="16" t="str">
        <x:v>1.0</x:v>
      </x:c>
      <x:c r="V307" s="18" t="str">
        <x:v>0.5038492679595947</x:v>
      </x:c>
      <x:c r="W307" s="18" t="str">
        <x:v>0.5758865177631378</x:v>
      </x:c>
      <x:c r="X307" s="18" t="str">
        <x:v>0.7280661463737488</x:v>
      </x:c>
      <x:c r="Y307" s="18" t="str">
        <x:v>0.7500009536743164</x:v>
      </x:c>
      <x:c r="Z307" s="18" t="str">
        <x:v>0.8567478656768799</x:v>
      </x:c>
      <x:c r="AA307" s="18" t="str">
        <x:v>0.9270244836807251</x:v>
      </x:c>
      <x:c r="AB307" s="20" t="str">
        <x:v>109.61899999892921</x:v>
      </x:c>
      <x:c r="AC307" s="12" t="str">
        <x:v>overlays\surprise_006.png</x:v>
      </x:c>
      <x:c r="AD307" s="12" t="str"/>
      <x:c r="AE307" s="12" t="str"/>
      <x:c r="AF307" s="12" t="str">
        <x:v>acceptable</x:v>
      </x:c>
      <x:c r="AG307" s="12" t="n">
        <x:v>1</x:v>
      </x:c>
      <x:c r="AH307" s="12" t="str">
        <x:v>acceptable</x:v>
      </x:c>
      <x:c r="AI307" s="12" t="str">
        <x:v>acceptable</x:v>
      </x:c>
      <x:c r="AJ307" s="12" t="str">
        <x:v>acceptable</x:v>
      </x:c>
      <x:c r="AK307" s="12" t="str">
        <x:v>acceptable</x:v>
      </x:c>
      <x:c r="AL307" s="12" t="str">
        <x:v>mild</x:v>
      </x:c>
      <x:c r="AM307" s="14" t="str">
        <x:v>Tight crop places several contour points outside the frame; central facial landmarks remain usable.</x:v>
      </x:c>
    </x:row>
    <x:row r="308" ht="30" customHeight="1">
      <x:c r="A308" s="12" t="str">
        <x:v>surprise_007</x:v>
      </x:c>
      <x:c r="B308" s="12" t="str">
        <x:v>surprise</x:v>
      </x:c>
      <x:c r="C308" s="14" t="str">
        <x:v>surprise/Training_72622725.jpg</x:v>
      </x:c>
      <x:c r="D308" s="12" t="str">
        <x:v>dfcfee3b43222694ab037054a733dcab425118aeb831787de3f71174e1feb001</x:v>
      </x:c>
      <x:c r="E308" s="12" t="str">
        <x:v>dfcfee3b43222694ab037054a733dcab425118aeb831787de3f71174e1feb001</x:v>
      </x:c>
      <x:c r="F308" s="12" t="str">
        <x:v>True</x:v>
      </x:c>
      <x:c r="G308" s="12" t="str">
        <x:v>48</x:v>
      </x:c>
      <x:c r="H308" s="12" t="str">
        <x:v>48</x:v>
      </x:c>
      <x:c r="I308" s="12" t="str">
        <x:v>0.0</x:v>
      </x:c>
      <x:c r="J308" s="12" t="str">
        <x:v>0.0</x:v>
      </x:c>
      <x:c r="K308" s="12" t="str">
        <x:v>47.0</x:v>
      </x:c>
      <x:c r="L308" s="12" t="str">
        <x:v>47.0</x:v>
      </x:c>
      <x:c r="M308" s="12" t="str">
        <x:v>True</x:v>
      </x:c>
      <x:c r="N308" s="12" t="str">
        <x:v>106</x:v>
      </x:c>
      <x:c r="O308" s="12" t="str">
        <x:v>106</x:v>
      </x:c>
      <x:c r="P308" s="16" t="str">
        <x:v>1.0</x:v>
      </x:c>
      <x:c r="Q308" s="12" t="str">
        <x:v>86</x:v>
      </x:c>
      <x:c r="R308" s="16" t="str">
        <x:v>0.8113207547169812</x:v>
      </x:c>
      <x:c r="S308" s="12" t="str">
        <x:v>0.2</x:v>
      </x:c>
      <x:c r="T308" s="12" t="str">
        <x:v>106</x:v>
      </x:c>
      <x:c r="U308" s="16" t="str">
        <x:v>1.0</x:v>
      </x:c>
      <x:c r="V308" s="18" t="str">
        <x:v>0.2721797227859497</x:v>
      </x:c>
      <x:c r="W308" s="18" t="str">
        <x:v>0.3600185662508011</x:v>
      </x:c>
      <x:c r="X308" s="18" t="str">
        <x:v>0.5772446393966675</x:v>
      </x:c>
      <x:c r="Y308" s="18" t="str">
        <x:v>0.562349796295166</x:v>
      </x:c>
      <x:c r="Z308" s="18" t="str">
        <x:v>0.8267808556556702</x:v>
      </x:c>
      <x:c r="AA308" s="18" t="str">
        <x:v>0.9586613774299622</x:v>
      </x:c>
      <x:c r="AB308" s="20" t="str">
        <x:v>110.73730000134674</x:v>
      </x:c>
      <x:c r="AC308" s="12" t="str">
        <x:v>overlays\surprise_007.png</x:v>
      </x:c>
      <x:c r="AD308" s="12" t="str"/>
      <x:c r="AE308" s="12" t="str"/>
      <x:c r="AF308" s="12" t="str">
        <x:v>acceptable</x:v>
      </x:c>
      <x:c r="AG308" s="12" t="n">
        <x:v>1</x:v>
      </x:c>
      <x:c r="AH308" s="12" t="str">
        <x:v>acceptable</x:v>
      </x:c>
      <x:c r="AI308" s="12" t="str">
        <x:v>acceptable</x:v>
      </x:c>
      <x:c r="AJ308" s="12" t="str">
        <x:v>acceptable</x:v>
      </x:c>
      <x:c r="AK308" s="12" t="str">
        <x:v>acceptable</x:v>
      </x:c>
      <x:c r="AL308" s="12" t="str">
        <x:v>mild</x:v>
      </x:c>
      <x:c r="AM308" s="14" t="str">
        <x:v>Tight crop places several contour points outside the frame; central facial landmarks remain usable.</x:v>
      </x:c>
    </x:row>
    <x:row r="309" ht="30" customHeight="1">
      <x:c r="A309" s="12" t="str">
        <x:v>surprise_008</x:v>
      </x:c>
      <x:c r="B309" s="12" t="str">
        <x:v>surprise</x:v>
      </x:c>
      <x:c r="C309" s="14" t="str">
        <x:v>surprise/Training_17108365.jpg</x:v>
      </x:c>
      <x:c r="D309" s="12" t="str">
        <x:v>a6ad2426e4698e9a1376d0af3ef4d66d0606b75ab66d34645b6f7cae9ce1e57d</x:v>
      </x:c>
      <x:c r="E309" s="12" t="str">
        <x:v>a6ad2426e4698e9a1376d0af3ef4d66d0606b75ab66d34645b6f7cae9ce1e57d</x:v>
      </x:c>
      <x:c r="F309" s="12" t="str">
        <x:v>True</x:v>
      </x:c>
      <x:c r="G309" s="12" t="str">
        <x:v>48</x:v>
      </x:c>
      <x:c r="H309" s="12" t="str">
        <x:v>48</x:v>
      </x:c>
      <x:c r="I309" s="12" t="str">
        <x:v>0.0</x:v>
      </x:c>
      <x:c r="J309" s="12" t="str">
        <x:v>0.0</x:v>
      </x:c>
      <x:c r="K309" s="12" t="str">
        <x:v>47.0</x:v>
      </x:c>
      <x:c r="L309" s="12" t="str">
        <x:v>47.0</x:v>
      </x:c>
      <x:c r="M309" s="12" t="str">
        <x:v>True</x:v>
      </x:c>
      <x:c r="N309" s="12" t="str">
        <x:v>106</x:v>
      </x:c>
      <x:c r="O309" s="12" t="str">
        <x:v>106</x:v>
      </x:c>
      <x:c r="P309" s="16" t="str">
        <x:v>1.0</x:v>
      </x:c>
      <x:c r="Q309" s="12" t="str">
        <x:v>91</x:v>
      </x:c>
      <x:c r="R309" s="16" t="str">
        <x:v>0.8584905660377359</x:v>
      </x:c>
      <x:c r="S309" s="12" t="str">
        <x:v>0.2</x:v>
      </x:c>
      <x:c r="T309" s="12" t="str">
        <x:v>106</x:v>
      </x:c>
      <x:c r="U309" s="16" t="str">
        <x:v>1.0</x:v>
      </x:c>
      <x:c r="V309" s="18" t="str">
        <x:v>0.3540337085723877</x:v>
      </x:c>
      <x:c r="W309" s="18" t="str">
        <x:v>0.45430514216423035</x:v>
      </x:c>
      <x:c r="X309" s="18" t="str">
        <x:v>0.5926370024681091</x:v>
      </x:c>
      <x:c r="Y309" s="18" t="str">
        <x:v>0.5846865773200989</x:v>
      </x:c>
      <x:c r="Z309" s="18" t="str">
        <x:v>0.771790087223053</x:v>
      </x:c>
      <x:c r="AA309" s="18" t="str">
        <x:v>0.8183379173278809</x:v>
      </x:c>
      <x:c r="AB309" s="20" t="str">
        <x:v>108.26610000003711</x:v>
      </x:c>
      <x:c r="AC309" s="12" t="str">
        <x:v>overlays\surprise_008.png</x:v>
      </x:c>
      <x:c r="AD309" s="12" t="str"/>
      <x:c r="AE309" s="12" t="str"/>
      <x:c r="AF309" s="12" t="str">
        <x:v>acceptable</x:v>
      </x:c>
      <x:c r="AG309" s="12" t="n">
        <x:v>1</x:v>
      </x:c>
      <x:c r="AH309" s="12" t="str">
        <x:v>acceptable</x:v>
      </x:c>
      <x:c r="AI309" s="12" t="str">
        <x:v>acceptable</x:v>
      </x:c>
      <x:c r="AJ309" s="12" t="str">
        <x:v>acceptable</x:v>
      </x:c>
      <x:c r="AK309" s="12" t="str">
        <x:v>acceptable</x:v>
      </x:c>
      <x:c r="AL309" s="12" t="str">
        <x:v>mild</x:v>
      </x:c>
      <x:c r="AM309" s="14" t="str">
        <x:v>Moderate pose, crop, or image degradation causes minor landmark uncertainty; the result remains usable.</x:v>
      </x:c>
    </x:row>
    <x:row r="310" ht="30" customHeight="1">
      <x:c r="A310" s="12" t="str">
        <x:v>surprise_009</x:v>
      </x:c>
      <x:c r="B310" s="12" t="str">
        <x:v>surprise</x:v>
      </x:c>
      <x:c r="C310" s="14" t="str">
        <x:v>surprise/Training_97149632.jpg</x:v>
      </x:c>
      <x:c r="D310" s="12" t="str">
        <x:v>05dc63050306754ae85b353d933ba805e4acb3215c5a17606d99f660ac1e3049</x:v>
      </x:c>
      <x:c r="E310" s="12" t="str">
        <x:v>05dc63050306754ae85b353d933ba805e4acb3215c5a17606d99f660ac1e3049</x:v>
      </x:c>
      <x:c r="F310" s="12" t="str">
        <x:v>True</x:v>
      </x:c>
      <x:c r="G310" s="12" t="str">
        <x:v>48</x:v>
      </x:c>
      <x:c r="H310" s="12" t="str">
        <x:v>48</x:v>
      </x:c>
      <x:c r="I310" s="12" t="str">
        <x:v>0.0</x:v>
      </x:c>
      <x:c r="J310" s="12" t="str">
        <x:v>0.0</x:v>
      </x:c>
      <x:c r="K310" s="12" t="str">
        <x:v>47.0</x:v>
      </x:c>
      <x:c r="L310" s="12" t="str">
        <x:v>47.0</x:v>
      </x:c>
      <x:c r="M310" s="12" t="str">
        <x:v>True</x:v>
      </x:c>
      <x:c r="N310" s="12" t="str">
        <x:v>106</x:v>
      </x:c>
      <x:c r="O310" s="12" t="str">
        <x:v>106</x:v>
      </x:c>
      <x:c r="P310" s="16" t="str">
        <x:v>1.0</x:v>
      </x:c>
      <x:c r="Q310" s="12" t="str">
        <x:v>91</x:v>
      </x:c>
      <x:c r="R310" s="16" t="str">
        <x:v>0.8584905660377359</x:v>
      </x:c>
      <x:c r="S310" s="12" t="str">
        <x:v>0.2</x:v>
      </x:c>
      <x:c r="T310" s="12" t="str">
        <x:v>106</x:v>
      </x:c>
      <x:c r="U310" s="16" t="str">
        <x:v>1.0</x:v>
      </x:c>
      <x:c r="V310" s="18" t="str">
        <x:v>0.5614218711853027</x:v>
      </x:c>
      <x:c r="W310" s="18" t="str">
        <x:v>0.590644121170044</x:v>
      </x:c>
      <x:c r="X310" s="18" t="str">
        <x:v>0.6787970662117004</x:v>
      </x:c>
      <x:c r="Y310" s="18" t="str">
        <x:v>0.6618446707725525</x:v>
      </x:c>
      <x:c r="Z310" s="18" t="str">
        <x:v>0.8144140839576721</x:v>
      </x:c>
      <x:c r="AA310" s="18" t="str">
        <x:v>0.9230082631111145</x:v>
      </x:c>
      <x:c r="AB310" s="20" t="str">
        <x:v>111.63999999916996</x:v>
      </x:c>
      <x:c r="AC310" s="12" t="str">
        <x:v>overlays\surprise_009.png</x:v>
      </x:c>
      <x:c r="AD310" s="12" t="str"/>
      <x:c r="AE310" s="12" t="str"/>
      <x:c r="AF310" s="12" t="str">
        <x:v>acceptable</x:v>
      </x:c>
      <x:c r="AG310" s="12" t="n">
        <x:v>1</x:v>
      </x:c>
      <x:c r="AH310" s="12" t="str">
        <x:v>acceptable</x:v>
      </x:c>
      <x:c r="AI310" s="12" t="str">
        <x:v>acceptable</x:v>
      </x:c>
      <x:c r="AJ310" s="12" t="str">
        <x:v>acceptable</x:v>
      </x:c>
      <x:c r="AK310" s="12" t="str">
        <x:v>acceptable</x:v>
      </x:c>
      <x:c r="AL310" s="12" t="str">
        <x:v>mild</x:v>
      </x:c>
      <x:c r="AM310" s="14" t="str">
        <x:v>Moderate pose, crop, or image degradation causes minor landmark uncertainty; the result remains usable.</x:v>
      </x:c>
    </x:row>
    <x:row r="311" ht="30" customHeight="1">
      <x:c r="A311" s="12" t="str">
        <x:v>surprise_010</x:v>
      </x:c>
      <x:c r="B311" s="12" t="str">
        <x:v>surprise</x:v>
      </x:c>
      <x:c r="C311" s="14" t="str">
        <x:v>surprise/Training_46829487.jpg</x:v>
      </x:c>
      <x:c r="D311" s="12" t="str">
        <x:v>a61ce0969cd32aa8b61a82651b72ea9ea24f695937ef76a34a88f3fafd4084b2</x:v>
      </x:c>
      <x:c r="E311" s="12" t="str">
        <x:v>a61ce0969cd32aa8b61a82651b72ea9ea24f695937ef76a34a88f3fafd4084b2</x:v>
      </x:c>
      <x:c r="F311" s="12" t="str">
        <x:v>True</x:v>
      </x:c>
      <x:c r="G311" s="12" t="str">
        <x:v>48</x:v>
      </x:c>
      <x:c r="H311" s="12" t="str">
        <x:v>48</x:v>
      </x:c>
      <x:c r="I311" s="12" t="str">
        <x:v>0.0</x:v>
      </x:c>
      <x:c r="J311" s="12" t="str">
        <x:v>0.0</x:v>
      </x:c>
      <x:c r="K311" s="12" t="str">
        <x:v>47.0</x:v>
      </x:c>
      <x:c r="L311" s="12" t="str">
        <x:v>47.0</x:v>
      </x:c>
      <x:c r="M311" s="12" t="str">
        <x:v>True</x:v>
      </x:c>
      <x:c r="N311" s="12" t="str">
        <x:v>106</x:v>
      </x:c>
      <x:c r="O311" s="12" t="str">
        <x:v>106</x:v>
      </x:c>
      <x:c r="P311" s="16" t="str">
        <x:v>1.0</x:v>
      </x:c>
      <x:c r="Q311" s="12" t="str">
        <x:v>97</x:v>
      </x:c>
      <x:c r="R311" s="16" t="str">
        <x:v>0.9150943396226415</x:v>
      </x:c>
      <x:c r="S311" s="12" t="str">
        <x:v>0.2</x:v>
      </x:c>
      <x:c r="T311" s="12" t="str">
        <x:v>106</x:v>
      </x:c>
      <x:c r="U311" s="16" t="str">
        <x:v>1.0</x:v>
      </x:c>
      <x:c r="V311" s="18" t="str">
        <x:v>0.32093262672424316</x:v>
      </x:c>
      <x:c r="W311" s="18" t="str">
        <x:v>0.4914509207010269</x:v>
      </x:c>
      <x:c r="X311" s="18" t="str">
        <x:v>0.6465703248977661</x:v>
      </x:c>
      <x:c r="Y311" s="18" t="str">
        <x:v>0.641890287399292</x:v>
      </x:c>
      <x:c r="Z311" s="18" t="str">
        <x:v>0.8333346247673035</x:v>
      </x:c>
      <x:c r="AA311" s="18" t="str">
        <x:v>0.8797327280044556</x:v>
      </x:c>
      <x:c r="AB311" s="20" t="str">
        <x:v>115.71750000075554</x:v>
      </x:c>
      <x:c r="AC311" s="12" t="str">
        <x:v>overlays\surprise_010.png</x:v>
      </x:c>
      <x:c r="AD311" s="12" t="str"/>
      <x:c r="AE311" s="12" t="str"/>
      <x:c r="AF311" s="12" t="str">
        <x:v>good</x:v>
      </x:c>
      <x:c r="AG311" s="12" t="n">
        <x:v>1</x:v>
      </x:c>
      <x:c r="AH311" s="12" t="str">
        <x:v>good</x:v>
      </x:c>
      <x:c r="AI311" s="12" t="str">
        <x:v>good</x:v>
      </x:c>
      <x:c r="AJ311" s="12" t="str">
        <x:v>good</x:v>
      </x:c>
      <x:c r="AK311" s="12" t="str">
        <x:v>not_applicable</x:v>
      </x:c>
      <x:c r="AL311" s="12" t="str">
        <x:v>none</x:v>
      </x:c>
      <x:c r="AM311" s="14" t="str">
        <x:v>Clear and well-aligned facial landmarks with no major pose, crop, or occlusion issue.</x:v>
      </x:c>
    </x:row>
    <x:row r="312" ht="30" customHeight="1">
      <x:c r="A312" s="12" t="str">
        <x:v>surprise_011</x:v>
      </x:c>
      <x:c r="B312" s="12" t="str">
        <x:v>surprise</x:v>
      </x:c>
      <x:c r="C312" s="14" t="str">
        <x:v>surprise/Training_16672930.jpg</x:v>
      </x:c>
      <x:c r="D312" s="12" t="str">
        <x:v>b11d93d598e2de22cf3090af16b63009fc2f90cb55067a49a0ab372d02622166</x:v>
      </x:c>
      <x:c r="E312" s="12" t="str">
        <x:v>b11d93d598e2de22cf3090af16b63009fc2f90cb55067a49a0ab372d02622166</x:v>
      </x:c>
      <x:c r="F312" s="12" t="str">
        <x:v>True</x:v>
      </x:c>
      <x:c r="G312" s="12" t="str">
        <x:v>48</x:v>
      </x:c>
      <x:c r="H312" s="12" t="str">
        <x:v>48</x:v>
      </x:c>
      <x:c r="I312" s="12" t="str">
        <x:v>0.0</x:v>
      </x:c>
      <x:c r="J312" s="12" t="str">
        <x:v>0.0</x:v>
      </x:c>
      <x:c r="K312" s="12" t="str">
        <x:v>47.0</x:v>
      </x:c>
      <x:c r="L312" s="12" t="str">
        <x:v>47.0</x:v>
      </x:c>
      <x:c r="M312" s="12" t="str">
        <x:v>True</x:v>
      </x:c>
      <x:c r="N312" s="12" t="str">
        <x:v>106</x:v>
      </x:c>
      <x:c r="O312" s="12" t="str">
        <x:v>106</x:v>
      </x:c>
      <x:c r="P312" s="16" t="str">
        <x:v>1.0</x:v>
      </x:c>
      <x:c r="Q312" s="12" t="str">
        <x:v>102</x:v>
      </x:c>
      <x:c r="R312" s="16" t="str">
        <x:v>0.9622641509433962</x:v>
      </x:c>
      <x:c r="S312" s="12" t="str">
        <x:v>0.2</x:v>
      </x:c>
      <x:c r="T312" s="12" t="str">
        <x:v>106</x:v>
      </x:c>
      <x:c r="U312" s="16" t="str">
        <x:v>1.0</x:v>
      </x:c>
      <x:c r="V312" s="18" t="str">
        <x:v>0.4787457585334778</x:v>
      </x:c>
      <x:c r="W312" s="18" t="str">
        <x:v>0.5678006708621979</x:v>
      </x:c>
      <x:c r="X312" s="18" t="str">
        <x:v>0.7170993685722351</x:v>
      </x:c>
      <x:c r="Y312" s="18" t="str">
        <x:v>0.6955323219299316</x:v>
      </x:c>
      <x:c r="Z312" s="18" t="str">
        <x:v>0.908495306968689</x:v>
      </x:c>
      <x:c r="AA312" s="18" t="str">
        <x:v>0.9980523586273193</x:v>
      </x:c>
      <x:c r="AB312" s="20" t="str">
        <x:v>109.20640000040294</x:v>
      </x:c>
      <x:c r="AC312" s="12" t="str">
        <x:v>overlays\surprise_011.png</x:v>
      </x:c>
      <x:c r="AD312" s="12" t="str"/>
      <x:c r="AE312" s="12" t="str"/>
      <x:c r="AF312" s="12" t="str">
        <x:v>good</x:v>
      </x:c>
      <x:c r="AG312" s="12" t="n">
        <x:v>1</x:v>
      </x:c>
      <x:c r="AH312" s="12" t="str">
        <x:v>good</x:v>
      </x:c>
      <x:c r="AI312" s="12" t="str">
        <x:v>good</x:v>
      </x:c>
      <x:c r="AJ312" s="12" t="str">
        <x:v>good</x:v>
      </x:c>
      <x:c r="AK312" s="12" t="str">
        <x:v>not_applicable</x:v>
      </x:c>
      <x:c r="AL312" s="12" t="str">
        <x:v>none</x:v>
      </x:c>
      <x:c r="AM312" s="14" t="str">
        <x:v>Clear and well-aligned facial landmarks with no major pose, crop, or occlusion issue.</x:v>
      </x:c>
    </x:row>
    <x:row r="313" ht="30" customHeight="1">
      <x:c r="A313" s="12" t="str">
        <x:v>surprise_012</x:v>
      </x:c>
      <x:c r="B313" s="12" t="str">
        <x:v>surprise</x:v>
      </x:c>
      <x:c r="C313" s="14" t="str">
        <x:v>surprise/Training_15934906.jpg</x:v>
      </x:c>
      <x:c r="D313" s="12" t="str">
        <x:v>50684d753fc7ebdb11926656cf2144a441aca486b55d289597279cd759a23724</x:v>
      </x:c>
      <x:c r="E313" s="12" t="str">
        <x:v>50684d753fc7ebdb11926656cf2144a441aca486b55d289597279cd759a23724</x:v>
      </x:c>
      <x:c r="F313" s="12" t="str">
        <x:v>True</x:v>
      </x:c>
      <x:c r="G313" s="12" t="str">
        <x:v>48</x:v>
      </x:c>
      <x:c r="H313" s="12" t="str">
        <x:v>48</x:v>
      </x:c>
      <x:c r="I313" s="12" t="str">
        <x:v>0.0</x:v>
      </x:c>
      <x:c r="J313" s="12" t="str">
        <x:v>0.0</x:v>
      </x:c>
      <x:c r="K313" s="12" t="str">
        <x:v>47.0</x:v>
      </x:c>
      <x:c r="L313" s="12" t="str">
        <x:v>47.0</x:v>
      </x:c>
      <x:c r="M313" s="12" t="str">
        <x:v>True</x:v>
      </x:c>
      <x:c r="N313" s="12" t="str">
        <x:v>106</x:v>
      </x:c>
      <x:c r="O313" s="12" t="str">
        <x:v>106</x:v>
      </x:c>
      <x:c r="P313" s="16" t="str">
        <x:v>1.0</x:v>
      </x:c>
      <x:c r="Q313" s="12" t="str">
        <x:v>95</x:v>
      </x:c>
      <x:c r="R313" s="16" t="str">
        <x:v>0.8962264150943396</x:v>
      </x:c>
      <x:c r="S313" s="12" t="str">
        <x:v>0.2</x:v>
      </x:c>
      <x:c r="T313" s="12" t="str">
        <x:v>106</x:v>
      </x:c>
      <x:c r="U313" s="16" t="str">
        <x:v>1.0</x:v>
      </x:c>
      <x:c r="V313" s="18" t="str">
        <x:v>0.2853633165359497</x:v>
      </x:c>
      <x:c r="W313" s="18" t="str">
        <x:v>0.4013608247041702</x:v>
      </x:c>
      <x:c r="X313" s="18" t="str">
        <x:v>0.604047954082489</x:v>
      </x:c>
      <x:c r="Y313" s="18" t="str">
        <x:v>0.5953662395477295</x:v>
      </x:c>
      <x:c r="Z313" s="18" t="str">
        <x:v>0.8204616904258728</x:v>
      </x:c>
      <x:c r="AA313" s="18" t="str">
        <x:v>0.9227408170700073</x:v>
      </x:c>
      <x:c r="AB313" s="20" t="str">
        <x:v>120.89799999739625</x:v>
      </x:c>
      <x:c r="AC313" s="12" t="str">
        <x:v>overlays\surprise_012.png</x:v>
      </x:c>
      <x:c r="AD313" s="12" t="str"/>
      <x:c r="AE313" s="12" t="str"/>
      <x:c r="AF313" s="12" t="str">
        <x:v>good</x:v>
      </x:c>
      <x:c r="AG313" s="12" t="n">
        <x:v>1</x:v>
      </x:c>
      <x:c r="AH313" s="12" t="str">
        <x:v>good</x:v>
      </x:c>
      <x:c r="AI313" s="12" t="str">
        <x:v>good</x:v>
      </x:c>
      <x:c r="AJ313" s="12" t="str">
        <x:v>good</x:v>
      </x:c>
      <x:c r="AK313" s="12" t="str">
        <x:v>good</x:v>
      </x:c>
      <x:c r="AL313" s="12" t="str">
        <x:v>none</x:v>
      </x:c>
      <x:c r="AM313" s="14" t="str">
        <x:v>Clear and well-aligned facial landmarks with no major pose, crop, or occlusion issue.</x:v>
      </x:c>
    </x:row>
    <x:row r="314" ht="30" customHeight="1">
      <x:c r="A314" s="12" t="str">
        <x:v>surprise_013</x:v>
      </x:c>
      <x:c r="B314" s="12" t="str">
        <x:v>surprise</x:v>
      </x:c>
      <x:c r="C314" s="14" t="str">
        <x:v>surprise/Training_76930529.jpg</x:v>
      </x:c>
      <x:c r="D314" s="12" t="str">
        <x:v>630f5084adeab48fdae9de599b9f1b525c5a84f0acf9729ff119e06cfbeaeb85</x:v>
      </x:c>
      <x:c r="E314" s="12" t="str">
        <x:v>630f5084adeab48fdae9de599b9f1b525c5a84f0acf9729ff119e06cfbeaeb85</x:v>
      </x:c>
      <x:c r="F314" s="12" t="str">
        <x:v>True</x:v>
      </x:c>
      <x:c r="G314" s="12" t="str">
        <x:v>48</x:v>
      </x:c>
      <x:c r="H314" s="12" t="str">
        <x:v>48</x:v>
      </x:c>
      <x:c r="I314" s="12" t="str">
        <x:v>0.0</x:v>
      </x:c>
      <x:c r="J314" s="12" t="str">
        <x:v>0.0</x:v>
      </x:c>
      <x:c r="K314" s="12" t="str">
        <x:v>47.0</x:v>
      </x:c>
      <x:c r="L314" s="12" t="str">
        <x:v>47.0</x:v>
      </x:c>
      <x:c r="M314" s="12" t="str">
        <x:v>True</x:v>
      </x:c>
      <x:c r="N314" s="12" t="str">
        <x:v>106</x:v>
      </x:c>
      <x:c r="O314" s="12" t="str">
        <x:v>106</x:v>
      </x:c>
      <x:c r="P314" s="16" t="str">
        <x:v>1.0</x:v>
      </x:c>
      <x:c r="Q314" s="12" t="str">
        <x:v>106</x:v>
      </x:c>
      <x:c r="R314" s="16" t="str">
        <x:v>1.0</x:v>
      </x:c>
      <x:c r="S314" s="12" t="str">
        <x:v>0.2</x:v>
      </x:c>
      <x:c r="T314" s="12" t="str">
        <x:v>106</x:v>
      </x:c>
      <x:c r="U314" s="16" t="str">
        <x:v>1.0</x:v>
      </x:c>
      <x:c r="V314" s="18" t="str">
        <x:v>0.5799069404602051</x:v>
      </x:c>
      <x:c r="W314" s="18" t="str">
        <x:v>0.6190549731254578</x:v>
      </x:c>
      <x:c r="X314" s="18" t="str">
        <x:v>0.746374785900116</x:v>
      </x:c>
      <x:c r="Y314" s="18" t="str">
        <x:v>0.7370266914367676</x:v>
      </x:c>
      <x:c r="Z314" s="18" t="str">
        <x:v>0.9089099168777466</x:v>
      </x:c>
      <x:c r="AA314" s="18" t="str">
        <x:v>0.9581117630004883</x:v>
      </x:c>
      <x:c r="AB314" s="20" t="str">
        <x:v>115.54000000251108</x:v>
      </x:c>
      <x:c r="AC314" s="12" t="str">
        <x:v>overlays\surprise_013.png</x:v>
      </x:c>
      <x:c r="AD314" s="12" t="str"/>
      <x:c r="AE314" s="12" t="str"/>
      <x:c r="AF314" s="12" t="str">
        <x:v>good</x:v>
      </x:c>
      <x:c r="AG314" s="12" t="n">
        <x:v>1</x:v>
      </x:c>
      <x:c r="AH314" s="12" t="str">
        <x:v>good</x:v>
      </x:c>
      <x:c r="AI314" s="12" t="str">
        <x:v>good</x:v>
      </x:c>
      <x:c r="AJ314" s="12" t="str">
        <x:v>good</x:v>
      </x:c>
      <x:c r="AK314" s="12" t="str">
        <x:v>not_applicable</x:v>
      </x:c>
      <x:c r="AL314" s="12" t="str">
        <x:v>none</x:v>
      </x:c>
      <x:c r="AM314" s="14" t="str">
        <x:v>Clear and well-aligned facial landmarks with no major pose, crop, or occlusion issue.</x:v>
      </x:c>
    </x:row>
    <x:row r="315" ht="30" customHeight="1">
      <x:c r="A315" s="12" t="str">
        <x:v>surprise_014</x:v>
      </x:c>
      <x:c r="B315" s="12" t="str">
        <x:v>surprise</x:v>
      </x:c>
      <x:c r="C315" s="14" t="str">
        <x:v>surprise/Training_65907119.jpg</x:v>
      </x:c>
      <x:c r="D315" s="12" t="str">
        <x:v>0faf896b3e2492ac660dfe3bb07d01b5d19fbc226ff50d42a2b6af614ebab98a</x:v>
      </x:c>
      <x:c r="E315" s="12" t="str">
        <x:v>0faf896b3e2492ac660dfe3bb07d01b5d19fbc226ff50d42a2b6af614ebab98a</x:v>
      </x:c>
      <x:c r="F315" s="12" t="str">
        <x:v>True</x:v>
      </x:c>
      <x:c r="G315" s="12" t="str">
        <x:v>48</x:v>
      </x:c>
      <x:c r="H315" s="12" t="str">
        <x:v>48</x:v>
      </x:c>
      <x:c r="I315" s="12" t="str">
        <x:v>0.0</x:v>
      </x:c>
      <x:c r="J315" s="12" t="str">
        <x:v>0.0</x:v>
      </x:c>
      <x:c r="K315" s="12" t="str">
        <x:v>47.0</x:v>
      </x:c>
      <x:c r="L315" s="12" t="str">
        <x:v>47.0</x:v>
      </x:c>
      <x:c r="M315" s="12" t="str">
        <x:v>True</x:v>
      </x:c>
      <x:c r="N315" s="12" t="str">
        <x:v>106</x:v>
      </x:c>
      <x:c r="O315" s="12" t="str">
        <x:v>106</x:v>
      </x:c>
      <x:c r="P315" s="16" t="str">
        <x:v>1.0</x:v>
      </x:c>
      <x:c r="Q315" s="12" t="str">
        <x:v>86</x:v>
      </x:c>
      <x:c r="R315" s="16" t="str">
        <x:v>0.8113207547169812</x:v>
      </x:c>
      <x:c r="S315" s="12" t="str">
        <x:v>0.2</x:v>
      </x:c>
      <x:c r="T315" s="12" t="str">
        <x:v>106</x:v>
      </x:c>
      <x:c r="U315" s="16" t="str">
        <x:v>1.0</x:v>
      </x:c>
      <x:c r="V315" s="18" t="str">
        <x:v>0.296993613243103</x:v>
      </x:c>
      <x:c r="W315" s="18" t="str">
        <x:v>0.35636472702026367</x:v>
      </x:c>
      <x:c r="X315" s="18" t="str">
        <x:v>0.5524348616600037</x:v>
      </x:c>
      <x:c r="Y315" s="18" t="str">
        <x:v>0.5212299823760986</x:v>
      </x:c>
      <x:c r="Z315" s="18" t="str">
        <x:v>0.7957765161991119</x:v>
      </x:c>
      <x:c r="AA315" s="18" t="str">
        <x:v>0.8846816420555115</x:v>
      </x:c>
      <x:c r="AB315" s="20" t="str">
        <x:v>138.37150000108522</x:v>
      </x:c>
      <x:c r="AC315" s="12" t="str">
        <x:v>overlays\surprise_014.png</x:v>
      </x:c>
      <x:c r="AD315" s="12" t="str"/>
      <x:c r="AE315" s="12" t="str"/>
      <x:c r="AF315" s="12" t="str">
        <x:v>acceptable</x:v>
      </x:c>
      <x:c r="AG315" s="12" t="n">
        <x:v>1</x:v>
      </x:c>
      <x:c r="AH315" s="12" t="str">
        <x:v>acceptable</x:v>
      </x:c>
      <x:c r="AI315" s="12" t="str">
        <x:v>acceptable</x:v>
      </x:c>
      <x:c r="AJ315" s="12" t="str">
        <x:v>acceptable</x:v>
      </x:c>
      <x:c r="AK315" s="12" t="str">
        <x:v>acceptable</x:v>
      </x:c>
      <x:c r="AL315" s="12" t="str">
        <x:v>mild</x:v>
      </x:c>
      <x:c r="AM315" s="14" t="str">
        <x:v>Tight crop places several contour points outside the frame; central facial landmarks remain usable.</x:v>
      </x:c>
    </x:row>
    <x:row r="316" ht="30" customHeight="1">
      <x:c r="A316" s="12" t="str">
        <x:v>surprise_015</x:v>
      </x:c>
      <x:c r="B316" s="12" t="str">
        <x:v>surprise</x:v>
      </x:c>
      <x:c r="C316" s="14" t="str">
        <x:v>surprise/Training_68296400.jpg</x:v>
      </x:c>
      <x:c r="D316" s="12" t="str">
        <x:v>6a5dedfbcc232ae71d259ce6c23b2a266e6fd0bca0caf0574aea5947455374a2</x:v>
      </x:c>
      <x:c r="E316" s="12" t="str">
        <x:v>6a5dedfbcc232ae71d259ce6c23b2a266e6fd0bca0caf0574aea5947455374a2</x:v>
      </x:c>
      <x:c r="F316" s="12" t="str">
        <x:v>True</x:v>
      </x:c>
      <x:c r="G316" s="12" t="str">
        <x:v>48</x:v>
      </x:c>
      <x:c r="H316" s="12" t="str">
        <x:v>48</x:v>
      </x:c>
      <x:c r="I316" s="12" t="str">
        <x:v>0.0</x:v>
      </x:c>
      <x:c r="J316" s="12" t="str">
        <x:v>0.0</x:v>
      </x:c>
      <x:c r="K316" s="12" t="str">
        <x:v>47.0</x:v>
      </x:c>
      <x:c r="L316" s="12" t="str">
        <x:v>47.0</x:v>
      </x:c>
      <x:c r="M316" s="12" t="str">
        <x:v>True</x:v>
      </x:c>
      <x:c r="N316" s="12" t="str">
        <x:v>106</x:v>
      </x:c>
      <x:c r="O316" s="12" t="str">
        <x:v>106</x:v>
      </x:c>
      <x:c r="P316" s="16" t="str">
        <x:v>1.0</x:v>
      </x:c>
      <x:c r="Q316" s="12" t="str">
        <x:v>98</x:v>
      </x:c>
      <x:c r="R316" s="16" t="str">
        <x:v>0.9245283018867925</x:v>
      </x:c>
      <x:c r="S316" s="12" t="str">
        <x:v>0.2</x:v>
      </x:c>
      <x:c r="T316" s="12" t="str">
        <x:v>106</x:v>
      </x:c>
      <x:c r="U316" s="16" t="str">
        <x:v>1.0</x:v>
      </x:c>
      <x:c r="V316" s="18" t="str">
        <x:v>0.4143418073654175</x:v>
      </x:c>
      <x:c r="W316" s="18" t="str">
        <x:v>0.5029279291629791</x:v>
      </x:c>
      <x:c r="X316" s="18" t="str">
        <x:v>0.640356183052063</x:v>
      </x:c>
      <x:c r="Y316" s="18" t="str">
        <x:v>0.6236560940742493</x:v>
      </x:c>
      <x:c r="Z316" s="18" t="str">
        <x:v>0.8079849779605865</x:v>
      </x:c>
      <x:c r="AA316" s="18" t="str">
        <x:v>0.8688851594924927</x:v>
      </x:c>
      <x:c r="AB316" s="20" t="str">
        <x:v>120.90130000069621</x:v>
      </x:c>
      <x:c r="AC316" s="12" t="str">
        <x:v>overlays\surprise_015.png</x:v>
      </x:c>
      <x:c r="AD316" s="12" t="str"/>
      <x:c r="AE316" s="12" t="str"/>
      <x:c r="AF316" s="12" t="str">
        <x:v>acceptable</x:v>
      </x:c>
      <x:c r="AG316" s="12" t="n">
        <x:v>1</x:v>
      </x:c>
      <x:c r="AH316" s="12" t="str">
        <x:v>acceptable</x:v>
      </x:c>
      <x:c r="AI316" s="12" t="str">
        <x:v>acceptable</x:v>
      </x:c>
      <x:c r="AJ316" s="12" t="str">
        <x:v>acceptable</x:v>
      </x:c>
      <x:c r="AK316" s="12" t="str">
        <x:v>acceptable</x:v>
      </x:c>
      <x:c r="AL316" s="12" t="str">
        <x:v>mild</x:v>
      </x:c>
      <x:c r="AM316" s="14" t="str">
        <x:v>Moderate pose, crop, or image degradation causes minor landmark uncertainty; the result remains usable.</x:v>
      </x:c>
    </x:row>
    <x:row r="317" ht="30" customHeight="1">
      <x:c r="A317" s="12" t="str">
        <x:v>surprise_016</x:v>
      </x:c>
      <x:c r="B317" s="12" t="str">
        <x:v>surprise</x:v>
      </x:c>
      <x:c r="C317" s="14" t="str">
        <x:v>surprise/Training_71104025.jpg</x:v>
      </x:c>
      <x:c r="D317" s="12" t="str">
        <x:v>89ece34d5496e8c9dad00d6cb3b28d9dd9f74e5749b96666b21139ce57803082</x:v>
      </x:c>
      <x:c r="E317" s="12" t="str">
        <x:v>89ece34d5496e8c9dad00d6cb3b28d9dd9f74e5749b96666b21139ce57803082</x:v>
      </x:c>
      <x:c r="F317" s="12" t="str">
        <x:v>True</x:v>
      </x:c>
      <x:c r="G317" s="12" t="str">
        <x:v>48</x:v>
      </x:c>
      <x:c r="H317" s="12" t="str">
        <x:v>48</x:v>
      </x:c>
      <x:c r="I317" s="12" t="str">
        <x:v>0.0</x:v>
      </x:c>
      <x:c r="J317" s="12" t="str">
        <x:v>0.0</x:v>
      </x:c>
      <x:c r="K317" s="12" t="str">
        <x:v>47.0</x:v>
      </x:c>
      <x:c r="L317" s="12" t="str">
        <x:v>47.0</x:v>
      </x:c>
      <x:c r="M317" s="12" t="str">
        <x:v>True</x:v>
      </x:c>
      <x:c r="N317" s="12" t="str">
        <x:v>106</x:v>
      </x:c>
      <x:c r="O317" s="12" t="str">
        <x:v>106</x:v>
      </x:c>
      <x:c r="P317" s="16" t="str">
        <x:v>1.0</x:v>
      </x:c>
      <x:c r="Q317" s="12" t="str">
        <x:v>92</x:v>
      </x:c>
      <x:c r="R317" s="16" t="str">
        <x:v>0.8679245283018868</x:v>
      </x:c>
      <x:c r="S317" s="12" t="str">
        <x:v>0.2</x:v>
      </x:c>
      <x:c r="T317" s="12" t="str">
        <x:v>106</x:v>
      </x:c>
      <x:c r="U317" s="16" t="str">
        <x:v>1.0</x:v>
      </x:c>
      <x:c r="V317" s="18" t="str">
        <x:v>0.35186612606048584</x:v>
      </x:c>
      <x:c r="W317" s="18" t="str">
        <x:v>0.4481905698776245</x:v>
      </x:c>
      <x:c r="X317" s="18" t="str">
        <x:v>0.5923876762390137</x:v>
      </x:c>
      <x:c r="Y317" s="18" t="str">
        <x:v>0.5716273784637451</x:v>
      </x:c>
      <x:c r="Z317" s="18" t="str">
        <x:v>0.8019377589225769</x:v>
      </x:c>
      <x:c r="AA317" s="18" t="str">
        <x:v>0.8570528030395508</x:v>
      </x:c>
      <x:c r="AB317" s="20" t="str">
        <x:v>130.48479999997653</x:v>
      </x:c>
      <x:c r="AC317" s="12" t="str">
        <x:v>overlays\surprise_016.png</x:v>
      </x:c>
      <x:c r="AD317" s="12" t="str"/>
      <x:c r="AE317" s="12" t="str"/>
      <x:c r="AF317" s="12" t="str">
        <x:v>acceptable</x:v>
      </x:c>
      <x:c r="AG317" s="12" t="n">
        <x:v>1</x:v>
      </x:c>
      <x:c r="AH317" s="12" t="str">
        <x:v>acceptable</x:v>
      </x:c>
      <x:c r="AI317" s="12" t="str">
        <x:v>acceptable</x:v>
      </x:c>
      <x:c r="AJ317" s="12" t="str">
        <x:v>acceptable</x:v>
      </x:c>
      <x:c r="AK317" s="12" t="str">
        <x:v>acceptable</x:v>
      </x:c>
      <x:c r="AL317" s="12" t="str">
        <x:v>mild</x:v>
      </x:c>
      <x:c r="AM317" s="14" t="str">
        <x:v>Moderate pose, crop, or image degradation causes minor landmark uncertainty; the result remains usable.</x:v>
      </x:c>
    </x:row>
    <x:row r="318" ht="30" customHeight="1">
      <x:c r="A318" s="12" t="str">
        <x:v>surprise_017</x:v>
      </x:c>
      <x:c r="B318" s="12" t="str">
        <x:v>surprise</x:v>
      </x:c>
      <x:c r="C318" s="14" t="str">
        <x:v>surprise/Training_28461604.jpg</x:v>
      </x:c>
      <x:c r="D318" s="12" t="str">
        <x:v>697f7533a654832f20ab19cceea5c17ae82f705ac772888c8a93694441dea9f4</x:v>
      </x:c>
      <x:c r="E318" s="12" t="str">
        <x:v>697f7533a654832f20ab19cceea5c17ae82f705ac772888c8a93694441dea9f4</x:v>
      </x:c>
      <x:c r="F318" s="12" t="str">
        <x:v>True</x:v>
      </x:c>
      <x:c r="G318" s="12" t="str">
        <x:v>48</x:v>
      </x:c>
      <x:c r="H318" s="12" t="str">
        <x:v>48</x:v>
      </x:c>
      <x:c r="I318" s="12" t="str">
        <x:v>0.0</x:v>
      </x:c>
      <x:c r="J318" s="12" t="str">
        <x:v>0.0</x:v>
      </x:c>
      <x:c r="K318" s="12" t="str">
        <x:v>47.0</x:v>
      </x:c>
      <x:c r="L318" s="12" t="str">
        <x:v>47.0</x:v>
      </x:c>
      <x:c r="M318" s="12" t="str">
        <x:v>True</x:v>
      </x:c>
      <x:c r="N318" s="12" t="str">
        <x:v>106</x:v>
      </x:c>
      <x:c r="O318" s="12" t="str">
        <x:v>106</x:v>
      </x:c>
      <x:c r="P318" s="16" t="str">
        <x:v>1.0</x:v>
      </x:c>
      <x:c r="Q318" s="12" t="str">
        <x:v>101</x:v>
      </x:c>
      <x:c r="R318" s="16" t="str">
        <x:v>0.9528301886792453</x:v>
      </x:c>
      <x:c r="S318" s="12" t="str">
        <x:v>0.2</x:v>
      </x:c>
      <x:c r="T318" s="12" t="str">
        <x:v>106</x:v>
      </x:c>
      <x:c r="U318" s="16" t="str">
        <x:v>1.0</x:v>
      </x:c>
      <x:c r="V318" s="18" t="str">
        <x:v>0.36430859565734863</x:v>
      </x:c>
      <x:c r="W318" s="18" t="str">
        <x:v>0.5896555185317993</x:v>
      </x:c>
      <x:c r="X318" s="18" t="str">
        <x:v>0.7262730002403259</x:v>
      </x:c>
      <x:c r="Y318" s="18" t="str">
        <x:v>0.7362990379333496</x:v>
      </x:c>
      <x:c r="Z318" s="18" t="str">
        <x:v>0.8513650894165039</x:v>
      </x:c>
      <x:c r="AA318" s="18" t="str">
        <x:v>0.9003424644470215</x:v>
      </x:c>
      <x:c r="AB318" s="20" t="str">
        <x:v>115.76240000067628</x:v>
      </x:c>
      <x:c r="AC318" s="12" t="str">
        <x:v>overlays\surprise_017.png</x:v>
      </x:c>
      <x:c r="AD318" s="12" t="str"/>
      <x:c r="AE318" s="12" t="str"/>
      <x:c r="AF318" s="12" t="str">
        <x:v>acceptable</x:v>
      </x:c>
      <x:c r="AG318" s="12" t="n">
        <x:v>1</x:v>
      </x:c>
      <x:c r="AH318" s="12" t="str">
        <x:v>acceptable</x:v>
      </x:c>
      <x:c r="AI318" s="12" t="str">
        <x:v>acceptable</x:v>
      </x:c>
      <x:c r="AJ318" s="12" t="str">
        <x:v>acceptable</x:v>
      </x:c>
      <x:c r="AK318" s="12" t="str">
        <x:v>acceptable</x:v>
      </x:c>
      <x:c r="AL318" s="12" t="str">
        <x:v>mild</x:v>
      </x:c>
      <x:c r="AM318" s="14" t="str">
        <x:v>Large pose or profile; visible landmarks are useful, while hidden-side contour points are inferred.</x:v>
      </x:c>
    </x:row>
    <x:row r="319" ht="30" customHeight="1">
      <x:c r="A319" s="12" t="str">
        <x:v>surprise_018</x:v>
      </x:c>
      <x:c r="B319" s="12" t="str">
        <x:v>surprise</x:v>
      </x:c>
      <x:c r="C319" s="14" t="str">
        <x:v>surprise/Training_16602311.jpg</x:v>
      </x:c>
      <x:c r="D319" s="12" t="str">
        <x:v>ccc71f8a07424f388f33dde538f0317b3ac6c10c3ece406cf7cf4fe2e0065403</x:v>
      </x:c>
      <x:c r="E319" s="12" t="str">
        <x:v>ccc71f8a07424f388f33dde538f0317b3ac6c10c3ece406cf7cf4fe2e0065403</x:v>
      </x:c>
      <x:c r="F319" s="12" t="str">
        <x:v>True</x:v>
      </x:c>
      <x:c r="G319" s="12" t="str">
        <x:v>48</x:v>
      </x:c>
      <x:c r="H319" s="12" t="str">
        <x:v>48</x:v>
      </x:c>
      <x:c r="I319" s="12" t="str">
        <x:v>0.0</x:v>
      </x:c>
      <x:c r="J319" s="12" t="str">
        <x:v>0.0</x:v>
      </x:c>
      <x:c r="K319" s="12" t="str">
        <x:v>47.0</x:v>
      </x:c>
      <x:c r="L319" s="12" t="str">
        <x:v>47.0</x:v>
      </x:c>
      <x:c r="M319" s="12" t="str">
        <x:v>True</x:v>
      </x:c>
      <x:c r="N319" s="12" t="str">
        <x:v>106</x:v>
      </x:c>
      <x:c r="O319" s="12" t="str">
        <x:v>106</x:v>
      </x:c>
      <x:c r="P319" s="16" t="str">
        <x:v>1.0</x:v>
      </x:c>
      <x:c r="Q319" s="12" t="str">
        <x:v>95</x:v>
      </x:c>
      <x:c r="R319" s="16" t="str">
        <x:v>0.8962264150943396</x:v>
      </x:c>
      <x:c r="S319" s="12" t="str">
        <x:v>0.2</x:v>
      </x:c>
      <x:c r="T319" s="12" t="str">
        <x:v>106</x:v>
      </x:c>
      <x:c r="U319" s="16" t="str">
        <x:v>1.0</x:v>
      </x:c>
      <x:c r="V319" s="18" t="str">
        <x:v>0.5927122831344604</x:v>
      </x:c>
      <x:c r="W319" s="18" t="str">
        <x:v>0.6566018760204315</x:v>
      </x:c>
      <x:c r="X319" s="18" t="str">
        <x:v>0.7652488350868225</x:v>
      </x:c>
      <x:c r="Y319" s="18" t="str">
        <x:v>0.7604027390480042</x:v>
      </x:c>
      <x:c r="Z319" s="18" t="str">
        <x:v>0.8965543508529663</x:v>
      </x:c>
      <x:c r="AA319" s="18" t="str">
        <x:v>0.9384786486625671</x:v>
      </x:c>
      <x:c r="AB319" s="20" t="str">
        <x:v>116.10780000046361</x:v>
      </x:c>
      <x:c r="AC319" s="12" t="str">
        <x:v>overlays\surprise_018.png</x:v>
      </x:c>
      <x:c r="AD319" s="12" t="str"/>
      <x:c r="AE319" s="12" t="str"/>
      <x:c r="AF319" s="12" t="str">
        <x:v>acceptable</x:v>
      </x:c>
      <x:c r="AG319" s="12" t="n">
        <x:v>1</x:v>
      </x:c>
      <x:c r="AH319" s="12" t="str">
        <x:v>acceptable</x:v>
      </x:c>
      <x:c r="AI319" s="12" t="str">
        <x:v>acceptable</x:v>
      </x:c>
      <x:c r="AJ319" s="12" t="str">
        <x:v>acceptable</x:v>
      </x:c>
      <x:c r="AK319" s="12" t="str">
        <x:v>acceptable</x:v>
      </x:c>
      <x:c r="AL319" s="12" t="str">
        <x:v>mild</x:v>
      </x:c>
      <x:c r="AM319" s="14" t="str">
        <x:v>Moderate pose, crop, or image degradation causes minor landmark uncertainty; the result remains usable.</x:v>
      </x:c>
    </x:row>
    <x:row r="320" ht="30" customHeight="1">
      <x:c r="A320" s="12" t="str">
        <x:v>surprise_019</x:v>
      </x:c>
      <x:c r="B320" s="12" t="str">
        <x:v>surprise</x:v>
      </x:c>
      <x:c r="C320" s="14" t="str">
        <x:v>surprise/Training_68747987.jpg</x:v>
      </x:c>
      <x:c r="D320" s="12" t="str">
        <x:v>94a91510d2ee5e3273b4d18a56605a81627bd48ba2ab41265c456287c6978fc3</x:v>
      </x:c>
      <x:c r="E320" s="12" t="str">
        <x:v>94a91510d2ee5e3273b4d18a56605a81627bd48ba2ab41265c456287c6978fc3</x:v>
      </x:c>
      <x:c r="F320" s="12" t="str">
        <x:v>True</x:v>
      </x:c>
      <x:c r="G320" s="12" t="str">
        <x:v>48</x:v>
      </x:c>
      <x:c r="H320" s="12" t="str">
        <x:v>48</x:v>
      </x:c>
      <x:c r="I320" s="12" t="str">
        <x:v>0.0</x:v>
      </x:c>
      <x:c r="J320" s="12" t="str">
        <x:v>0.0</x:v>
      </x:c>
      <x:c r="K320" s="12" t="str">
        <x:v>47.0</x:v>
      </x:c>
      <x:c r="L320" s="12" t="str">
        <x:v>47.0</x:v>
      </x:c>
      <x:c r="M320" s="12" t="str">
        <x:v>True</x:v>
      </x:c>
      <x:c r="N320" s="12" t="str">
        <x:v>106</x:v>
      </x:c>
      <x:c r="O320" s="12" t="str">
        <x:v>106</x:v>
      </x:c>
      <x:c r="P320" s="16" t="str">
        <x:v>1.0</x:v>
      </x:c>
      <x:c r="Q320" s="12" t="str">
        <x:v>98</x:v>
      </x:c>
      <x:c r="R320" s="16" t="str">
        <x:v>0.9245283018867925</x:v>
      </x:c>
      <x:c r="S320" s="12" t="str">
        <x:v>0.2</x:v>
      </x:c>
      <x:c r="T320" s="12" t="str">
        <x:v>106</x:v>
      </x:c>
      <x:c r="U320" s="16" t="str">
        <x:v>1.0</x:v>
      </x:c>
      <x:c r="V320" s="18" t="str">
        <x:v>0.4559551775455475</x:v>
      </x:c>
      <x:c r="W320" s="18" t="str">
        <x:v>0.5087705552577972</x:v>
      </x:c>
      <x:c r="X320" s="18" t="str">
        <x:v>0.6400788426399231</x:v>
      </x:c>
      <x:c r="Y320" s="18" t="str">
        <x:v>0.636935293674469</x:v>
      </x:c>
      <x:c r="Z320" s="18" t="str">
        <x:v>0.8205007910728455</x:v>
      </x:c>
      <x:c r="AA320" s="18" t="str">
        <x:v>0.9009336233139038</x:v>
      </x:c>
      <x:c r="AB320" s="20" t="str">
        <x:v>114.84560000099009</x:v>
      </x:c>
      <x:c r="AC320" s="12" t="str">
        <x:v>overlays\surprise_019.png</x:v>
      </x:c>
      <x:c r="AD320" s="12" t="str"/>
      <x:c r="AE320" s="12" t="str"/>
      <x:c r="AF320" s="12" t="str">
        <x:v>good</x:v>
      </x:c>
      <x:c r="AG320" s="12" t="n">
        <x:v>1</x:v>
      </x:c>
      <x:c r="AH320" s="12" t="str">
        <x:v>good</x:v>
      </x:c>
      <x:c r="AI320" s="12" t="str">
        <x:v>good</x:v>
      </x:c>
      <x:c r="AJ320" s="12" t="str">
        <x:v>good</x:v>
      </x:c>
      <x:c r="AK320" s="12" t="str">
        <x:v>good</x:v>
      </x:c>
      <x:c r="AL320" s="12" t="str">
        <x:v>none</x:v>
      </x:c>
      <x:c r="AM320" s="14" t="str">
        <x:v>Clear and well-aligned facial landmarks with no major pose, crop, or occlusion issue.</x:v>
      </x:c>
    </x:row>
    <x:row r="321" ht="30" customHeight="1">
      <x:c r="A321" s="12" t="str">
        <x:v>surprise_020</x:v>
      </x:c>
      <x:c r="B321" s="12" t="str">
        <x:v>surprise</x:v>
      </x:c>
      <x:c r="C321" s="14" t="str">
        <x:v>surprise/Training_18954209.jpg</x:v>
      </x:c>
      <x:c r="D321" s="12" t="str">
        <x:v>f77ac83eb86ce61e62c560f796f56d34d42db5955ccccac34a7059491df79a39</x:v>
      </x:c>
      <x:c r="E321" s="12" t="str">
        <x:v>f77ac83eb86ce61e62c560f796f56d34d42db5955ccccac34a7059491df79a39</x:v>
      </x:c>
      <x:c r="F321" s="12" t="str">
        <x:v>True</x:v>
      </x:c>
      <x:c r="G321" s="12" t="str">
        <x:v>48</x:v>
      </x:c>
      <x:c r="H321" s="12" t="str">
        <x:v>48</x:v>
      </x:c>
      <x:c r="I321" s="12" t="str">
        <x:v>0.0</x:v>
      </x:c>
      <x:c r="J321" s="12" t="str">
        <x:v>0.0</x:v>
      </x:c>
      <x:c r="K321" s="12" t="str">
        <x:v>47.0</x:v>
      </x:c>
      <x:c r="L321" s="12" t="str">
        <x:v>47.0</x:v>
      </x:c>
      <x:c r="M321" s="12" t="str">
        <x:v>True</x:v>
      </x:c>
      <x:c r="N321" s="12" t="str">
        <x:v>106</x:v>
      </x:c>
      <x:c r="O321" s="12" t="str">
        <x:v>106</x:v>
      </x:c>
      <x:c r="P321" s="16" t="str">
        <x:v>1.0</x:v>
      </x:c>
      <x:c r="Q321" s="12" t="str">
        <x:v>91</x:v>
      </x:c>
      <x:c r="R321" s="16" t="str">
        <x:v>0.8584905660377359</x:v>
      </x:c>
      <x:c r="S321" s="12" t="str">
        <x:v>0.2</x:v>
      </x:c>
      <x:c r="T321" s="12" t="str">
        <x:v>106</x:v>
      </x:c>
      <x:c r="U321" s="16" t="str">
        <x:v>1.0</x:v>
      </x:c>
      <x:c r="V321" s="18" t="str">
        <x:v>0.29749706387519836</x:v>
      </x:c>
      <x:c r="W321" s="18" t="str">
        <x:v>0.38216087222099304</x:v>
      </x:c>
      <x:c r="X321" s="18" t="str">
        <x:v>0.5590174198150635</x:v>
      </x:c>
      <x:c r="Y321" s="18" t="str">
        <x:v>0.5574076175689697</x:v>
      </x:c>
      <x:c r="Z321" s="18" t="str">
        <x:v>0.7591112554073334</x:v>
      </x:c>
      <x:c r="AA321" s="18" t="str">
        <x:v>0.8728386163711548</x:v>
      </x:c>
      <x:c r="AB321" s="20" t="str">
        <x:v>107.59220000181813</x:v>
      </x:c>
      <x:c r="AC321" s="12" t="str">
        <x:v>overlays\surprise_020.png</x:v>
      </x:c>
      <x:c r="AD321" s="12" t="str"/>
      <x:c r="AE321" s="12" t="str"/>
      <x:c r="AF321" s="12" t="str">
        <x:v>acceptable</x:v>
      </x:c>
      <x:c r="AG321" s="12" t="n">
        <x:v>1</x:v>
      </x:c>
      <x:c r="AH321" s="12" t="str">
        <x:v>acceptable</x:v>
      </x:c>
      <x:c r="AI321" s="12" t="str">
        <x:v>acceptable</x:v>
      </x:c>
      <x:c r="AJ321" s="12" t="str">
        <x:v>acceptable</x:v>
      </x:c>
      <x:c r="AK321" s="12" t="str">
        <x:v>acceptable</x:v>
      </x:c>
      <x:c r="AL321" s="12" t="str">
        <x:v>mild</x:v>
      </x:c>
      <x:c r="AM321" s="14" t="str">
        <x:v>Blur, low contrast, or unusual appearance lowers confidence, but the landmark geometry remains usable.</x:v>
      </x:c>
    </x:row>
    <x:row r="322" ht="30" customHeight="1">
      <x:c r="A322" s="12" t="str">
        <x:v>surprise_021</x:v>
      </x:c>
      <x:c r="B322" s="12" t="str">
        <x:v>surprise</x:v>
      </x:c>
      <x:c r="C322" s="14" t="str">
        <x:v>surprise/Training_31559799.jpg</x:v>
      </x:c>
      <x:c r="D322" s="12" t="str">
        <x:v>5cff628e17f9b4bc111573960837e6e95c411ad722bbecf8fc9d11b4843f079a</x:v>
      </x:c>
      <x:c r="E322" s="12" t="str">
        <x:v>5cff628e17f9b4bc111573960837e6e95c411ad722bbecf8fc9d11b4843f079a</x:v>
      </x:c>
      <x:c r="F322" s="12" t="str">
        <x:v>True</x:v>
      </x:c>
      <x:c r="G322" s="12" t="str">
        <x:v>48</x:v>
      </x:c>
      <x:c r="H322" s="12" t="str">
        <x:v>48</x:v>
      </x:c>
      <x:c r="I322" s="12" t="str">
        <x:v>0.0</x:v>
      </x:c>
      <x:c r="J322" s="12" t="str">
        <x:v>0.0</x:v>
      </x:c>
      <x:c r="K322" s="12" t="str">
        <x:v>47.0</x:v>
      </x:c>
      <x:c r="L322" s="12" t="str">
        <x:v>47.0</x:v>
      </x:c>
      <x:c r="M322" s="12" t="str">
        <x:v>True</x:v>
      </x:c>
      <x:c r="N322" s="12" t="str">
        <x:v>106</x:v>
      </x:c>
      <x:c r="O322" s="12" t="str">
        <x:v>106</x:v>
      </x:c>
      <x:c r="P322" s="16" t="str">
        <x:v>1.0</x:v>
      </x:c>
      <x:c r="Q322" s="12" t="str">
        <x:v>103</x:v>
      </x:c>
      <x:c r="R322" s="16" t="str">
        <x:v>0.9716981132075472</x:v>
      </x:c>
      <x:c r="S322" s="12" t="str">
        <x:v>0.2</x:v>
      </x:c>
      <x:c r="T322" s="12" t="str">
        <x:v>106</x:v>
      </x:c>
      <x:c r="U322" s="16" t="str">
        <x:v>1.0</x:v>
      </x:c>
      <x:c r="V322" s="18" t="str">
        <x:v>0.581926703453064</x:v>
      </x:c>
      <x:c r="W322" s="18" t="str">
        <x:v>0.6234596371650696</x:v>
      </x:c>
      <x:c r="X322" s="18" t="str">
        <x:v>0.7314338088035583</x:v>
      </x:c>
      <x:c r="Y322" s="18" t="str">
        <x:v>0.7325255870819092</x:v>
      </x:c>
      <x:c r="Z322" s="18" t="str">
        <x:v>0.8478122353553772</x:v>
      </x:c>
      <x:c r="AA322" s="18" t="str">
        <x:v>0.9493762850761414</x:v>
      </x:c>
      <x:c r="AB322" s="20" t="str">
        <x:v>124.2138999987219</x:v>
      </x:c>
      <x:c r="AC322" s="12" t="str">
        <x:v>overlays\surprise_021.png</x:v>
      </x:c>
      <x:c r="AD322" s="12" t="str"/>
      <x:c r="AE322" s="12" t="str"/>
      <x:c r="AF322" s="12" t="str">
        <x:v>good</x:v>
      </x:c>
      <x:c r="AG322" s="12" t="n">
        <x:v>1</x:v>
      </x:c>
      <x:c r="AH322" s="12" t="str">
        <x:v>good</x:v>
      </x:c>
      <x:c r="AI322" s="12" t="str">
        <x:v>good</x:v>
      </x:c>
      <x:c r="AJ322" s="12" t="str">
        <x:v>good</x:v>
      </x:c>
      <x:c r="AK322" s="12" t="str">
        <x:v>not_applicable</x:v>
      </x:c>
      <x:c r="AL322" s="12" t="str">
        <x:v>none</x:v>
      </x:c>
      <x:c r="AM322" s="14" t="str">
        <x:v>Clear and well-aligned facial landmarks with no major pose, crop, or occlusion issue.</x:v>
      </x:c>
    </x:row>
    <x:row r="323" ht="30" customHeight="1">
      <x:c r="A323" s="12" t="str">
        <x:v>surprise_022</x:v>
      </x:c>
      <x:c r="B323" s="12" t="str">
        <x:v>surprise</x:v>
      </x:c>
      <x:c r="C323" s="14" t="str">
        <x:v>surprise/Training_17771777.jpg</x:v>
      </x:c>
      <x:c r="D323" s="12" t="str">
        <x:v>754122b558e8357a50450acf1b5d0bf52929cc861d2191aaffaf56afce472e26</x:v>
      </x:c>
      <x:c r="E323" s="12" t="str">
        <x:v>754122b558e8357a50450acf1b5d0bf52929cc861d2191aaffaf56afce472e26</x:v>
      </x:c>
      <x:c r="F323" s="12" t="str">
        <x:v>True</x:v>
      </x:c>
      <x:c r="G323" s="12" t="str">
        <x:v>48</x:v>
      </x:c>
      <x:c r="H323" s="12" t="str">
        <x:v>48</x:v>
      </x:c>
      <x:c r="I323" s="12" t="str">
        <x:v>0.0</x:v>
      </x:c>
      <x:c r="J323" s="12" t="str">
        <x:v>0.0</x:v>
      </x:c>
      <x:c r="K323" s="12" t="str">
        <x:v>47.0</x:v>
      </x:c>
      <x:c r="L323" s="12" t="str">
        <x:v>47.0</x:v>
      </x:c>
      <x:c r="M323" s="12" t="str">
        <x:v>True</x:v>
      </x:c>
      <x:c r="N323" s="12" t="str">
        <x:v>106</x:v>
      </x:c>
      <x:c r="O323" s="12" t="str">
        <x:v>106</x:v>
      </x:c>
      <x:c r="P323" s="16" t="str">
        <x:v>1.0</x:v>
      </x:c>
      <x:c r="Q323" s="12" t="str">
        <x:v>106</x:v>
      </x:c>
      <x:c r="R323" s="16" t="str">
        <x:v>1.0</x:v>
      </x:c>
      <x:c r="S323" s="12" t="str">
        <x:v>0.2</x:v>
      </x:c>
      <x:c r="T323" s="12" t="str">
        <x:v>106</x:v>
      </x:c>
      <x:c r="U323" s="16" t="str">
        <x:v>1.0</x:v>
      </x:c>
      <x:c r="V323" s="18" t="str">
        <x:v>0.34639549255371094</x:v>
      </x:c>
      <x:c r="W323" s="18" t="str">
        <x:v>0.42235851287841797</x:v>
      </x:c>
      <x:c r="X323" s="18" t="str">
        <x:v>0.6471773386001587</x:v>
      </x:c>
      <x:c r="Y323" s="18" t="str">
        <x:v>0.6391298174858093</x:v>
      </x:c>
      <x:c r="Z323" s="18" t="str">
        <x:v>0.8403400480747223</x:v>
      </x:c>
      <x:c r="AA323" s="18" t="str">
        <x:v>0.9452350735664368</x:v>
      </x:c>
      <x:c r="AB323" s="20" t="str">
        <x:v>111.87869999776012</x:v>
      </x:c>
      <x:c r="AC323" s="12" t="str">
        <x:v>overlays\surprise_022.png</x:v>
      </x:c>
      <x:c r="AD323" s="12" t="str"/>
      <x:c r="AE323" s="12" t="str"/>
      <x:c r="AF323" s="12" t="str">
        <x:v>acceptable</x:v>
      </x:c>
      <x:c r="AG323" s="12" t="n">
        <x:v>1</x:v>
      </x:c>
      <x:c r="AH323" s="12" t="str">
        <x:v>acceptable</x:v>
      </x:c>
      <x:c r="AI323" s="12" t="str">
        <x:v>acceptable</x:v>
      </x:c>
      <x:c r="AJ323" s="12" t="str">
        <x:v>acceptable</x:v>
      </x:c>
      <x:c r="AK323" s="12" t="str">
        <x:v>acceptable</x:v>
      </x:c>
      <x:c r="AL323" s="12" t="str">
        <x:v>mild</x:v>
      </x:c>
      <x:c r="AM323" s="14" t="str">
        <x:v>Large pose or profile; visible landmarks are useful, while hidden-side contour points are inferred.</x:v>
      </x:c>
    </x:row>
    <x:row r="324" ht="30" customHeight="1">
      <x:c r="A324" s="12" t="str">
        <x:v>surprise_023</x:v>
      </x:c>
      <x:c r="B324" s="12" t="str">
        <x:v>surprise</x:v>
      </x:c>
      <x:c r="C324" s="14" t="str">
        <x:v>surprise/Training_78150560.jpg</x:v>
      </x:c>
      <x:c r="D324" s="12" t="str">
        <x:v>4a865bf83c29319aa60975caa76682193f7c9decf5bc5f815b60a6b1075f0dca</x:v>
      </x:c>
      <x:c r="E324" s="12" t="str">
        <x:v>4a865bf83c29319aa60975caa76682193f7c9decf5bc5f815b60a6b1075f0dca</x:v>
      </x:c>
      <x:c r="F324" s="12" t="str">
        <x:v>True</x:v>
      </x:c>
      <x:c r="G324" s="12" t="str">
        <x:v>48</x:v>
      </x:c>
      <x:c r="H324" s="12" t="str">
        <x:v>48</x:v>
      </x:c>
      <x:c r="I324" s="12" t="str">
        <x:v>0.0</x:v>
      </x:c>
      <x:c r="J324" s="12" t="str">
        <x:v>0.0</x:v>
      </x:c>
      <x:c r="K324" s="12" t="str">
        <x:v>47.0</x:v>
      </x:c>
      <x:c r="L324" s="12" t="str">
        <x:v>47.0</x:v>
      </x:c>
      <x:c r="M324" s="12" t="str">
        <x:v>True</x:v>
      </x:c>
      <x:c r="N324" s="12" t="str">
        <x:v>106</x:v>
      </x:c>
      <x:c r="O324" s="12" t="str">
        <x:v>106</x:v>
      </x:c>
      <x:c r="P324" s="16" t="str">
        <x:v>1.0</x:v>
      </x:c>
      <x:c r="Q324" s="12" t="str">
        <x:v>98</x:v>
      </x:c>
      <x:c r="R324" s="16" t="str">
        <x:v>0.9245283018867925</x:v>
      </x:c>
      <x:c r="S324" s="12" t="str">
        <x:v>0.2</x:v>
      </x:c>
      <x:c r="T324" s="12" t="str">
        <x:v>106</x:v>
      </x:c>
      <x:c r="U324" s="16" t="str">
        <x:v>1.0</x:v>
      </x:c>
      <x:c r="V324" s="18" t="str">
        <x:v>0.5199110507965088</x:v>
      </x:c>
      <x:c r="W324" s="18" t="str">
        <x:v>0.5800066292285919</x:v>
      </x:c>
      <x:c r="X324" s="18" t="str">
        <x:v>0.6859304308891296</x:v>
      </x:c>
      <x:c r="Y324" s="18" t="str">
        <x:v>0.669903039932251</x:v>
      </x:c>
      <x:c r="Z324" s="18" t="str">
        <x:v>0.8367381691932678</x:v>
      </x:c>
      <x:c r="AA324" s="18" t="str">
        <x:v>0.9115699529647827</x:v>
      </x:c>
      <x:c r="AB324" s="20" t="str">
        <x:v>108.90339999969001</x:v>
      </x:c>
      <x:c r="AC324" s="12" t="str">
        <x:v>overlays\surprise_023.png</x:v>
      </x:c>
      <x:c r="AD324" s="12" t="str"/>
      <x:c r="AE324" s="12" t="str"/>
      <x:c r="AF324" s="12" t="str">
        <x:v>acceptable</x:v>
      </x:c>
      <x:c r="AG324" s="12" t="n">
        <x:v>1</x:v>
      </x:c>
      <x:c r="AH324" s="12" t="str">
        <x:v>acceptable</x:v>
      </x:c>
      <x:c r="AI324" s="12" t="str">
        <x:v>acceptable</x:v>
      </x:c>
      <x:c r="AJ324" s="12" t="str">
        <x:v>acceptable</x:v>
      </x:c>
      <x:c r="AK324" s="12" t="str">
        <x:v>acceptable</x:v>
      </x:c>
      <x:c r="AL324" s="12" t="str">
        <x:v>mild</x:v>
      </x:c>
      <x:c r="AM324" s="14" t="str">
        <x:v>Moderate pose, crop, or image degradation causes minor landmark uncertainty; the result remains usable.</x:v>
      </x:c>
    </x:row>
    <x:row r="325" ht="30" customHeight="1">
      <x:c r="A325" s="12" t="str">
        <x:v>surprise_024</x:v>
      </x:c>
      <x:c r="B325" s="12" t="str">
        <x:v>surprise</x:v>
      </x:c>
      <x:c r="C325" s="14" t="str">
        <x:v>surprise/Training_17718809.jpg</x:v>
      </x:c>
      <x:c r="D325" s="12" t="str">
        <x:v>6cf637f9f28b23a13b8f00dcce1551e2f76f0313e0efbfee8fc2a4bc4f4dd0cb</x:v>
      </x:c>
      <x:c r="E325" s="12" t="str">
        <x:v>6cf637f9f28b23a13b8f00dcce1551e2f76f0313e0efbfee8fc2a4bc4f4dd0cb</x:v>
      </x:c>
      <x:c r="F325" s="12" t="str">
        <x:v>True</x:v>
      </x:c>
      <x:c r="G325" s="12" t="str">
        <x:v>48</x:v>
      </x:c>
      <x:c r="H325" s="12" t="str">
        <x:v>48</x:v>
      </x:c>
      <x:c r="I325" s="12" t="str">
        <x:v>0.0</x:v>
      </x:c>
      <x:c r="J325" s="12" t="str">
        <x:v>0.0</x:v>
      </x:c>
      <x:c r="K325" s="12" t="str">
        <x:v>47.0</x:v>
      </x:c>
      <x:c r="L325" s="12" t="str">
        <x:v>47.0</x:v>
      </x:c>
      <x:c r="M325" s="12" t="str">
        <x:v>True</x:v>
      </x:c>
      <x:c r="N325" s="12" t="str">
        <x:v>106</x:v>
      </x:c>
      <x:c r="O325" s="12" t="str">
        <x:v>106</x:v>
      </x:c>
      <x:c r="P325" s="16" t="str">
        <x:v>1.0</x:v>
      </x:c>
      <x:c r="Q325" s="12" t="str">
        <x:v>106</x:v>
      </x:c>
      <x:c r="R325" s="16" t="str">
        <x:v>1.0</x:v>
      </x:c>
      <x:c r="S325" s="12" t="str">
        <x:v>0.2</x:v>
      </x:c>
      <x:c r="T325" s="12" t="str">
        <x:v>106</x:v>
      </x:c>
      <x:c r="U325" s="16" t="str">
        <x:v>1.0</x:v>
      </x:c>
      <x:c r="V325" s="18" t="str">
        <x:v>0.5410778522491455</x:v>
      </x:c>
      <x:c r="W325" s="18" t="str">
        <x:v>0.6101502776145935</x:v>
      </x:c>
      <x:c r="X325" s="18" t="str">
        <x:v>0.7525517344474792</x:v>
      </x:c>
      <x:c r="Y325" s="18" t="str">
        <x:v>0.7617346048355103</x:v>
      </x:c>
      <x:c r="Z325" s="18" t="str">
        <x:v>0.8838777542114258</x:v>
      </x:c>
      <x:c r="AA325" s="18" t="str">
        <x:v>1.029740333557129</x:v>
      </x:c>
      <x:c r="AB325" s="20" t="str">
        <x:v>111.22189999878174</x:v>
      </x:c>
      <x:c r="AC325" s="12" t="str">
        <x:v>overlays\surprise_024.png</x:v>
      </x:c>
      <x:c r="AD325" s="12" t="str"/>
      <x:c r="AE325" s="12" t="str"/>
      <x:c r="AF325" s="12" t="str">
        <x:v>good</x:v>
      </x:c>
      <x:c r="AG325" s="12" t="n">
        <x:v>1</x:v>
      </x:c>
      <x:c r="AH325" s="12" t="str">
        <x:v>good</x:v>
      </x:c>
      <x:c r="AI325" s="12" t="str">
        <x:v>good</x:v>
      </x:c>
      <x:c r="AJ325" s="12" t="str">
        <x:v>good</x:v>
      </x:c>
      <x:c r="AK325" s="12" t="str">
        <x:v>good</x:v>
      </x:c>
      <x:c r="AL325" s="12" t="str">
        <x:v>none</x:v>
      </x:c>
      <x:c r="AM325" s="14" t="str">
        <x:v>Clear and well-aligned facial landmarks with no major pose, crop, or occlusion issue.</x:v>
      </x:c>
    </x:row>
    <x:row r="326" ht="30" customHeight="1">
      <x:c r="A326" s="12" t="str">
        <x:v>surprise_025</x:v>
      </x:c>
      <x:c r="B326" s="12" t="str">
        <x:v>surprise</x:v>
      </x:c>
      <x:c r="C326" s="14" t="str">
        <x:v>surprise/Training_88092704.jpg</x:v>
      </x:c>
      <x:c r="D326" s="12" t="str">
        <x:v>943009c6bf2d613ba2dd2a589453c506c467c2f2483c7ad940b8f47505524283</x:v>
      </x:c>
      <x:c r="E326" s="12" t="str">
        <x:v>943009c6bf2d613ba2dd2a589453c506c467c2f2483c7ad940b8f47505524283</x:v>
      </x:c>
      <x:c r="F326" s="12" t="str">
        <x:v>True</x:v>
      </x:c>
      <x:c r="G326" s="12" t="str">
        <x:v>48</x:v>
      </x:c>
      <x:c r="H326" s="12" t="str">
        <x:v>48</x:v>
      </x:c>
      <x:c r="I326" s="12" t="str">
        <x:v>0.0</x:v>
      </x:c>
      <x:c r="J326" s="12" t="str">
        <x:v>0.0</x:v>
      </x:c>
      <x:c r="K326" s="12" t="str">
        <x:v>47.0</x:v>
      </x:c>
      <x:c r="L326" s="12" t="str">
        <x:v>47.0</x:v>
      </x:c>
      <x:c r="M326" s="12" t="str">
        <x:v>True</x:v>
      </x:c>
      <x:c r="N326" s="12" t="str">
        <x:v>106</x:v>
      </x:c>
      <x:c r="O326" s="12" t="str">
        <x:v>106</x:v>
      </x:c>
      <x:c r="P326" s="16" t="str">
        <x:v>1.0</x:v>
      </x:c>
      <x:c r="Q326" s="12" t="str">
        <x:v>93</x:v>
      </x:c>
      <x:c r="R326" s="16" t="str">
        <x:v>0.8773584905660378</x:v>
      </x:c>
      <x:c r="S326" s="12" t="str">
        <x:v>0.2</x:v>
      </x:c>
      <x:c r="T326" s="12" t="str">
        <x:v>106</x:v>
      </x:c>
      <x:c r="U326" s="16" t="str">
        <x:v>1.0</x:v>
      </x:c>
      <x:c r="V326" s="18" t="str">
        <x:v>0.30225783586502075</x:v>
      </x:c>
      <x:c r="W326" s="18" t="str">
        <x:v>0.427344411611557</x:v>
      </x:c>
      <x:c r="X326" s="18" t="str">
        <x:v>0.5916829109191895</x:v>
      </x:c>
      <x:c r="Y326" s="18" t="str">
        <x:v>0.5762652158737183</x:v>
      </x:c>
      <x:c r="Z326" s="18" t="str">
        <x:v>0.8065312802791595</x:v>
      </x:c>
      <x:c r="AA326" s="18" t="str">
        <x:v>0.8544958829879761</x:v>
      </x:c>
      <x:c r="AB326" s="20" t="str">
        <x:v>113.20139999952517</x:v>
      </x:c>
      <x:c r="AC326" s="12" t="str">
        <x:v>overlays\surprise_025.png</x:v>
      </x:c>
      <x:c r="AD326" s="12" t="str"/>
      <x:c r="AE326" s="12" t="str"/>
      <x:c r="AF326" s="12" t="str">
        <x:v>acceptable</x:v>
      </x:c>
      <x:c r="AG326" s="12" t="n">
        <x:v>1</x:v>
      </x:c>
      <x:c r="AH326" s="12" t="str">
        <x:v>acceptable</x:v>
      </x:c>
      <x:c r="AI326" s="12" t="str">
        <x:v>acceptable</x:v>
      </x:c>
      <x:c r="AJ326" s="12" t="str">
        <x:v>acceptable</x:v>
      </x:c>
      <x:c r="AK326" s="12" t="str">
        <x:v>acceptable</x:v>
      </x:c>
      <x:c r="AL326" s="12" t="str">
        <x:v>mild</x:v>
      </x:c>
      <x:c r="AM326" s="14" t="str">
        <x:v>Moderate pose, crop, or image degradation causes minor landmark uncertainty; the result remains usable.</x:v>
      </x:c>
    </x:row>
    <x:row r="327" ht="30" customHeight="1">
      <x:c r="A327" s="12" t="str">
        <x:v>surprise_026</x:v>
      </x:c>
      <x:c r="B327" s="12" t="str">
        <x:v>surprise</x:v>
      </x:c>
      <x:c r="C327" s="14" t="str">
        <x:v>surprise/Training_37479297.jpg</x:v>
      </x:c>
      <x:c r="D327" s="12" t="str">
        <x:v>fb2a6f18f285dc54b76dc753e358f5d9579729da198546973300a999935a9912</x:v>
      </x:c>
      <x:c r="E327" s="12" t="str">
        <x:v>fb2a6f18f285dc54b76dc753e358f5d9579729da198546973300a999935a9912</x:v>
      </x:c>
      <x:c r="F327" s="12" t="str">
        <x:v>True</x:v>
      </x:c>
      <x:c r="G327" s="12" t="str">
        <x:v>48</x:v>
      </x:c>
      <x:c r="H327" s="12" t="str">
        <x:v>48</x:v>
      </x:c>
      <x:c r="I327" s="12" t="str">
        <x:v>0.0</x:v>
      </x:c>
      <x:c r="J327" s="12" t="str">
        <x:v>0.0</x:v>
      </x:c>
      <x:c r="K327" s="12" t="str">
        <x:v>47.0</x:v>
      </x:c>
      <x:c r="L327" s="12" t="str">
        <x:v>47.0</x:v>
      </x:c>
      <x:c r="M327" s="12" t="str">
        <x:v>True</x:v>
      </x:c>
      <x:c r="N327" s="12" t="str">
        <x:v>106</x:v>
      </x:c>
      <x:c r="O327" s="12" t="str">
        <x:v>106</x:v>
      </x:c>
      <x:c r="P327" s="16" t="str">
        <x:v>1.0</x:v>
      </x:c>
      <x:c r="Q327" s="12" t="str">
        <x:v>98</x:v>
      </x:c>
      <x:c r="R327" s="16" t="str">
        <x:v>0.9245283018867925</x:v>
      </x:c>
      <x:c r="S327" s="12" t="str">
        <x:v>0.2</x:v>
      </x:c>
      <x:c r="T327" s="12" t="str">
        <x:v>106</x:v>
      </x:c>
      <x:c r="U327" s="16" t="str">
        <x:v>1.0</x:v>
      </x:c>
      <x:c r="V327" s="18" t="str">
        <x:v>0.3127031624317169</x:v>
      </x:c>
      <x:c r="W327" s="18" t="str">
        <x:v>0.3981948643922806</x:v>
      </x:c>
      <x:c r="X327" s="18" t="str">
        <x:v>0.5849717259407043</x:v>
      </x:c>
      <x:c r="Y327" s="18" t="str">
        <x:v>0.5654537677764893</x:v>
      </x:c>
      <x:c r="Z327" s="18" t="str">
        <x:v>0.8057553768157959</x:v>
      </x:c>
      <x:c r="AA327" s="18" t="str">
        <x:v>0.888617992401123</x:v>
      </x:c>
      <x:c r="AB327" s="20" t="str">
        <x:v>116.50820000068052</x:v>
      </x:c>
      <x:c r="AC327" s="12" t="str">
        <x:v>overlays\surprise_026.png</x:v>
      </x:c>
      <x:c r="AD327" s="12" t="str"/>
      <x:c r="AE327" s="12" t="str"/>
      <x:c r="AF327" s="12" t="str">
        <x:v>good</x:v>
      </x:c>
      <x:c r="AG327" s="12" t="n">
        <x:v>1</x:v>
      </x:c>
      <x:c r="AH327" s="12" t="str">
        <x:v>good</x:v>
      </x:c>
      <x:c r="AI327" s="12" t="str">
        <x:v>good</x:v>
      </x:c>
      <x:c r="AJ327" s="12" t="str">
        <x:v>good</x:v>
      </x:c>
      <x:c r="AK327" s="12" t="str">
        <x:v>good</x:v>
      </x:c>
      <x:c r="AL327" s="12" t="str">
        <x:v>none</x:v>
      </x:c>
      <x:c r="AM327" s="14" t="str">
        <x:v>Clear and well-aligned facial landmarks with no major pose, crop, or occlusion issue.</x:v>
      </x:c>
    </x:row>
    <x:row r="328" ht="30" customHeight="1">
      <x:c r="A328" s="12" t="str">
        <x:v>surprise_027</x:v>
      </x:c>
      <x:c r="B328" s="12" t="str">
        <x:v>surprise</x:v>
      </x:c>
      <x:c r="C328" s="14" t="str">
        <x:v>surprise/Training_57636357.jpg</x:v>
      </x:c>
      <x:c r="D328" s="12" t="str">
        <x:v>53cc4575dfea9ff14fdbc2ad8b1f92c32a24e80bbff6994837dc3113cf48b4d1</x:v>
      </x:c>
      <x:c r="E328" s="12" t="str">
        <x:v>53cc4575dfea9ff14fdbc2ad8b1f92c32a24e80bbff6994837dc3113cf48b4d1</x:v>
      </x:c>
      <x:c r="F328" s="12" t="str">
        <x:v>True</x:v>
      </x:c>
      <x:c r="G328" s="12" t="str">
        <x:v>48</x:v>
      </x:c>
      <x:c r="H328" s="12" t="str">
        <x:v>48</x:v>
      </x:c>
      <x:c r="I328" s="12" t="str">
        <x:v>0.0</x:v>
      </x:c>
      <x:c r="J328" s="12" t="str">
        <x:v>0.0</x:v>
      </x:c>
      <x:c r="K328" s="12" t="str">
        <x:v>47.0</x:v>
      </x:c>
      <x:c r="L328" s="12" t="str">
        <x:v>47.0</x:v>
      </x:c>
      <x:c r="M328" s="12" t="str">
        <x:v>True</x:v>
      </x:c>
      <x:c r="N328" s="12" t="str">
        <x:v>106</x:v>
      </x:c>
      <x:c r="O328" s="12" t="str">
        <x:v>106</x:v>
      </x:c>
      <x:c r="P328" s="16" t="str">
        <x:v>1.0</x:v>
      </x:c>
      <x:c r="Q328" s="12" t="str">
        <x:v>101</x:v>
      </x:c>
      <x:c r="R328" s="16" t="str">
        <x:v>0.9528301886792453</x:v>
      </x:c>
      <x:c r="S328" s="12" t="str">
        <x:v>0.2</x:v>
      </x:c>
      <x:c r="T328" s="12" t="str">
        <x:v>106</x:v>
      </x:c>
      <x:c r="U328" s="16" t="str">
        <x:v>1.0</x:v>
      </x:c>
      <x:c r="V328" s="18" t="str">
        <x:v>0.41899240016937256</x:v>
      </x:c>
      <x:c r="W328" s="18" t="str">
        <x:v>0.46853309869766235</x:v>
      </x:c>
      <x:c r="X328" s="18" t="str">
        <x:v>0.5984347462654114</x:v>
      </x:c>
      <x:c r="Y328" s="18" t="str">
        <x:v>0.5875740051269531</x:v>
      </x:c>
      <x:c r="Z328" s="18" t="str">
        <x:v>0.7834706902503967</x:v>
      </x:c>
      <x:c r="AA328" s="18" t="str">
        <x:v>0.8666834831237793</x:v>
      </x:c>
      <x:c r="AB328" s="20" t="str">
        <x:v>111.78920000020298</x:v>
      </x:c>
      <x:c r="AC328" s="12" t="str">
        <x:v>overlays\surprise_027.png</x:v>
      </x:c>
      <x:c r="AD328" s="12" t="str"/>
      <x:c r="AE328" s="12" t="str"/>
      <x:c r="AF328" s="12" t="str">
        <x:v>good</x:v>
      </x:c>
      <x:c r="AG328" s="12" t="n">
        <x:v>1</x:v>
      </x:c>
      <x:c r="AH328" s="12" t="str">
        <x:v>good</x:v>
      </x:c>
      <x:c r="AI328" s="12" t="str">
        <x:v>good</x:v>
      </x:c>
      <x:c r="AJ328" s="12" t="str">
        <x:v>good</x:v>
      </x:c>
      <x:c r="AK328" s="12" t="str">
        <x:v>good</x:v>
      </x:c>
      <x:c r="AL328" s="12" t="str">
        <x:v>none</x:v>
      </x:c>
      <x:c r="AM328" s="14" t="str">
        <x:v>Clear and well-aligned facial landmarks with no major pose, crop, or occlusion issue.</x:v>
      </x:c>
    </x:row>
    <x:row r="329" ht="30" customHeight="1">
      <x:c r="A329" s="12" t="str">
        <x:v>surprise_028</x:v>
      </x:c>
      <x:c r="B329" s="12" t="str">
        <x:v>surprise</x:v>
      </x:c>
      <x:c r="C329" s="14" t="str">
        <x:v>surprise/Training_23930604.jpg</x:v>
      </x:c>
      <x:c r="D329" s="12" t="str">
        <x:v>a6dd818fa3ee60cae569a91a9b937542bd2ca7b4eab6123bda8baae88e1c9d6c</x:v>
      </x:c>
      <x:c r="E329" s="12" t="str">
        <x:v>a6dd818fa3ee60cae569a91a9b937542bd2ca7b4eab6123bda8baae88e1c9d6c</x:v>
      </x:c>
      <x:c r="F329" s="12" t="str">
        <x:v>True</x:v>
      </x:c>
      <x:c r="G329" s="12" t="str">
        <x:v>48</x:v>
      </x:c>
      <x:c r="H329" s="12" t="str">
        <x:v>48</x:v>
      </x:c>
      <x:c r="I329" s="12" t="str">
        <x:v>0.0</x:v>
      </x:c>
      <x:c r="J329" s="12" t="str">
        <x:v>0.0</x:v>
      </x:c>
      <x:c r="K329" s="12" t="str">
        <x:v>47.0</x:v>
      </x:c>
      <x:c r="L329" s="12" t="str">
        <x:v>47.0</x:v>
      </x:c>
      <x:c r="M329" s="12" t="str">
        <x:v>True</x:v>
      </x:c>
      <x:c r="N329" s="12" t="str">
        <x:v>106</x:v>
      </x:c>
      <x:c r="O329" s="12" t="str">
        <x:v>106</x:v>
      </x:c>
      <x:c r="P329" s="16" t="str">
        <x:v>1.0</x:v>
      </x:c>
      <x:c r="Q329" s="12" t="str">
        <x:v>99</x:v>
      </x:c>
      <x:c r="R329" s="16" t="str">
        <x:v>0.9339622641509434</x:v>
      </x:c>
      <x:c r="S329" s="12" t="str">
        <x:v>0.2</x:v>
      </x:c>
      <x:c r="T329" s="12" t="str">
        <x:v>106</x:v>
      </x:c>
      <x:c r="U329" s="16" t="str">
        <x:v>1.0</x:v>
      </x:c>
      <x:c r="V329" s="18" t="str">
        <x:v>0.4172554612159729</x:v>
      </x:c>
      <x:c r="W329" s="18" t="str">
        <x:v>0.47642606496810913</x:v>
      </x:c>
      <x:c r="X329" s="18" t="str">
        <x:v>0.5826018452644348</x:v>
      </x:c>
      <x:c r="Y329" s="18" t="str">
        <x:v>0.5763822793960571</x:v>
      </x:c>
      <x:c r="Z329" s="18" t="str">
        <x:v>0.7452958226203918</x:v>
      </x:c>
      <x:c r="AA329" s="18" t="str">
        <x:v>0.8215650916099548</x:v>
      </x:c>
      <x:c r="AB329" s="20" t="str">
        <x:v>119.86539999998058</x:v>
      </x:c>
      <x:c r="AC329" s="12" t="str">
        <x:v>overlays\surprise_028.png</x:v>
      </x:c>
      <x:c r="AD329" s="12" t="str"/>
      <x:c r="AE329" s="12" t="str"/>
      <x:c r="AF329" s="12" t="str">
        <x:v>good</x:v>
      </x:c>
      <x:c r="AG329" s="12" t="n">
        <x:v>1</x:v>
      </x:c>
      <x:c r="AH329" s="12" t="str">
        <x:v>good</x:v>
      </x:c>
      <x:c r="AI329" s="12" t="str">
        <x:v>good</x:v>
      </x:c>
      <x:c r="AJ329" s="12" t="str">
        <x:v>good</x:v>
      </x:c>
      <x:c r="AK329" s="12" t="str">
        <x:v>good</x:v>
      </x:c>
      <x:c r="AL329" s="12" t="str">
        <x:v>none</x:v>
      </x:c>
      <x:c r="AM329" s="14" t="str">
        <x:v>Clear and well-aligned facial landmarks with no major pose, crop, or occlusion issue.</x:v>
      </x:c>
    </x:row>
    <x:row r="330" ht="30" customHeight="1">
      <x:c r="A330" s="12" t="str">
        <x:v>surprise_029</x:v>
      </x:c>
      <x:c r="B330" s="12" t="str">
        <x:v>surprise</x:v>
      </x:c>
      <x:c r="C330" s="14" t="str">
        <x:v>surprise/Training_75662418.jpg</x:v>
      </x:c>
      <x:c r="D330" s="12" t="str">
        <x:v>927dc1c158801e33cfb058d0dd782fd87233105b381674ce743c8a0a5a61a946</x:v>
      </x:c>
      <x:c r="E330" s="12" t="str">
        <x:v>927dc1c158801e33cfb058d0dd782fd87233105b381674ce743c8a0a5a61a946</x:v>
      </x:c>
      <x:c r="F330" s="12" t="str">
        <x:v>True</x:v>
      </x:c>
      <x:c r="G330" s="12" t="str">
        <x:v>48</x:v>
      </x:c>
      <x:c r="H330" s="12" t="str">
        <x:v>48</x:v>
      </x:c>
      <x:c r="I330" s="12" t="str">
        <x:v>0.0</x:v>
      </x:c>
      <x:c r="J330" s="12" t="str">
        <x:v>0.0</x:v>
      </x:c>
      <x:c r="K330" s="12" t="str">
        <x:v>47.0</x:v>
      </x:c>
      <x:c r="L330" s="12" t="str">
        <x:v>47.0</x:v>
      </x:c>
      <x:c r="M330" s="12" t="str">
        <x:v>True</x:v>
      </x:c>
      <x:c r="N330" s="12" t="str">
        <x:v>106</x:v>
      </x:c>
      <x:c r="O330" s="12" t="str">
        <x:v>106</x:v>
      </x:c>
      <x:c r="P330" s="16" t="str">
        <x:v>1.0</x:v>
      </x:c>
      <x:c r="Q330" s="12" t="str">
        <x:v>106</x:v>
      </x:c>
      <x:c r="R330" s="16" t="str">
        <x:v>1.0</x:v>
      </x:c>
      <x:c r="S330" s="12" t="str">
        <x:v>0.2</x:v>
      </x:c>
      <x:c r="T330" s="12" t="str">
        <x:v>106</x:v>
      </x:c>
      <x:c r="U330" s="16" t="str">
        <x:v>1.0</x:v>
      </x:c>
      <x:c r="V330" s="18" t="str">
        <x:v>0.5367532968521118</x:v>
      </x:c>
      <x:c r="W330" s="18" t="str">
        <x:v>0.6127330362796783</x:v>
      </x:c>
      <x:c r="X330" s="18" t="str">
        <x:v>0.7348284721374512</x:v>
      </x:c>
      <x:c r="Y330" s="18" t="str">
        <x:v>0.7425522804260254</x:v>
      </x:c>
      <x:c r="Z330" s="18" t="str">
        <x:v>0.8785703778266907</x:v>
      </x:c>
      <x:c r="AA330" s="18" t="str">
        <x:v>0.9323943853378296</x:v>
      </x:c>
      <x:c r="AB330" s="20" t="str">
        <x:v>126.83330000072601</x:v>
      </x:c>
      <x:c r="AC330" s="12" t="str">
        <x:v>overlays\surprise_029.png</x:v>
      </x:c>
      <x:c r="AD330" s="12" t="str"/>
      <x:c r="AE330" s="12" t="str"/>
      <x:c r="AF330" s="12" t="str">
        <x:v>acceptable</x:v>
      </x:c>
      <x:c r="AG330" s="12" t="n">
        <x:v>1</x:v>
      </x:c>
      <x:c r="AH330" s="12" t="str">
        <x:v>occluded</x:v>
      </x:c>
      <x:c r="AI330" s="12" t="str">
        <x:v>occluded</x:v>
      </x:c>
      <x:c r="AJ330" s="12" t="str">
        <x:v>acceptable</x:v>
      </x:c>
      <x:c r="AK330" s="12" t="str">
        <x:v>not_applicable</x:v>
      </x:c>
      <x:c r="AL330" s="12" t="str">
        <x:v>mild</x:v>
      </x:c>
      <x:c r="AM330" s="14" t="str">
        <x:v>Occlusion affects part of the face; visible landmarks remain usable, but hidden points are inferred.</x:v>
      </x:c>
    </x:row>
    <x:row r="331" ht="30" customHeight="1">
      <x:c r="A331" s="12" t="str">
        <x:v>surprise_030</x:v>
      </x:c>
      <x:c r="B331" s="12" t="str">
        <x:v>surprise</x:v>
      </x:c>
      <x:c r="C331" s="14" t="str">
        <x:v>surprise/Training_38697129.jpg</x:v>
      </x:c>
      <x:c r="D331" s="12" t="str">
        <x:v>52a1f34e91adf6bbf30896830309300a78d570d776349b96b85eef6e9eb49165</x:v>
      </x:c>
      <x:c r="E331" s="12" t="str">
        <x:v>52a1f34e91adf6bbf30896830309300a78d570d776349b96b85eef6e9eb49165</x:v>
      </x:c>
      <x:c r="F331" s="12" t="str">
        <x:v>True</x:v>
      </x:c>
      <x:c r="G331" s="12" t="str">
        <x:v>48</x:v>
      </x:c>
      <x:c r="H331" s="12" t="str">
        <x:v>48</x:v>
      </x:c>
      <x:c r="I331" s="12" t="str">
        <x:v>0.0</x:v>
      </x:c>
      <x:c r="J331" s="12" t="str">
        <x:v>0.0</x:v>
      </x:c>
      <x:c r="K331" s="12" t="str">
        <x:v>47.0</x:v>
      </x:c>
      <x:c r="L331" s="12" t="str">
        <x:v>47.0</x:v>
      </x:c>
      <x:c r="M331" s="12" t="str">
        <x:v>True</x:v>
      </x:c>
      <x:c r="N331" s="12" t="str">
        <x:v>106</x:v>
      </x:c>
      <x:c r="O331" s="12" t="str">
        <x:v>106</x:v>
      </x:c>
      <x:c r="P331" s="16" t="str">
        <x:v>1.0</x:v>
      </x:c>
      <x:c r="Q331" s="12" t="str">
        <x:v>106</x:v>
      </x:c>
      <x:c r="R331" s="16" t="str">
        <x:v>1.0</x:v>
      </x:c>
      <x:c r="S331" s="12" t="str">
        <x:v>0.2</x:v>
      </x:c>
      <x:c r="T331" s="12" t="str">
        <x:v>106</x:v>
      </x:c>
      <x:c r="U331" s="16" t="str">
        <x:v>1.0</x:v>
      </x:c>
      <x:c r="V331" s="18" t="str">
        <x:v>0.49534910917282104</x:v>
      </x:c>
      <x:c r="W331" s="18" t="str">
        <x:v>0.6141571402549744</x:v>
      </x:c>
      <x:c r="X331" s="18" t="str">
        <x:v>0.7322860360145569</x:v>
      </x:c>
      <x:c r="Y331" s="18" t="str">
        <x:v>0.7367430329322815</x:v>
      </x:c>
      <x:c r="Z331" s="18" t="str">
        <x:v>0.8685024082660675</x:v>
      </x:c>
      <x:c r="AA331" s="18" t="str">
        <x:v>0.9960267543792725</x:v>
      </x:c>
      <x:c r="AB331" s="20" t="str">
        <x:v>111.10800000096788</x:v>
      </x:c>
      <x:c r="AC331" s="12" t="str">
        <x:v>overlays\surprise_030.png</x:v>
      </x:c>
      <x:c r="AD331" s="12" t="str"/>
      <x:c r="AE331" s="12" t="str"/>
      <x:c r="AF331" s="12" t="str">
        <x:v>good</x:v>
      </x:c>
      <x:c r="AG331" s="12" t="n">
        <x:v>1</x:v>
      </x:c>
      <x:c r="AH331" s="12" t="str">
        <x:v>good</x:v>
      </x:c>
      <x:c r="AI331" s="12" t="str">
        <x:v>good</x:v>
      </x:c>
      <x:c r="AJ331" s="12" t="str">
        <x:v>good</x:v>
      </x:c>
      <x:c r="AK331" s="12" t="str">
        <x:v>good</x:v>
      </x:c>
      <x:c r="AL331" s="12" t="str">
        <x:v>none</x:v>
      </x:c>
      <x:c r="AM331" s="14" t="str">
        <x:v>Clear and well-aligned facial landmarks with no major pose, crop, or occlusion issue.</x:v>
      </x:c>
    </x:row>
    <x:row r="332" ht="30" customHeight="1">
      <x:c r="A332" s="12" t="str">
        <x:v>surprise_031</x:v>
      </x:c>
      <x:c r="B332" s="12" t="str">
        <x:v>surprise</x:v>
      </x:c>
      <x:c r="C332" s="14" t="str">
        <x:v>surprise/Training_76519158.jpg</x:v>
      </x:c>
      <x:c r="D332" s="12" t="str">
        <x:v>ab41124370fe2af6bf4b11ebd0a554363016a7d5aa78642ca7d97b84d67c72b9</x:v>
      </x:c>
      <x:c r="E332" s="12" t="str">
        <x:v>ab41124370fe2af6bf4b11ebd0a554363016a7d5aa78642ca7d97b84d67c72b9</x:v>
      </x:c>
      <x:c r="F332" s="12" t="str">
        <x:v>True</x:v>
      </x:c>
      <x:c r="G332" s="12" t="str">
        <x:v>48</x:v>
      </x:c>
      <x:c r="H332" s="12" t="str">
        <x:v>48</x:v>
      </x:c>
      <x:c r="I332" s="12" t="str">
        <x:v>0.0</x:v>
      </x:c>
      <x:c r="J332" s="12" t="str">
        <x:v>0.0</x:v>
      </x:c>
      <x:c r="K332" s="12" t="str">
        <x:v>47.0</x:v>
      </x:c>
      <x:c r="L332" s="12" t="str">
        <x:v>47.0</x:v>
      </x:c>
      <x:c r="M332" s="12" t="str">
        <x:v>True</x:v>
      </x:c>
      <x:c r="N332" s="12" t="str">
        <x:v>106</x:v>
      </x:c>
      <x:c r="O332" s="12" t="str">
        <x:v>106</x:v>
      </x:c>
      <x:c r="P332" s="16" t="str">
        <x:v>1.0</x:v>
      </x:c>
      <x:c r="Q332" s="12" t="str">
        <x:v>89</x:v>
      </x:c>
      <x:c r="R332" s="16" t="str">
        <x:v>0.839622641509434</x:v>
      </x:c>
      <x:c r="S332" s="12" t="str">
        <x:v>0.2</x:v>
      </x:c>
      <x:c r="T332" s="12" t="str">
        <x:v>106</x:v>
      </x:c>
      <x:c r="U332" s="16" t="str">
        <x:v>1.0</x:v>
      </x:c>
      <x:c r="V332" s="18" t="str">
        <x:v>0.4065854549407959</x:v>
      </x:c>
      <x:c r="W332" s="18" t="str">
        <x:v>0.4764348417520523</x:v>
      </x:c>
      <x:c r="X332" s="18" t="str">
        <x:v>0.5950021743774414</x:v>
      </x:c>
      <x:c r="Y332" s="18" t="str">
        <x:v>0.5737465023994446</x:v>
      </x:c>
      <x:c r="Z332" s="18" t="str">
        <x:v>0.7485436201095581</x:v>
      </x:c>
      <x:c r="AA332" s="18" t="str">
        <x:v>0.8635620474815369</x:v>
      </x:c>
      <x:c r="AB332" s="20" t="str">
        <x:v>108.74270000203978</x:v>
      </x:c>
      <x:c r="AC332" s="12" t="str">
        <x:v>overlays\surprise_031.png</x:v>
      </x:c>
      <x:c r="AD332" s="12" t="str"/>
      <x:c r="AE332" s="12" t="str"/>
      <x:c r="AF332" s="12" t="str">
        <x:v>acceptable</x:v>
      </x:c>
      <x:c r="AG332" s="12" t="n">
        <x:v>1</x:v>
      </x:c>
      <x:c r="AH332" s="12" t="str">
        <x:v>acceptable</x:v>
      </x:c>
      <x:c r="AI332" s="12" t="str">
        <x:v>acceptable</x:v>
      </x:c>
      <x:c r="AJ332" s="12" t="str">
        <x:v>acceptable</x:v>
      </x:c>
      <x:c r="AK332" s="12" t="str">
        <x:v>not_applicable</x:v>
      </x:c>
      <x:c r="AL332" s="12" t="str">
        <x:v>mild</x:v>
      </x:c>
      <x:c r="AM332" s="14" t="str">
        <x:v>Tight crop places several contour points outside the frame; central facial landmarks remain usable.</x:v>
      </x:c>
    </x:row>
    <x:row r="333" ht="30" customHeight="1">
      <x:c r="A333" s="12" t="str">
        <x:v>surprise_032</x:v>
      </x:c>
      <x:c r="B333" s="12" t="str">
        <x:v>surprise</x:v>
      </x:c>
      <x:c r="C333" s="14" t="str">
        <x:v>surprise/Training_78119452.jpg</x:v>
      </x:c>
      <x:c r="D333" s="12" t="str">
        <x:v>f55eac67bef13ecef9c5a8bf5dab2df185e51d39e462bd8a733f18ba3da2b211</x:v>
      </x:c>
      <x:c r="E333" s="12" t="str">
        <x:v>f55eac67bef13ecef9c5a8bf5dab2df185e51d39e462bd8a733f18ba3da2b211</x:v>
      </x:c>
      <x:c r="F333" s="12" t="str">
        <x:v>True</x:v>
      </x:c>
      <x:c r="G333" s="12" t="str">
        <x:v>48</x:v>
      </x:c>
      <x:c r="H333" s="12" t="str">
        <x:v>48</x:v>
      </x:c>
      <x:c r="I333" s="12" t="str">
        <x:v>0.0</x:v>
      </x:c>
      <x:c r="J333" s="12" t="str">
        <x:v>0.0</x:v>
      </x:c>
      <x:c r="K333" s="12" t="str">
        <x:v>47.0</x:v>
      </x:c>
      <x:c r="L333" s="12" t="str">
        <x:v>47.0</x:v>
      </x:c>
      <x:c r="M333" s="12" t="str">
        <x:v>True</x:v>
      </x:c>
      <x:c r="N333" s="12" t="str">
        <x:v>106</x:v>
      </x:c>
      <x:c r="O333" s="12" t="str">
        <x:v>106</x:v>
      </x:c>
      <x:c r="P333" s="16" t="str">
        <x:v>1.0</x:v>
      </x:c>
      <x:c r="Q333" s="12" t="str">
        <x:v>82</x:v>
      </x:c>
      <x:c r="R333" s="16" t="str">
        <x:v>0.7735849056603774</x:v>
      </x:c>
      <x:c r="S333" s="12" t="str">
        <x:v>0.2</x:v>
      </x:c>
      <x:c r="T333" s="12" t="str">
        <x:v>106</x:v>
      </x:c>
      <x:c r="U333" s="16" t="str">
        <x:v>1.0</x:v>
      </x:c>
      <x:c r="V333" s="18" t="str">
        <x:v>0.20939461886882782</x:v>
      </x:c>
      <x:c r="W333" s="18" t="str">
        <x:v>0.3202815502882004</x:v>
      </x:c>
      <x:c r="X333" s="18" t="str">
        <x:v>0.5004827380180359</x:v>
      </x:c>
      <x:c r="Y333" s="18" t="str">
        <x:v>0.47222304344177246</x:v>
      </x:c>
      <x:c r="Z333" s="18" t="str">
        <x:v>0.7454288601875305</x:v>
      </x:c>
      <x:c r="AA333" s="18" t="str">
        <x:v>0.7946755886077881</x:v>
      </x:c>
      <x:c r="AB333" s="20" t="str">
        <x:v>111.221300001489</x:v>
      </x:c>
      <x:c r="AC333" s="12" t="str">
        <x:v>overlays\surprise_032.png</x:v>
      </x:c>
      <x:c r="AD333" s="12" t="str"/>
      <x:c r="AE333" s="12" t="str"/>
      <x:c r="AF333" s="12" t="str">
        <x:v>acceptable</x:v>
      </x:c>
      <x:c r="AG333" s="12" t="n">
        <x:v>1</x:v>
      </x:c>
      <x:c r="AH333" s="12" t="str">
        <x:v>acceptable</x:v>
      </x:c>
      <x:c r="AI333" s="12" t="str">
        <x:v>acceptable</x:v>
      </x:c>
      <x:c r="AJ333" s="12" t="str">
        <x:v>acceptable</x:v>
      </x:c>
      <x:c r="AK333" s="12" t="str">
        <x:v>acceptable</x:v>
      </x:c>
      <x:c r="AL333" s="12" t="str">
        <x:v>mild</x:v>
      </x:c>
      <x:c r="AM333" s="14" t="str">
        <x:v>Tight crop places several contour points outside the frame; central facial landmarks remain usable.</x:v>
      </x:c>
    </x:row>
    <x:row r="334" ht="30" customHeight="1">
      <x:c r="A334" s="12" t="str">
        <x:v>surprise_033</x:v>
      </x:c>
      <x:c r="B334" s="12" t="str">
        <x:v>surprise</x:v>
      </x:c>
      <x:c r="C334" s="14" t="str">
        <x:v>surprise/Training_14413710.jpg</x:v>
      </x:c>
      <x:c r="D334" s="12" t="str">
        <x:v>626bfa77d4ed117cc4d03a138d6c53c02fce8c6336584c6c169d652ddbdf6d88</x:v>
      </x:c>
      <x:c r="E334" s="12" t="str">
        <x:v>626bfa77d4ed117cc4d03a138d6c53c02fce8c6336584c6c169d652ddbdf6d88</x:v>
      </x:c>
      <x:c r="F334" s="12" t="str">
        <x:v>True</x:v>
      </x:c>
      <x:c r="G334" s="12" t="str">
        <x:v>48</x:v>
      </x:c>
      <x:c r="H334" s="12" t="str">
        <x:v>48</x:v>
      </x:c>
      <x:c r="I334" s="12" t="str">
        <x:v>0.0</x:v>
      </x:c>
      <x:c r="J334" s="12" t="str">
        <x:v>0.0</x:v>
      </x:c>
      <x:c r="K334" s="12" t="str">
        <x:v>47.0</x:v>
      </x:c>
      <x:c r="L334" s="12" t="str">
        <x:v>47.0</x:v>
      </x:c>
      <x:c r="M334" s="12" t="str">
        <x:v>True</x:v>
      </x:c>
      <x:c r="N334" s="12" t="str">
        <x:v>106</x:v>
      </x:c>
      <x:c r="O334" s="12" t="str">
        <x:v>106</x:v>
      </x:c>
      <x:c r="P334" s="16" t="str">
        <x:v>1.0</x:v>
      </x:c>
      <x:c r="Q334" s="12" t="str">
        <x:v>98</x:v>
      </x:c>
      <x:c r="R334" s="16" t="str">
        <x:v>0.9245283018867925</x:v>
      </x:c>
      <x:c r="S334" s="12" t="str">
        <x:v>0.2</x:v>
      </x:c>
      <x:c r="T334" s="12" t="str">
        <x:v>106</x:v>
      </x:c>
      <x:c r="U334" s="16" t="str">
        <x:v>1.0</x:v>
      </x:c>
      <x:c r="V334" s="18" t="str">
        <x:v>0.3696611821651459</x:v>
      </x:c>
      <x:c r="W334" s="18" t="str">
        <x:v>0.47661952674388885</x:v>
      </x:c>
      <x:c r="X334" s="18" t="str">
        <x:v>0.6681827902793884</x:v>
      </x:c>
      <x:c r="Y334" s="18" t="str">
        <x:v>0.6323619484901428</x:v>
      </x:c>
      <x:c r="Z334" s="18" t="str">
        <x:v>0.8880461156368256</x:v>
      </x:c>
      <x:c r="AA334" s="18" t="str">
        <x:v>0.9447835683822632</x:v>
      </x:c>
      <x:c r="AB334" s="20" t="str">
        <x:v>109.62019999715267</x:v>
      </x:c>
      <x:c r="AC334" s="12" t="str">
        <x:v>overlays\surprise_033.png</x:v>
      </x:c>
      <x:c r="AD334" s="12" t="str"/>
      <x:c r="AE334" s="12" t="str"/>
      <x:c r="AF334" s="12" t="str">
        <x:v>good</x:v>
      </x:c>
      <x:c r="AG334" s="12" t="n">
        <x:v>1</x:v>
      </x:c>
      <x:c r="AH334" s="12" t="str">
        <x:v>good</x:v>
      </x:c>
      <x:c r="AI334" s="12" t="str">
        <x:v>good</x:v>
      </x:c>
      <x:c r="AJ334" s="12" t="str">
        <x:v>good</x:v>
      </x:c>
      <x:c r="AK334" s="12" t="str">
        <x:v>not_applicable</x:v>
      </x:c>
      <x:c r="AL334" s="12" t="str">
        <x:v>none</x:v>
      </x:c>
      <x:c r="AM334" s="14" t="str">
        <x:v>Clear and well-aligned facial landmarks with no major pose, crop, or occlusion issue.</x:v>
      </x:c>
    </x:row>
    <x:row r="335" ht="30" customHeight="1">
      <x:c r="A335" s="12" t="str">
        <x:v>surprise_034</x:v>
      </x:c>
      <x:c r="B335" s="12" t="str">
        <x:v>surprise</x:v>
      </x:c>
      <x:c r="C335" s="14" t="str">
        <x:v>surprise/Training_80844522.jpg</x:v>
      </x:c>
      <x:c r="D335" s="12" t="str">
        <x:v>7e1e19f846af122c50452e4b61ca56238746f94913b6edfb94e5ae864cce20d9</x:v>
      </x:c>
      <x:c r="E335" s="12" t="str">
        <x:v>7e1e19f846af122c50452e4b61ca56238746f94913b6edfb94e5ae864cce20d9</x:v>
      </x:c>
      <x:c r="F335" s="12" t="str">
        <x:v>True</x:v>
      </x:c>
      <x:c r="G335" s="12" t="str">
        <x:v>48</x:v>
      </x:c>
      <x:c r="H335" s="12" t="str">
        <x:v>48</x:v>
      </x:c>
      <x:c r="I335" s="12" t="str">
        <x:v>0.0</x:v>
      </x:c>
      <x:c r="J335" s="12" t="str">
        <x:v>0.0</x:v>
      </x:c>
      <x:c r="K335" s="12" t="str">
        <x:v>47.0</x:v>
      </x:c>
      <x:c r="L335" s="12" t="str">
        <x:v>47.0</x:v>
      </x:c>
      <x:c r="M335" s="12" t="str">
        <x:v>True</x:v>
      </x:c>
      <x:c r="N335" s="12" t="str">
        <x:v>106</x:v>
      </x:c>
      <x:c r="O335" s="12" t="str">
        <x:v>106</x:v>
      </x:c>
      <x:c r="P335" s="16" t="str">
        <x:v>1.0</x:v>
      </x:c>
      <x:c r="Q335" s="12" t="str">
        <x:v>97</x:v>
      </x:c>
      <x:c r="R335" s="16" t="str">
        <x:v>0.9150943396226415</x:v>
      </x:c>
      <x:c r="S335" s="12" t="str">
        <x:v>0.2</x:v>
      </x:c>
      <x:c r="T335" s="12" t="str">
        <x:v>106</x:v>
      </x:c>
      <x:c r="U335" s="16" t="str">
        <x:v>1.0</x:v>
      </x:c>
      <x:c r="V335" s="18" t="str">
        <x:v>0.4070313572883606</x:v>
      </x:c>
      <x:c r="W335" s="18" t="str">
        <x:v>0.487177312374115</x:v>
      </x:c>
      <x:c r="X335" s="18" t="str">
        <x:v>0.6164401769638062</x:v>
      </x:c>
      <x:c r="Y335" s="18" t="str">
        <x:v>0.5954455137252808</x:v>
      </x:c>
      <x:c r="Z335" s="18" t="str">
        <x:v>0.7921122610569</x:v>
      </x:c>
      <x:c r="AA335" s="18" t="str">
        <x:v>0.8819453716278076</x:v>
      </x:c>
      <x:c r="AB335" s="20" t="str">
        <x:v>114.79920000056154</x:v>
      </x:c>
      <x:c r="AC335" s="12" t="str">
        <x:v>overlays\surprise_034.png</x:v>
      </x:c>
      <x:c r="AD335" s="12" t="str"/>
      <x:c r="AE335" s="12" t="str"/>
      <x:c r="AF335" s="12" t="str">
        <x:v>acceptable</x:v>
      </x:c>
      <x:c r="AG335" s="12" t="n">
        <x:v>1</x:v>
      </x:c>
      <x:c r="AH335" s="12" t="str">
        <x:v>acceptable</x:v>
      </x:c>
      <x:c r="AI335" s="12" t="str">
        <x:v>acceptable</x:v>
      </x:c>
      <x:c r="AJ335" s="12" t="str">
        <x:v>occluded</x:v>
      </x:c>
      <x:c r="AK335" s="12" t="str">
        <x:v>acceptable</x:v>
      </x:c>
      <x:c r="AL335" s="12" t="str">
        <x:v>mild</x:v>
      </x:c>
      <x:c r="AM335" s="14" t="str">
        <x:v>Occlusion affects part of the face; visible landmarks remain usable, but hidden points are inferred.</x:v>
      </x:c>
    </x:row>
    <x:row r="336" ht="30" customHeight="1">
      <x:c r="A336" s="12" t="str">
        <x:v>surprise_035</x:v>
      </x:c>
      <x:c r="B336" s="12" t="str">
        <x:v>surprise</x:v>
      </x:c>
      <x:c r="C336" s="14" t="str">
        <x:v>surprise/Training_19085888.jpg</x:v>
      </x:c>
      <x:c r="D336" s="12" t="str">
        <x:v>2e87001ba0b104e5b5eb7e2000e05befb91c5c8771085e6c61bc8ac78457eb6b</x:v>
      </x:c>
      <x:c r="E336" s="12" t="str">
        <x:v>2e87001ba0b104e5b5eb7e2000e05befb91c5c8771085e6c61bc8ac78457eb6b</x:v>
      </x:c>
      <x:c r="F336" s="12" t="str">
        <x:v>True</x:v>
      </x:c>
      <x:c r="G336" s="12" t="str">
        <x:v>48</x:v>
      </x:c>
      <x:c r="H336" s="12" t="str">
        <x:v>48</x:v>
      </x:c>
      <x:c r="I336" s="12" t="str">
        <x:v>0.0</x:v>
      </x:c>
      <x:c r="J336" s="12" t="str">
        <x:v>0.0</x:v>
      </x:c>
      <x:c r="K336" s="12" t="str">
        <x:v>47.0</x:v>
      </x:c>
      <x:c r="L336" s="12" t="str">
        <x:v>47.0</x:v>
      </x:c>
      <x:c r="M336" s="12" t="str">
        <x:v>True</x:v>
      </x:c>
      <x:c r="N336" s="12" t="str">
        <x:v>106</x:v>
      </x:c>
      <x:c r="O336" s="12" t="str">
        <x:v>106</x:v>
      </x:c>
      <x:c r="P336" s="16" t="str">
        <x:v>1.0</x:v>
      </x:c>
      <x:c r="Q336" s="12" t="str">
        <x:v>98</x:v>
      </x:c>
      <x:c r="R336" s="16" t="str">
        <x:v>0.9245283018867925</x:v>
      </x:c>
      <x:c r="S336" s="12" t="str">
        <x:v>0.2</x:v>
      </x:c>
      <x:c r="T336" s="12" t="str">
        <x:v>106</x:v>
      </x:c>
      <x:c r="U336" s="16" t="str">
        <x:v>1.0</x:v>
      </x:c>
      <x:c r="V336" s="18" t="str">
        <x:v>0.47051751613616943</x:v>
      </x:c>
      <x:c r="W336" s="18" t="str">
        <x:v>0.5509168207645416</x:v>
      </x:c>
      <x:c r="X336" s="18" t="str">
        <x:v>0.6587364673614502</x:v>
      </x:c>
      <x:c r="Y336" s="18" t="str">
        <x:v>0.6588314771652222</x:v>
      </x:c>
      <x:c r="Z336" s="18" t="str">
        <x:v>0.7965238690376282</x:v>
      </x:c>
      <x:c r="AA336" s="18" t="str">
        <x:v>0.8962520360946655</x:v>
      </x:c>
      <x:c r="AB336" s="20" t="str">
        <x:v>130.22609999825363</x:v>
      </x:c>
      <x:c r="AC336" s="12" t="str">
        <x:v>overlays\surprise_035.png</x:v>
      </x:c>
      <x:c r="AD336" s="12" t="str"/>
      <x:c r="AE336" s="12" t="str"/>
      <x:c r="AF336" s="12" t="str">
        <x:v>good</x:v>
      </x:c>
      <x:c r="AG336" s="12" t="n">
        <x:v>1</x:v>
      </x:c>
      <x:c r="AH336" s="12" t="str">
        <x:v>good</x:v>
      </x:c>
      <x:c r="AI336" s="12" t="str">
        <x:v>good</x:v>
      </x:c>
      <x:c r="AJ336" s="12" t="str">
        <x:v>good</x:v>
      </x:c>
      <x:c r="AK336" s="12" t="str">
        <x:v>good</x:v>
      </x:c>
      <x:c r="AL336" s="12" t="str">
        <x:v>none</x:v>
      </x:c>
      <x:c r="AM336" s="14" t="str">
        <x:v>Clear and well-aligned facial landmarks with no major pose, crop, or occlusion issue.</x:v>
      </x:c>
    </x:row>
    <x:row r="337" ht="30" customHeight="1">
      <x:c r="A337" s="12" t="str">
        <x:v>surprise_036</x:v>
      </x:c>
      <x:c r="B337" s="12" t="str">
        <x:v>surprise</x:v>
      </x:c>
      <x:c r="C337" s="14" t="str">
        <x:v>surprise/Training_59291103.jpg</x:v>
      </x:c>
      <x:c r="D337" s="12" t="str">
        <x:v>726a99ff8d7eec7751df0149f4a0d1fb2b4755b4a4e97a93293aa40ca0fbd125</x:v>
      </x:c>
      <x:c r="E337" s="12" t="str">
        <x:v>726a99ff8d7eec7751df0149f4a0d1fb2b4755b4a4e97a93293aa40ca0fbd125</x:v>
      </x:c>
      <x:c r="F337" s="12" t="str">
        <x:v>True</x:v>
      </x:c>
      <x:c r="G337" s="12" t="str">
        <x:v>48</x:v>
      </x:c>
      <x:c r="H337" s="12" t="str">
        <x:v>48</x:v>
      </x:c>
      <x:c r="I337" s="12" t="str">
        <x:v>0.0</x:v>
      </x:c>
      <x:c r="J337" s="12" t="str">
        <x:v>0.0</x:v>
      </x:c>
      <x:c r="K337" s="12" t="str">
        <x:v>47.0</x:v>
      </x:c>
      <x:c r="L337" s="12" t="str">
        <x:v>47.0</x:v>
      </x:c>
      <x:c r="M337" s="12" t="str">
        <x:v>True</x:v>
      </x:c>
      <x:c r="N337" s="12" t="str">
        <x:v>106</x:v>
      </x:c>
      <x:c r="O337" s="12" t="str">
        <x:v>106</x:v>
      </x:c>
      <x:c r="P337" s="16" t="str">
        <x:v>1.0</x:v>
      </x:c>
      <x:c r="Q337" s="12" t="str">
        <x:v>100</x:v>
      </x:c>
      <x:c r="R337" s="16" t="str">
        <x:v>0.9433962264150944</x:v>
      </x:c>
      <x:c r="S337" s="12" t="str">
        <x:v>0.2</x:v>
      </x:c>
      <x:c r="T337" s="12" t="str">
        <x:v>106</x:v>
      </x:c>
      <x:c r="U337" s="16" t="str">
        <x:v>1.0</x:v>
      </x:c>
      <x:c r="V337" s="18" t="str">
        <x:v>0.5074824690818787</x:v>
      </x:c>
      <x:c r="W337" s="18" t="str">
        <x:v>0.5716771483421326</x:v>
      </x:c>
      <x:c r="X337" s="18" t="str">
        <x:v>0.7065051198005676</x:v>
      </x:c>
      <x:c r="Y337" s="18" t="str">
        <x:v>0.7051975727081299</x:v>
      </x:c>
      <x:c r="Z337" s="18" t="str">
        <x:v>0.8586469292640686</x:v>
      </x:c>
      <x:c r="AA337" s="18" t="str">
        <x:v>0.9071415662765503</x:v>
      </x:c>
      <x:c r="AB337" s="20" t="str">
        <x:v>107.1644000003289</x:v>
      </x:c>
      <x:c r="AC337" s="12" t="str">
        <x:v>overlays\surprise_036.png</x:v>
      </x:c>
      <x:c r="AD337" s="12" t="str"/>
      <x:c r="AE337" s="12" t="str"/>
      <x:c r="AF337" s="12" t="str">
        <x:v>good</x:v>
      </x:c>
      <x:c r="AG337" s="12" t="n">
        <x:v>1</x:v>
      </x:c>
      <x:c r="AH337" s="12" t="str">
        <x:v>good</x:v>
      </x:c>
      <x:c r="AI337" s="12" t="str">
        <x:v>good</x:v>
      </x:c>
      <x:c r="AJ337" s="12" t="str">
        <x:v>good</x:v>
      </x:c>
      <x:c r="AK337" s="12" t="str">
        <x:v>good</x:v>
      </x:c>
      <x:c r="AL337" s="12" t="str">
        <x:v>none</x:v>
      </x:c>
      <x:c r="AM337" s="14" t="str">
        <x:v>Clear and well-aligned facial landmarks with no major pose, crop, or occlusion issue.</x:v>
      </x:c>
    </x:row>
    <x:row r="338" ht="30" customHeight="1">
      <x:c r="A338" s="12" t="str">
        <x:v>surprise_037</x:v>
      </x:c>
      <x:c r="B338" s="12" t="str">
        <x:v>surprise</x:v>
      </x:c>
      <x:c r="C338" s="14" t="str">
        <x:v>surprise/Training_86136797.jpg</x:v>
      </x:c>
      <x:c r="D338" s="12" t="str">
        <x:v>f6a4b9daa594f9f6be3af5b2e336d9ede5b129e7c9e072df6b62817804fa6c3d</x:v>
      </x:c>
      <x:c r="E338" s="12" t="str">
        <x:v>f6a4b9daa594f9f6be3af5b2e336d9ede5b129e7c9e072df6b62817804fa6c3d</x:v>
      </x:c>
      <x:c r="F338" s="12" t="str">
        <x:v>True</x:v>
      </x:c>
      <x:c r="G338" s="12" t="str">
        <x:v>48</x:v>
      </x:c>
      <x:c r="H338" s="12" t="str">
        <x:v>48</x:v>
      </x:c>
      <x:c r="I338" s="12" t="str">
        <x:v>0.0</x:v>
      </x:c>
      <x:c r="J338" s="12" t="str">
        <x:v>0.0</x:v>
      </x:c>
      <x:c r="K338" s="12" t="str">
        <x:v>47.0</x:v>
      </x:c>
      <x:c r="L338" s="12" t="str">
        <x:v>47.0</x:v>
      </x:c>
      <x:c r="M338" s="12" t="str">
        <x:v>True</x:v>
      </x:c>
      <x:c r="N338" s="12" t="str">
        <x:v>106</x:v>
      </x:c>
      <x:c r="O338" s="12" t="str">
        <x:v>106</x:v>
      </x:c>
      <x:c r="P338" s="16" t="str">
        <x:v>1.0</x:v>
      </x:c>
      <x:c r="Q338" s="12" t="str">
        <x:v>92</x:v>
      </x:c>
      <x:c r="R338" s="16" t="str">
        <x:v>0.8679245283018868</x:v>
      </x:c>
      <x:c r="S338" s="12" t="str">
        <x:v>0.2</x:v>
      </x:c>
      <x:c r="T338" s="12" t="str">
        <x:v>106</x:v>
      </x:c>
      <x:c r="U338" s="16" t="str">
        <x:v>1.0</x:v>
      </x:c>
      <x:c r="V338" s="18" t="str">
        <x:v>0.41648176312446594</x:v>
      </x:c>
      <x:c r="W338" s="18" t="str">
        <x:v>0.5171668827533722</x:v>
      </x:c>
      <x:c r="X338" s="18" t="str">
        <x:v>0.6467950940132141</x:v>
      </x:c>
      <x:c r="Y338" s="18" t="str">
        <x:v>0.6638128757476807</x:v>
      </x:c>
      <x:c r="Z338" s="18" t="str">
        <x:v>0.7394765615463257</x:v>
      </x:c>
      <x:c r="AA338" s="18" t="str">
        <x:v>0.8547812104225159</x:v>
      </x:c>
      <x:c r="AB338" s="20" t="str">
        <x:v>106.77599999689846</x:v>
      </x:c>
      <x:c r="AC338" s="12" t="str">
        <x:v>overlays\surprise_037.png</x:v>
      </x:c>
      <x:c r="AD338" s="12" t="str"/>
      <x:c r="AE338" s="12" t="str"/>
      <x:c r="AF338" s="12" t="str">
        <x:v>acceptable</x:v>
      </x:c>
      <x:c r="AG338" s="12" t="n">
        <x:v>1</x:v>
      </x:c>
      <x:c r="AH338" s="12" t="str">
        <x:v>acceptable</x:v>
      </x:c>
      <x:c r="AI338" s="12" t="str">
        <x:v>acceptable</x:v>
      </x:c>
      <x:c r="AJ338" s="12" t="str">
        <x:v>acceptable</x:v>
      </x:c>
      <x:c r="AK338" s="12" t="str">
        <x:v>acceptable</x:v>
      </x:c>
      <x:c r="AL338" s="12" t="str">
        <x:v>mild</x:v>
      </x:c>
      <x:c r="AM338" s="14" t="str">
        <x:v>Large pose or profile; visible landmarks are useful, while hidden-side contour points are inferred.</x:v>
      </x:c>
    </x:row>
    <x:row r="339" ht="30" customHeight="1">
      <x:c r="A339" s="12" t="str">
        <x:v>surprise_038</x:v>
      </x:c>
      <x:c r="B339" s="12" t="str">
        <x:v>surprise</x:v>
      </x:c>
      <x:c r="C339" s="14" t="str">
        <x:v>surprise/Training_76908795.jpg</x:v>
      </x:c>
      <x:c r="D339" s="12" t="str">
        <x:v>f816b28244ed5c95d97d21f97a22d0984912055dfa957727624337177a8b4df5</x:v>
      </x:c>
      <x:c r="E339" s="12" t="str">
        <x:v>f816b28244ed5c95d97d21f97a22d0984912055dfa957727624337177a8b4df5</x:v>
      </x:c>
      <x:c r="F339" s="12" t="str">
        <x:v>True</x:v>
      </x:c>
      <x:c r="G339" s="12" t="str">
        <x:v>48</x:v>
      </x:c>
      <x:c r="H339" s="12" t="str">
        <x:v>48</x:v>
      </x:c>
      <x:c r="I339" s="12" t="str">
        <x:v>0.0</x:v>
      </x:c>
      <x:c r="J339" s="12" t="str">
        <x:v>0.0</x:v>
      </x:c>
      <x:c r="K339" s="12" t="str">
        <x:v>47.0</x:v>
      </x:c>
      <x:c r="L339" s="12" t="str">
        <x:v>47.0</x:v>
      </x:c>
      <x:c r="M339" s="12" t="str">
        <x:v>True</x:v>
      </x:c>
      <x:c r="N339" s="12" t="str">
        <x:v>106</x:v>
      </x:c>
      <x:c r="O339" s="12" t="str">
        <x:v>106</x:v>
      </x:c>
      <x:c r="P339" s="16" t="str">
        <x:v>1.0</x:v>
      </x:c>
      <x:c r="Q339" s="12" t="str">
        <x:v>106</x:v>
      </x:c>
      <x:c r="R339" s="16" t="str">
        <x:v>1.0</x:v>
      </x:c>
      <x:c r="S339" s="12" t="str">
        <x:v>0.2</x:v>
      </x:c>
      <x:c r="T339" s="12" t="str">
        <x:v>106</x:v>
      </x:c>
      <x:c r="U339" s="16" t="str">
        <x:v>1.0</x:v>
      </x:c>
      <x:c r="V339" s="18" t="str">
        <x:v>0.4473417401313782</x:v>
      </x:c>
      <x:c r="W339" s="18" t="str">
        <x:v>0.527204155921936</x:v>
      </x:c>
      <x:c r="X339" s="18" t="str">
        <x:v>0.7169591188430786</x:v>
      </x:c>
      <x:c r="Y339" s="18" t="str">
        <x:v>0.7010037899017334</x:v>
      </x:c>
      <x:c r="Z339" s="18" t="str">
        <x:v>0.9280911684036255</x:v>
      </x:c>
      <x:c r="AA339" s="18" t="str">
        <x:v>0.9959203004837036</x:v>
      </x:c>
      <x:c r="AB339" s="20" t="str">
        <x:v>107.40420000001905</x:v>
      </x:c>
      <x:c r="AC339" s="12" t="str">
        <x:v>overlays\surprise_038.png</x:v>
      </x:c>
      <x:c r="AD339" s="12" t="str"/>
      <x:c r="AE339" s="12" t="str"/>
      <x:c r="AF339" s="12" t="str">
        <x:v>good</x:v>
      </x:c>
      <x:c r="AG339" s="12" t="n">
        <x:v>1</x:v>
      </x:c>
      <x:c r="AH339" s="12" t="str">
        <x:v>good</x:v>
      </x:c>
      <x:c r="AI339" s="12" t="str">
        <x:v>good</x:v>
      </x:c>
      <x:c r="AJ339" s="12" t="str">
        <x:v>good</x:v>
      </x:c>
      <x:c r="AK339" s="12" t="str">
        <x:v>not_applicable</x:v>
      </x:c>
      <x:c r="AL339" s="12" t="str">
        <x:v>none</x:v>
      </x:c>
      <x:c r="AM339" s="14" t="str">
        <x:v>Clear and well-aligned facial landmarks with no major pose, crop, or occlusion issue.</x:v>
      </x:c>
    </x:row>
    <x:row r="340" ht="30" customHeight="1">
      <x:c r="A340" s="12" t="str">
        <x:v>surprise_039</x:v>
      </x:c>
      <x:c r="B340" s="12" t="str">
        <x:v>surprise</x:v>
      </x:c>
      <x:c r="C340" s="14" t="str">
        <x:v>surprise/Training_7511268.jpg</x:v>
      </x:c>
      <x:c r="D340" s="12" t="str">
        <x:v>6427687e86ad548b3b18e27e3cc569e494f9b896572fe499450654c12d0d6393</x:v>
      </x:c>
      <x:c r="E340" s="12" t="str">
        <x:v>6427687e86ad548b3b18e27e3cc569e494f9b896572fe499450654c12d0d6393</x:v>
      </x:c>
      <x:c r="F340" s="12" t="str">
        <x:v>True</x:v>
      </x:c>
      <x:c r="G340" s="12" t="str">
        <x:v>48</x:v>
      </x:c>
      <x:c r="H340" s="12" t="str">
        <x:v>48</x:v>
      </x:c>
      <x:c r="I340" s="12" t="str">
        <x:v>0.0</x:v>
      </x:c>
      <x:c r="J340" s="12" t="str">
        <x:v>0.0</x:v>
      </x:c>
      <x:c r="K340" s="12" t="str">
        <x:v>47.0</x:v>
      </x:c>
      <x:c r="L340" s="12" t="str">
        <x:v>47.0</x:v>
      </x:c>
      <x:c r="M340" s="12" t="str">
        <x:v>True</x:v>
      </x:c>
      <x:c r="N340" s="12" t="str">
        <x:v>106</x:v>
      </x:c>
      <x:c r="O340" s="12" t="str">
        <x:v>106</x:v>
      </x:c>
      <x:c r="P340" s="16" t="str">
        <x:v>1.0</x:v>
      </x:c>
      <x:c r="Q340" s="12" t="str">
        <x:v>96</x:v>
      </x:c>
      <x:c r="R340" s="16" t="str">
        <x:v>0.9056603773584906</x:v>
      </x:c>
      <x:c r="S340" s="12" t="str">
        <x:v>0.2</x:v>
      </x:c>
      <x:c r="T340" s="12" t="str">
        <x:v>106</x:v>
      </x:c>
      <x:c r="U340" s="16" t="str">
        <x:v>1.0</x:v>
      </x:c>
      <x:c r="V340" s="18" t="str">
        <x:v>0.3326638638973236</x:v>
      </x:c>
      <x:c r="W340" s="18" t="str">
        <x:v>0.4405524581670761</x:v>
      </x:c>
      <x:c r="X340" s="18" t="str">
        <x:v>0.5872033834457397</x:v>
      </x:c>
      <x:c r="Y340" s="18" t="str">
        <x:v>0.5465872287750244</x:v>
      </x:c>
      <x:c r="Z340" s="18" t="str">
        <x:v>0.792752593755722</x:v>
      </x:c>
      <x:c r="AA340" s="18" t="str">
        <x:v>0.8565223217010498</x:v>
      </x:c>
      <x:c r="AB340" s="20" t="str">
        <x:v>103.28719999961322</x:v>
      </x:c>
      <x:c r="AC340" s="12" t="str">
        <x:v>overlays\surprise_039.png</x:v>
      </x:c>
      <x:c r="AD340" s="12" t="str"/>
      <x:c r="AE340" s="12" t="str"/>
      <x:c r="AF340" s="12" t="str">
        <x:v>acceptable</x:v>
      </x:c>
      <x:c r="AG340" s="12" t="n">
        <x:v>1</x:v>
      </x:c>
      <x:c r="AH340" s="12" t="str">
        <x:v>acceptable</x:v>
      </x:c>
      <x:c r="AI340" s="12" t="str">
        <x:v>acceptable</x:v>
      </x:c>
      <x:c r="AJ340" s="12" t="str">
        <x:v>acceptable</x:v>
      </x:c>
      <x:c r="AK340" s="12" t="str">
        <x:v>acceptable</x:v>
      </x:c>
      <x:c r="AL340" s="12" t="str">
        <x:v>mild</x:v>
      </x:c>
      <x:c r="AM340" s="14" t="str">
        <x:v>Moderate pose, crop, or image degradation causes minor landmark uncertainty; the result remains usable.</x:v>
      </x:c>
    </x:row>
    <x:row r="341" ht="30" customHeight="1">
      <x:c r="A341" s="12" t="str">
        <x:v>surprise_040</x:v>
      </x:c>
      <x:c r="B341" s="12" t="str">
        <x:v>surprise</x:v>
      </x:c>
      <x:c r="C341" s="14" t="str">
        <x:v>surprise/Training_7036747.jpg</x:v>
      </x:c>
      <x:c r="D341" s="12" t="str">
        <x:v>8a0c8326d52ee3d3ae5d3968f341455513a3f74e3d9c4933d8f428e640ee6d2e</x:v>
      </x:c>
      <x:c r="E341" s="12" t="str">
        <x:v>8a0c8326d52ee3d3ae5d3968f341455513a3f74e3d9c4933d8f428e640ee6d2e</x:v>
      </x:c>
      <x:c r="F341" s="12" t="str">
        <x:v>True</x:v>
      </x:c>
      <x:c r="G341" s="12" t="str">
        <x:v>48</x:v>
      </x:c>
      <x:c r="H341" s="12" t="str">
        <x:v>48</x:v>
      </x:c>
      <x:c r="I341" s="12" t="str">
        <x:v>0.0</x:v>
      </x:c>
      <x:c r="J341" s="12" t="str">
        <x:v>0.0</x:v>
      </x:c>
      <x:c r="K341" s="12" t="str">
        <x:v>47.0</x:v>
      </x:c>
      <x:c r="L341" s="12" t="str">
        <x:v>47.0</x:v>
      </x:c>
      <x:c r="M341" s="12" t="str">
        <x:v>True</x:v>
      </x:c>
      <x:c r="N341" s="12" t="str">
        <x:v>106</x:v>
      </x:c>
      <x:c r="O341" s="12" t="str">
        <x:v>106</x:v>
      </x:c>
      <x:c r="P341" s="16" t="str">
        <x:v>1.0</x:v>
      </x:c>
      <x:c r="Q341" s="12" t="str">
        <x:v>97</x:v>
      </x:c>
      <x:c r="R341" s="16" t="str">
        <x:v>0.9150943396226415</x:v>
      </x:c>
      <x:c r="S341" s="12" t="str">
        <x:v>0.2</x:v>
      </x:c>
      <x:c r="T341" s="12" t="str">
        <x:v>106</x:v>
      </x:c>
      <x:c r="U341" s="16" t="str">
        <x:v>1.0</x:v>
      </x:c>
      <x:c r="V341" s="18" t="str">
        <x:v>0.41189485788345337</x:v>
      </x:c>
      <x:c r="W341" s="18" t="str">
        <x:v>0.5406225323677063</x:v>
      </x:c>
      <x:c r="X341" s="18" t="str">
        <x:v>0.6712867021560669</x:v>
      </x:c>
      <x:c r="Y341" s="18" t="str">
        <x:v>0.6475461721420288</x:v>
      </x:c>
      <x:c r="Z341" s="18" t="str">
        <x:v>0.8471241295337677</x:v>
      </x:c>
      <x:c r="AA341" s="18" t="str">
        <x:v>0.9299002885818481</x:v>
      </x:c>
      <x:c r="AB341" s="20" t="str">
        <x:v>99.6889000016381</x:v>
      </x:c>
      <x:c r="AC341" s="12" t="str">
        <x:v>overlays\surprise_040.png</x:v>
      </x:c>
      <x:c r="AD341" s="12" t="str"/>
      <x:c r="AE341" s="12" t="str"/>
      <x:c r="AF341" s="12" t="str">
        <x:v>good</x:v>
      </x:c>
      <x:c r="AG341" s="12" t="n">
        <x:v>1</x:v>
      </x:c>
      <x:c r="AH341" s="12" t="str">
        <x:v>good</x:v>
      </x:c>
      <x:c r="AI341" s="12" t="str">
        <x:v>good</x:v>
      </x:c>
      <x:c r="AJ341" s="12" t="str">
        <x:v>good</x:v>
      </x:c>
      <x:c r="AK341" s="12" t="str">
        <x:v>not_applicable</x:v>
      </x:c>
      <x:c r="AL341" s="12" t="str">
        <x:v>none</x:v>
      </x:c>
      <x:c r="AM341" s="14" t="str">
        <x:v>Clear and well-aligned facial landmarks with no major pose, crop, or occlusion issue.</x:v>
      </x:c>
    </x:row>
    <x:row r="342" ht="30" customHeight="1">
      <x:c r="A342" s="12" t="str">
        <x:v>surprise_041</x:v>
      </x:c>
      <x:c r="B342" s="12" t="str">
        <x:v>surprise</x:v>
      </x:c>
      <x:c r="C342" s="14" t="str">
        <x:v>surprise/Training_47106157.jpg</x:v>
      </x:c>
      <x:c r="D342" s="12" t="str">
        <x:v>8bc0a7560bcd6c2ea5ca09015e376c507097592ce5c989353b901d77e3b9ce95</x:v>
      </x:c>
      <x:c r="E342" s="12" t="str">
        <x:v>8bc0a7560bcd6c2ea5ca09015e376c507097592ce5c989353b901d77e3b9ce95</x:v>
      </x:c>
      <x:c r="F342" s="12" t="str">
        <x:v>True</x:v>
      </x:c>
      <x:c r="G342" s="12" t="str">
        <x:v>48</x:v>
      </x:c>
      <x:c r="H342" s="12" t="str">
        <x:v>48</x:v>
      </x:c>
      <x:c r="I342" s="12" t="str">
        <x:v>0.0</x:v>
      </x:c>
      <x:c r="J342" s="12" t="str">
        <x:v>0.0</x:v>
      </x:c>
      <x:c r="K342" s="12" t="str">
        <x:v>47.0</x:v>
      </x:c>
      <x:c r="L342" s="12" t="str">
        <x:v>47.0</x:v>
      </x:c>
      <x:c r="M342" s="12" t="str">
        <x:v>True</x:v>
      </x:c>
      <x:c r="N342" s="12" t="str">
        <x:v>106</x:v>
      </x:c>
      <x:c r="O342" s="12" t="str">
        <x:v>106</x:v>
      </x:c>
      <x:c r="P342" s="16" t="str">
        <x:v>1.0</x:v>
      </x:c>
      <x:c r="Q342" s="12" t="str">
        <x:v>95</x:v>
      </x:c>
      <x:c r="R342" s="16" t="str">
        <x:v>0.8962264150943396</x:v>
      </x:c>
      <x:c r="S342" s="12" t="str">
        <x:v>0.2</x:v>
      </x:c>
      <x:c r="T342" s="12" t="str">
        <x:v>106</x:v>
      </x:c>
      <x:c r="U342" s="16" t="str">
        <x:v>1.0</x:v>
      </x:c>
      <x:c r="V342" s="18" t="str">
        <x:v>0.3590478301048279</x:v>
      </x:c>
      <x:c r="W342" s="18" t="str">
        <x:v>0.42619070410728455</x:v>
      </x:c>
      <x:c r="X342" s="18" t="str">
        <x:v>0.5978929996490479</x:v>
      </x:c>
      <x:c r="Y342" s="18" t="str">
        <x:v>0.5592852830886841</x:v>
      </x:c>
      <x:c r="Z342" s="18" t="str">
        <x:v>0.8157699406147003</x:v>
      </x:c>
      <x:c r="AA342" s="18" t="str">
        <x:v>0.8698062896728516</x:v>
      </x:c>
      <x:c r="AB342" s="20" t="str">
        <x:v>101.00710000187973</x:v>
      </x:c>
      <x:c r="AC342" s="12" t="str">
        <x:v>overlays\surprise_041.png</x:v>
      </x:c>
      <x:c r="AD342" s="12" t="str"/>
      <x:c r="AE342" s="12" t="str"/>
      <x:c r="AF342" s="12" t="str">
        <x:v>acceptable</x:v>
      </x:c>
      <x:c r="AG342" s="12" t="n">
        <x:v>1</x:v>
      </x:c>
      <x:c r="AH342" s="12" t="str">
        <x:v>acceptable</x:v>
      </x:c>
      <x:c r="AI342" s="12" t="str">
        <x:v>acceptable</x:v>
      </x:c>
      <x:c r="AJ342" s="12" t="str">
        <x:v>acceptable</x:v>
      </x:c>
      <x:c r="AK342" s="12" t="str">
        <x:v>acceptable</x:v>
      </x:c>
      <x:c r="AL342" s="12" t="str">
        <x:v>mild</x:v>
      </x:c>
      <x:c r="AM342" s="14" t="str">
        <x:v>Moderate pose, crop, or image degradation causes minor landmark uncertainty; the result remains usable.</x:v>
      </x:c>
    </x:row>
    <x:row r="343" ht="30" customHeight="1">
      <x:c r="A343" s="12" t="str">
        <x:v>surprise_042</x:v>
      </x:c>
      <x:c r="B343" s="12" t="str">
        <x:v>surprise</x:v>
      </x:c>
      <x:c r="C343" s="14" t="str">
        <x:v>surprise/Training_40751582.jpg</x:v>
      </x:c>
      <x:c r="D343" s="12" t="str">
        <x:v>2497cba5baf247654dd6f1ddd1a51f68f1939c8fa50a095e0a987439cbb65921</x:v>
      </x:c>
      <x:c r="E343" s="12" t="str">
        <x:v>2497cba5baf247654dd6f1ddd1a51f68f1939c8fa50a095e0a987439cbb65921</x:v>
      </x:c>
      <x:c r="F343" s="12" t="str">
        <x:v>True</x:v>
      </x:c>
      <x:c r="G343" s="12" t="str">
        <x:v>48</x:v>
      </x:c>
      <x:c r="H343" s="12" t="str">
        <x:v>48</x:v>
      </x:c>
      <x:c r="I343" s="12" t="str">
        <x:v>0.0</x:v>
      </x:c>
      <x:c r="J343" s="12" t="str">
        <x:v>0.0</x:v>
      </x:c>
      <x:c r="K343" s="12" t="str">
        <x:v>47.0</x:v>
      </x:c>
      <x:c r="L343" s="12" t="str">
        <x:v>47.0</x:v>
      </x:c>
      <x:c r="M343" s="12" t="str">
        <x:v>True</x:v>
      </x:c>
      <x:c r="N343" s="12" t="str">
        <x:v>106</x:v>
      </x:c>
      <x:c r="O343" s="12" t="str">
        <x:v>106</x:v>
      </x:c>
      <x:c r="P343" s="16" t="str">
        <x:v>1.0</x:v>
      </x:c>
      <x:c r="Q343" s="12" t="str">
        <x:v>106</x:v>
      </x:c>
      <x:c r="R343" s="16" t="str">
        <x:v>1.0</x:v>
      </x:c>
      <x:c r="S343" s="12" t="str">
        <x:v>0.2</x:v>
      </x:c>
      <x:c r="T343" s="12" t="str">
        <x:v>106</x:v>
      </x:c>
      <x:c r="U343" s="16" t="str">
        <x:v>1.0</x:v>
      </x:c>
      <x:c r="V343" s="18" t="str">
        <x:v>0.2741152048110962</x:v>
      </x:c>
      <x:c r="W343" s="18" t="str">
        <x:v>0.4430873245000839</x:v>
      </x:c>
      <x:c r="X343" s="18" t="str">
        <x:v>0.6107000112533569</x:v>
      </x:c>
      <x:c r="Y343" s="18" t="str">
        <x:v>0.6259282231330872</x:v>
      </x:c>
      <x:c r="Z343" s="18" t="str">
        <x:v>0.821247398853302</x:v>
      </x:c>
      <x:c r="AA343" s="18" t="str">
        <x:v>0.85350501537323</x:v>
      </x:c>
      <x:c r="AB343" s="20" t="str">
        <x:v>120.49079999997048</x:v>
      </x:c>
      <x:c r="AC343" s="12" t="str">
        <x:v>overlays\surprise_042.png</x:v>
      </x:c>
      <x:c r="AD343" s="12" t="str"/>
      <x:c r="AE343" s="12" t="str"/>
      <x:c r="AF343" s="12" t="str">
        <x:v>acceptable</x:v>
      </x:c>
      <x:c r="AG343" s="12" t="n">
        <x:v>1</x:v>
      </x:c>
      <x:c r="AH343" s="12" t="str">
        <x:v>acceptable</x:v>
      </x:c>
      <x:c r="AI343" s="12" t="str">
        <x:v>acceptable</x:v>
      </x:c>
      <x:c r="AJ343" s="12" t="str">
        <x:v>acceptable</x:v>
      </x:c>
      <x:c r="AK343" s="12" t="str">
        <x:v>acceptable</x:v>
      </x:c>
      <x:c r="AL343" s="12" t="str">
        <x:v>mild</x:v>
      </x:c>
      <x:c r="AM343" s="14" t="str">
        <x:v>Large pose or profile; visible landmarks are useful, while hidden-side contour points are inferred.</x:v>
      </x:c>
    </x:row>
    <x:row r="344" ht="30" customHeight="1">
      <x:c r="A344" s="12" t="str">
        <x:v>surprise_043</x:v>
      </x:c>
      <x:c r="B344" s="12" t="str">
        <x:v>surprise</x:v>
      </x:c>
      <x:c r="C344" s="14" t="str">
        <x:v>surprise/Training_33638568.jpg</x:v>
      </x:c>
      <x:c r="D344" s="12" t="str">
        <x:v>7a127d2396ac2ece59390cee8c1b69aaa1c2daa35f1704c14bae0274bcbfbaa4</x:v>
      </x:c>
      <x:c r="E344" s="12" t="str">
        <x:v>7a127d2396ac2ece59390cee8c1b69aaa1c2daa35f1704c14bae0274bcbfbaa4</x:v>
      </x:c>
      <x:c r="F344" s="12" t="str">
        <x:v>True</x:v>
      </x:c>
      <x:c r="G344" s="12" t="str">
        <x:v>48</x:v>
      </x:c>
      <x:c r="H344" s="12" t="str">
        <x:v>48</x:v>
      </x:c>
      <x:c r="I344" s="12" t="str">
        <x:v>0.0</x:v>
      </x:c>
      <x:c r="J344" s="12" t="str">
        <x:v>0.0</x:v>
      </x:c>
      <x:c r="K344" s="12" t="str">
        <x:v>47.0</x:v>
      </x:c>
      <x:c r="L344" s="12" t="str">
        <x:v>47.0</x:v>
      </x:c>
      <x:c r="M344" s="12" t="str">
        <x:v>True</x:v>
      </x:c>
      <x:c r="N344" s="12" t="str">
        <x:v>106</x:v>
      </x:c>
      <x:c r="O344" s="12" t="str">
        <x:v>106</x:v>
      </x:c>
      <x:c r="P344" s="16" t="str">
        <x:v>1.0</x:v>
      </x:c>
      <x:c r="Q344" s="12" t="str">
        <x:v>88</x:v>
      </x:c>
      <x:c r="R344" s="16" t="str">
        <x:v>0.8301886792452831</x:v>
      </x:c>
      <x:c r="S344" s="12" t="str">
        <x:v>0.2</x:v>
      </x:c>
      <x:c r="T344" s="12" t="str">
        <x:v>106</x:v>
      </x:c>
      <x:c r="U344" s="16" t="str">
        <x:v>1.0</x:v>
      </x:c>
      <x:c r="V344" s="18" t="str">
        <x:v>0.3936755359172821</x:v>
      </x:c>
      <x:c r="W344" s="18" t="str">
        <x:v>0.49944867193698883</x:v>
      </x:c>
      <x:c r="X344" s="18" t="str">
        <x:v>0.6261143088340759</x:v>
      </x:c>
      <x:c r="Y344" s="18" t="str">
        <x:v>0.5921172499656677</x:v>
      </x:c>
      <x:c r="Z344" s="18" t="str">
        <x:v>0.8172399997711182</x:v>
      </x:c>
      <x:c r="AA344" s="18" t="str">
        <x:v>0.9351167678833008</x:v>
      </x:c>
      <x:c r="AB344" s="20" t="str">
        <x:v>114.08559999836143</x:v>
      </x:c>
      <x:c r="AC344" s="12" t="str">
        <x:v>overlays\surprise_043.png</x:v>
      </x:c>
      <x:c r="AD344" s="12" t="str"/>
      <x:c r="AE344" s="12" t="str"/>
      <x:c r="AF344" s="12" t="str">
        <x:v>acceptable</x:v>
      </x:c>
      <x:c r="AG344" s="12" t="n">
        <x:v>1</x:v>
      </x:c>
      <x:c r="AH344" s="12" t="str">
        <x:v>acceptable</x:v>
      </x:c>
      <x:c r="AI344" s="12" t="str">
        <x:v>acceptable</x:v>
      </x:c>
      <x:c r="AJ344" s="12" t="str">
        <x:v>acceptable</x:v>
      </x:c>
      <x:c r="AK344" s="12" t="str">
        <x:v>not_applicable</x:v>
      </x:c>
      <x:c r="AL344" s="12" t="str">
        <x:v>mild</x:v>
      </x:c>
      <x:c r="AM344" s="14" t="str">
        <x:v>Tight crop places several contour points outside the frame; central facial landmarks remain usable.</x:v>
      </x:c>
    </x:row>
    <x:row r="345" ht="30" customHeight="1">
      <x:c r="A345" s="12" t="str">
        <x:v>surprise_044</x:v>
      </x:c>
      <x:c r="B345" s="12" t="str">
        <x:v>surprise</x:v>
      </x:c>
      <x:c r="C345" s="14" t="str">
        <x:v>surprise/Training_87607009.jpg</x:v>
      </x:c>
      <x:c r="D345" s="12" t="str">
        <x:v>7547a385bb946bfc4484fd20327581c2e1666a4041810e29464b3a419cc3906d</x:v>
      </x:c>
      <x:c r="E345" s="12" t="str">
        <x:v>7547a385bb946bfc4484fd20327581c2e1666a4041810e29464b3a419cc3906d</x:v>
      </x:c>
      <x:c r="F345" s="12" t="str">
        <x:v>True</x:v>
      </x:c>
      <x:c r="G345" s="12" t="str">
        <x:v>48</x:v>
      </x:c>
      <x:c r="H345" s="12" t="str">
        <x:v>48</x:v>
      </x:c>
      <x:c r="I345" s="12" t="str">
        <x:v>0.0</x:v>
      </x:c>
      <x:c r="J345" s="12" t="str">
        <x:v>0.0</x:v>
      </x:c>
      <x:c r="K345" s="12" t="str">
        <x:v>47.0</x:v>
      </x:c>
      <x:c r="L345" s="12" t="str">
        <x:v>47.0</x:v>
      </x:c>
      <x:c r="M345" s="12" t="str">
        <x:v>True</x:v>
      </x:c>
      <x:c r="N345" s="12" t="str">
        <x:v>106</x:v>
      </x:c>
      <x:c r="O345" s="12" t="str">
        <x:v>106</x:v>
      </x:c>
      <x:c r="P345" s="16" t="str">
        <x:v>1.0</x:v>
      </x:c>
      <x:c r="Q345" s="12" t="str">
        <x:v>100</x:v>
      </x:c>
      <x:c r="R345" s="16" t="str">
        <x:v>0.9433962264150944</x:v>
      </x:c>
      <x:c r="S345" s="12" t="str">
        <x:v>0.2</x:v>
      </x:c>
      <x:c r="T345" s="12" t="str">
        <x:v>106</x:v>
      </x:c>
      <x:c r="U345" s="16" t="str">
        <x:v>1.0</x:v>
      </x:c>
      <x:c r="V345" s="18" t="str">
        <x:v>0.39045238494873047</x:v>
      </x:c>
      <x:c r="W345" s="18" t="str">
        <x:v>0.4667912721633911</x:v>
      </x:c>
      <x:c r="X345" s="18" t="str">
        <x:v>0.6360090970993042</x:v>
      </x:c>
      <x:c r="Y345" s="18" t="str">
        <x:v>0.6205281615257263</x:v>
      </x:c>
      <x:c r="Z345" s="18" t="str">
        <x:v>0.8486101031303406</x:v>
      </x:c>
      <x:c r="AA345" s="18" t="str">
        <x:v>0.9413894414901733</x:v>
      </x:c>
      <x:c r="AB345" s="20" t="str">
        <x:v>103.02329999831272</x:v>
      </x:c>
      <x:c r="AC345" s="12" t="str">
        <x:v>overlays\surprise_044.png</x:v>
      </x:c>
      <x:c r="AD345" s="12" t="str"/>
      <x:c r="AE345" s="12" t="str"/>
      <x:c r="AF345" s="12" t="str">
        <x:v>acceptable</x:v>
      </x:c>
      <x:c r="AG345" s="12" t="n">
        <x:v>1</x:v>
      </x:c>
      <x:c r="AH345" s="12" t="str">
        <x:v>acceptable</x:v>
      </x:c>
      <x:c r="AI345" s="12" t="str">
        <x:v>acceptable</x:v>
      </x:c>
      <x:c r="AJ345" s="12" t="str">
        <x:v>acceptable</x:v>
      </x:c>
      <x:c r="AK345" s="12" t="str">
        <x:v>acceptable</x:v>
      </x:c>
      <x:c r="AL345" s="12" t="str">
        <x:v>mild</x:v>
      </x:c>
      <x:c r="AM345" s="14" t="str">
        <x:v>Moderate pose, crop, or image degradation causes minor landmark uncertainty; the result remains usable.</x:v>
      </x:c>
    </x:row>
    <x:row r="346" ht="30" customHeight="1">
      <x:c r="A346" s="12" t="str">
        <x:v>surprise_045</x:v>
      </x:c>
      <x:c r="B346" s="12" t="str">
        <x:v>surprise</x:v>
      </x:c>
      <x:c r="C346" s="14" t="str">
        <x:v>surprise/Training_92701859.jpg</x:v>
      </x:c>
      <x:c r="D346" s="12" t="str">
        <x:v>9c50800bf71f2e949bfd6377d9f0cecf6fa24b2dacb8e811d7d737620767f8ea</x:v>
      </x:c>
      <x:c r="E346" s="12" t="str">
        <x:v>9c50800bf71f2e949bfd6377d9f0cecf6fa24b2dacb8e811d7d737620767f8ea</x:v>
      </x:c>
      <x:c r="F346" s="12" t="str">
        <x:v>True</x:v>
      </x:c>
      <x:c r="G346" s="12" t="str">
        <x:v>48</x:v>
      </x:c>
      <x:c r="H346" s="12" t="str">
        <x:v>48</x:v>
      </x:c>
      <x:c r="I346" s="12" t="str">
        <x:v>0.0</x:v>
      </x:c>
      <x:c r="J346" s="12" t="str">
        <x:v>0.0</x:v>
      </x:c>
      <x:c r="K346" s="12" t="str">
        <x:v>47.0</x:v>
      </x:c>
      <x:c r="L346" s="12" t="str">
        <x:v>47.0</x:v>
      </x:c>
      <x:c r="M346" s="12" t="str">
        <x:v>True</x:v>
      </x:c>
      <x:c r="N346" s="12" t="str">
        <x:v>106</x:v>
      </x:c>
      <x:c r="O346" s="12" t="str">
        <x:v>106</x:v>
      </x:c>
      <x:c r="P346" s="16" t="str">
        <x:v>1.0</x:v>
      </x:c>
      <x:c r="Q346" s="12" t="str">
        <x:v>88</x:v>
      </x:c>
      <x:c r="R346" s="16" t="str">
        <x:v>0.8301886792452831</x:v>
      </x:c>
      <x:c r="S346" s="12" t="str">
        <x:v>0.2</x:v>
      </x:c>
      <x:c r="T346" s="12" t="str">
        <x:v>106</x:v>
      </x:c>
      <x:c r="U346" s="16" t="str">
        <x:v>1.0</x:v>
      </x:c>
      <x:c r="V346" s="18" t="str">
        <x:v>0.4735506772994995</x:v>
      </x:c>
      <x:c r="W346" s="18" t="str">
        <x:v>0.5333155393600464</x:v>
      </x:c>
      <x:c r="X346" s="18" t="str">
        <x:v>0.6662409901618958</x:v>
      </x:c>
      <x:c r="Y346" s="18" t="str">
        <x:v>0.6594789624214172</x:v>
      </x:c>
      <x:c r="Z346" s="18" t="str">
        <x:v>0.8356567621231079</x:v>
      </x:c>
      <x:c r="AA346" s="18" t="str">
        <x:v>0.9564452171325684</x:v>
      </x:c>
      <x:c r="AB346" s="20" t="str">
        <x:v>110.10049999822513</x:v>
      </x:c>
      <x:c r="AC346" s="12" t="str">
        <x:v>overlays\surprise_045.png</x:v>
      </x:c>
      <x:c r="AD346" s="12" t="str"/>
      <x:c r="AE346" s="12" t="str"/>
      <x:c r="AF346" s="12" t="str">
        <x:v>acceptable</x:v>
      </x:c>
      <x:c r="AG346" s="12" t="n">
        <x:v>1</x:v>
      </x:c>
      <x:c r="AH346" s="12" t="str">
        <x:v>acceptable</x:v>
      </x:c>
      <x:c r="AI346" s="12" t="str">
        <x:v>acceptable</x:v>
      </x:c>
      <x:c r="AJ346" s="12" t="str">
        <x:v>acceptable</x:v>
      </x:c>
      <x:c r="AK346" s="12" t="str">
        <x:v>not_applicable</x:v>
      </x:c>
      <x:c r="AL346" s="12" t="str">
        <x:v>mild</x:v>
      </x:c>
      <x:c r="AM346" s="14" t="str">
        <x:v>Tight crop places several contour points outside the frame; central facial landmarks remain usable.</x:v>
      </x:c>
    </x:row>
    <x:row r="347" ht="30" customHeight="1">
      <x:c r="A347" s="12" t="str">
        <x:v>surprise_046</x:v>
      </x:c>
      <x:c r="B347" s="12" t="str">
        <x:v>surprise</x:v>
      </x:c>
      <x:c r="C347" s="14" t="str">
        <x:v>surprise/Training_46869051.jpg</x:v>
      </x:c>
      <x:c r="D347" s="12" t="str">
        <x:v>28433049fbdea8b84a4f29fc729dbdc47293ac40f6be666e6ba8cc57e9c56b5e</x:v>
      </x:c>
      <x:c r="E347" s="12" t="str">
        <x:v>28433049fbdea8b84a4f29fc729dbdc47293ac40f6be666e6ba8cc57e9c56b5e</x:v>
      </x:c>
      <x:c r="F347" s="12" t="str">
        <x:v>True</x:v>
      </x:c>
      <x:c r="G347" s="12" t="str">
        <x:v>48</x:v>
      </x:c>
      <x:c r="H347" s="12" t="str">
        <x:v>48</x:v>
      </x:c>
      <x:c r="I347" s="12" t="str">
        <x:v>0.0</x:v>
      </x:c>
      <x:c r="J347" s="12" t="str">
        <x:v>0.0</x:v>
      </x:c>
      <x:c r="K347" s="12" t="str">
        <x:v>47.0</x:v>
      </x:c>
      <x:c r="L347" s="12" t="str">
        <x:v>47.0</x:v>
      </x:c>
      <x:c r="M347" s="12" t="str">
        <x:v>True</x:v>
      </x:c>
      <x:c r="N347" s="12" t="str">
        <x:v>106</x:v>
      </x:c>
      <x:c r="O347" s="12" t="str">
        <x:v>106</x:v>
      </x:c>
      <x:c r="P347" s="16" t="str">
        <x:v>1.0</x:v>
      </x:c>
      <x:c r="Q347" s="12" t="str">
        <x:v>96</x:v>
      </x:c>
      <x:c r="R347" s="16" t="str">
        <x:v>0.9056603773584906</x:v>
      </x:c>
      <x:c r="S347" s="12" t="str">
        <x:v>0.2</x:v>
      </x:c>
      <x:c r="T347" s="12" t="str">
        <x:v>106</x:v>
      </x:c>
      <x:c r="U347" s="16" t="str">
        <x:v>1.0</x:v>
      </x:c>
      <x:c r="V347" s="18" t="str">
        <x:v>0.31395941972732544</x:v>
      </x:c>
      <x:c r="W347" s="18" t="str">
        <x:v>0.4206763058900833</x:v>
      </x:c>
      <x:c r="X347" s="18" t="str">
        <x:v>0.6096051335334778</x:v>
      </x:c>
      <x:c r="Y347" s="18" t="str">
        <x:v>0.5821671485900879</x:v>
      </x:c>
      <x:c r="Z347" s="18" t="str">
        <x:v>0.8508320450782776</x:v>
      </x:c>
      <x:c r="AA347" s="18" t="str">
        <x:v>0.9225165843963623</x:v>
      </x:c>
      <x:c r="AB347" s="20" t="str">
        <x:v>107.11829999854672</x:v>
      </x:c>
      <x:c r="AC347" s="12" t="str">
        <x:v>overlays\surprise_046.png</x:v>
      </x:c>
      <x:c r="AD347" s="12" t="str"/>
      <x:c r="AE347" s="12" t="str"/>
      <x:c r="AF347" s="12" t="str">
        <x:v>good</x:v>
      </x:c>
      <x:c r="AG347" s="12" t="n">
        <x:v>1</x:v>
      </x:c>
      <x:c r="AH347" s="12" t="str">
        <x:v>good</x:v>
      </x:c>
      <x:c r="AI347" s="12" t="str">
        <x:v>good</x:v>
      </x:c>
      <x:c r="AJ347" s="12" t="str">
        <x:v>good</x:v>
      </x:c>
      <x:c r="AK347" s="12" t="str">
        <x:v>good</x:v>
      </x:c>
      <x:c r="AL347" s="12" t="str">
        <x:v>none</x:v>
      </x:c>
      <x:c r="AM347" s="14" t="str">
        <x:v>Clear and well-aligned facial landmarks with no major pose, crop, or occlusion issue.</x:v>
      </x:c>
    </x:row>
    <x:row r="348" ht="30" customHeight="1">
      <x:c r="A348" s="12" t="str">
        <x:v>surprise_047</x:v>
      </x:c>
      <x:c r="B348" s="12" t="str">
        <x:v>surprise</x:v>
      </x:c>
      <x:c r="C348" s="14" t="str">
        <x:v>surprise/Training_37791518.jpg</x:v>
      </x:c>
      <x:c r="D348" s="12" t="str">
        <x:v>fdc63c51ac0d9fe654a1ff351c42ae63e62da1bb504aa67685527159a977789c</x:v>
      </x:c>
      <x:c r="E348" s="12" t="str">
        <x:v>fdc63c51ac0d9fe654a1ff351c42ae63e62da1bb504aa67685527159a977789c</x:v>
      </x:c>
      <x:c r="F348" s="12" t="str">
        <x:v>True</x:v>
      </x:c>
      <x:c r="G348" s="12" t="str">
        <x:v>48</x:v>
      </x:c>
      <x:c r="H348" s="12" t="str">
        <x:v>48</x:v>
      </x:c>
      <x:c r="I348" s="12" t="str">
        <x:v>0.0</x:v>
      </x:c>
      <x:c r="J348" s="12" t="str">
        <x:v>0.0</x:v>
      </x:c>
      <x:c r="K348" s="12" t="str">
        <x:v>47.0</x:v>
      </x:c>
      <x:c r="L348" s="12" t="str">
        <x:v>47.0</x:v>
      </x:c>
      <x:c r="M348" s="12" t="str">
        <x:v>True</x:v>
      </x:c>
      <x:c r="N348" s="12" t="str">
        <x:v>106</x:v>
      </x:c>
      <x:c r="O348" s="12" t="str">
        <x:v>106</x:v>
      </x:c>
      <x:c r="P348" s="16" t="str">
        <x:v>1.0</x:v>
      </x:c>
      <x:c r="Q348" s="12" t="str">
        <x:v>90</x:v>
      </x:c>
      <x:c r="R348" s="16" t="str">
        <x:v>0.8490566037735849</x:v>
      </x:c>
      <x:c r="S348" s="12" t="str">
        <x:v>0.2</x:v>
      </x:c>
      <x:c r="T348" s="12" t="str">
        <x:v>106</x:v>
      </x:c>
      <x:c r="U348" s="16" t="str">
        <x:v>1.0</x:v>
      </x:c>
      <x:c r="V348" s="18" t="str">
        <x:v>0.21805354952812195</x:v>
      </x:c>
      <x:c r="W348" s="18" t="str">
        <x:v>0.3284672945737839</x:v>
      </x:c>
      <x:c r="X348" s="18" t="str">
        <x:v>0.5976677536964417</x:v>
      </x:c>
      <x:c r="Y348" s="18" t="str">
        <x:v>0.5988357067108154</x:v>
      </x:c>
      <x:c r="Z348" s="18" t="str">
        <x:v>0.867324024438858</x:v>
      </x:c>
      <x:c r="AA348" s="18" t="str">
        <x:v>0.9332951307296753</x:v>
      </x:c>
      <x:c r="AB348" s="20" t="str">
        <x:v>97.64090000317083</x:v>
      </x:c>
      <x:c r="AC348" s="12" t="str">
        <x:v>overlays\surprise_047.png</x:v>
      </x:c>
      <x:c r="AD348" s="12" t="str"/>
      <x:c r="AE348" s="12" t="str"/>
      <x:c r="AF348" s="12" t="str">
        <x:v>acceptable</x:v>
      </x:c>
      <x:c r="AG348" s="12" t="n">
        <x:v>1</x:v>
      </x:c>
      <x:c r="AH348" s="12" t="str">
        <x:v>acceptable</x:v>
      </x:c>
      <x:c r="AI348" s="12" t="str">
        <x:v>acceptable</x:v>
      </x:c>
      <x:c r="AJ348" s="12" t="str">
        <x:v>acceptable</x:v>
      </x:c>
      <x:c r="AK348" s="12" t="str">
        <x:v>acceptable</x:v>
      </x:c>
      <x:c r="AL348" s="12" t="str">
        <x:v>mild</x:v>
      </x:c>
      <x:c r="AM348" s="14" t="str">
        <x:v>Tight crop places several contour points outside the frame; central facial landmarks remain usable.</x:v>
      </x:c>
    </x:row>
    <x:row r="349" ht="30" customHeight="1">
      <x:c r="A349" s="12" t="str">
        <x:v>surprise_048</x:v>
      </x:c>
      <x:c r="B349" s="12" t="str">
        <x:v>surprise</x:v>
      </x:c>
      <x:c r="C349" s="14" t="str">
        <x:v>surprise/Training_41150203.jpg</x:v>
      </x:c>
      <x:c r="D349" s="12" t="str">
        <x:v>96990c07300d5249fbc36cb27019a1bfc1f8998740034bb16551a17112e8553b</x:v>
      </x:c>
      <x:c r="E349" s="12" t="str">
        <x:v>96990c07300d5249fbc36cb27019a1bfc1f8998740034bb16551a17112e8553b</x:v>
      </x:c>
      <x:c r="F349" s="12" t="str">
        <x:v>True</x:v>
      </x:c>
      <x:c r="G349" s="12" t="str">
        <x:v>48</x:v>
      </x:c>
      <x:c r="H349" s="12" t="str">
        <x:v>48</x:v>
      </x:c>
      <x:c r="I349" s="12" t="str">
        <x:v>0.0</x:v>
      </x:c>
      <x:c r="J349" s="12" t="str">
        <x:v>0.0</x:v>
      </x:c>
      <x:c r="K349" s="12" t="str">
        <x:v>47.0</x:v>
      </x:c>
      <x:c r="L349" s="12" t="str">
        <x:v>47.0</x:v>
      </x:c>
      <x:c r="M349" s="12" t="str">
        <x:v>True</x:v>
      </x:c>
      <x:c r="N349" s="12" t="str">
        <x:v>106</x:v>
      </x:c>
      <x:c r="O349" s="12" t="str">
        <x:v>106</x:v>
      </x:c>
      <x:c r="P349" s="16" t="str">
        <x:v>1.0</x:v>
      </x:c>
      <x:c r="Q349" s="12" t="str">
        <x:v>89</x:v>
      </x:c>
      <x:c r="R349" s="16" t="str">
        <x:v>0.839622641509434</x:v>
      </x:c>
      <x:c r="S349" s="12" t="str">
        <x:v>0.2</x:v>
      </x:c>
      <x:c r="T349" s="12" t="str">
        <x:v>106</x:v>
      </x:c>
      <x:c r="U349" s="16" t="str">
        <x:v>1.0</x:v>
      </x:c>
      <x:c r="V349" s="18" t="str">
        <x:v>0.30444133281707764</x:v>
      </x:c>
      <x:c r="W349" s="18" t="str">
        <x:v>0.4088662415742874</x:v>
      </x:c>
      <x:c r="X349" s="18" t="str">
        <x:v>0.6194295287132263</x:v>
      </x:c>
      <x:c r="Y349" s="18" t="str">
        <x:v>0.6085221171379089</x:v>
      </x:c>
      <x:c r="Z349" s="18" t="str">
        <x:v>0.8629595339298248</x:v>
      </x:c>
      <x:c r="AA349" s="18" t="str">
        <x:v>0.9289883375167847</x:v>
      </x:c>
      <x:c r="AB349" s="20" t="str">
        <x:v>102.4660999974003</x:v>
      </x:c>
      <x:c r="AC349" s="12" t="str">
        <x:v>overlays\surprise_048.png</x:v>
      </x:c>
      <x:c r="AD349" s="12" t="str"/>
      <x:c r="AE349" s="12" t="str"/>
      <x:c r="AF349" s="12" t="str">
        <x:v>acceptable</x:v>
      </x:c>
      <x:c r="AG349" s="12" t="n">
        <x:v>1</x:v>
      </x:c>
      <x:c r="AH349" s="12" t="str">
        <x:v>acceptable</x:v>
      </x:c>
      <x:c r="AI349" s="12" t="str">
        <x:v>acceptable</x:v>
      </x:c>
      <x:c r="AJ349" s="12" t="str">
        <x:v>acceptable</x:v>
      </x:c>
      <x:c r="AK349" s="12" t="str">
        <x:v>not_applicable</x:v>
      </x:c>
      <x:c r="AL349" s="12" t="str">
        <x:v>mild</x:v>
      </x:c>
      <x:c r="AM349" s="14" t="str">
        <x:v>Large pose or profile; visible landmarks are useful, while hidden-side contour points are inferred.</x:v>
      </x:c>
    </x:row>
    <x:row r="350" ht="30" customHeight="1">
      <x:c r="A350" s="12" t="str">
        <x:v>surprise_049</x:v>
      </x:c>
      <x:c r="B350" s="12" t="str">
        <x:v>surprise</x:v>
      </x:c>
      <x:c r="C350" s="14" t="str">
        <x:v>surprise/Training_56736326.jpg</x:v>
      </x:c>
      <x:c r="D350" s="12" t="str">
        <x:v>13f538f51bec7eadcc7f02c9917fdbf86b9687f9ce7e70f2097d07a5c83a3c96</x:v>
      </x:c>
      <x:c r="E350" s="12" t="str">
        <x:v>13f538f51bec7eadcc7f02c9917fdbf86b9687f9ce7e70f2097d07a5c83a3c96</x:v>
      </x:c>
      <x:c r="F350" s="12" t="str">
        <x:v>True</x:v>
      </x:c>
      <x:c r="G350" s="12" t="str">
        <x:v>48</x:v>
      </x:c>
      <x:c r="H350" s="12" t="str">
        <x:v>48</x:v>
      </x:c>
      <x:c r="I350" s="12" t="str">
        <x:v>0.0</x:v>
      </x:c>
      <x:c r="J350" s="12" t="str">
        <x:v>0.0</x:v>
      </x:c>
      <x:c r="K350" s="12" t="str">
        <x:v>47.0</x:v>
      </x:c>
      <x:c r="L350" s="12" t="str">
        <x:v>47.0</x:v>
      </x:c>
      <x:c r="M350" s="12" t="str">
        <x:v>True</x:v>
      </x:c>
      <x:c r="N350" s="12" t="str">
        <x:v>106</x:v>
      </x:c>
      <x:c r="O350" s="12" t="str">
        <x:v>106</x:v>
      </x:c>
      <x:c r="P350" s="16" t="str">
        <x:v>1.0</x:v>
      </x:c>
      <x:c r="Q350" s="12" t="str">
        <x:v>97</x:v>
      </x:c>
      <x:c r="R350" s="16" t="str">
        <x:v>0.9150943396226415</x:v>
      </x:c>
      <x:c r="S350" s="12" t="str">
        <x:v>0.2</x:v>
      </x:c>
      <x:c r="T350" s="12" t="str">
        <x:v>106</x:v>
      </x:c>
      <x:c r="U350" s="16" t="str">
        <x:v>1.0</x:v>
      </x:c>
      <x:c r="V350" s="18" t="str">
        <x:v>0.35908249020576477</x:v>
      </x:c>
      <x:c r="W350" s="18" t="str">
        <x:v>0.4290192127227783</x:v>
      </x:c>
      <x:c r="X350" s="18" t="str">
        <x:v>0.6237743496894836</x:v>
      </x:c>
      <x:c r="Y350" s="18" t="str">
        <x:v>0.6145535707473755</x:v>
      </x:c>
      <x:c r="Z350" s="18" t="str">
        <x:v>0.8294335603713989</x:v>
      </x:c>
      <x:c r="AA350" s="18" t="str">
        <x:v>0.8967477083206177</x:v>
      </x:c>
      <x:c r="AB350" s="20" t="str">
        <x:v>107.81080000015208</x:v>
      </x:c>
      <x:c r="AC350" s="12" t="str">
        <x:v>overlays\surprise_049.png</x:v>
      </x:c>
      <x:c r="AD350" s="12" t="str"/>
      <x:c r="AE350" s="12" t="str"/>
      <x:c r="AF350" s="12" t="str">
        <x:v>good</x:v>
      </x:c>
      <x:c r="AG350" s="12" t="n">
        <x:v>1</x:v>
      </x:c>
      <x:c r="AH350" s="12" t="str">
        <x:v>good</x:v>
      </x:c>
      <x:c r="AI350" s="12" t="str">
        <x:v>good</x:v>
      </x:c>
      <x:c r="AJ350" s="12" t="str">
        <x:v>good</x:v>
      </x:c>
      <x:c r="AK350" s="12" t="str">
        <x:v>good</x:v>
      </x:c>
      <x:c r="AL350" s="12" t="str">
        <x:v>none</x:v>
      </x:c>
      <x:c r="AM350" s="14" t="str">
        <x:v>Clear and well-aligned facial landmarks with no major pose, crop, or occlusion issue.</x:v>
      </x:c>
    </x:row>
    <x:row r="351" ht="30" customHeight="1">
      <x:c r="A351" s="12" t="str">
        <x:v>surprise_050</x:v>
      </x:c>
      <x:c r="B351" s="12" t="str">
        <x:v>surprise</x:v>
      </x:c>
      <x:c r="C351" s="14" t="str">
        <x:v>surprise/Training_25729700.jpg</x:v>
      </x:c>
      <x:c r="D351" s="12" t="str">
        <x:v>9881f1f3e10c9141b8273cb4cfcafa67258ea4ba476d2e5ef6ab001f894f5f6f</x:v>
      </x:c>
      <x:c r="E351" s="12" t="str">
        <x:v>9881f1f3e10c9141b8273cb4cfcafa67258ea4ba476d2e5ef6ab001f894f5f6f</x:v>
      </x:c>
      <x:c r="F351" s="12" t="str">
        <x:v>True</x:v>
      </x:c>
      <x:c r="G351" s="12" t="str">
        <x:v>48</x:v>
      </x:c>
      <x:c r="H351" s="12" t="str">
        <x:v>48</x:v>
      </x:c>
      <x:c r="I351" s="12" t="str">
        <x:v>0.0</x:v>
      </x:c>
      <x:c r="J351" s="12" t="str">
        <x:v>0.0</x:v>
      </x:c>
      <x:c r="K351" s="12" t="str">
        <x:v>47.0</x:v>
      </x:c>
      <x:c r="L351" s="12" t="str">
        <x:v>47.0</x:v>
      </x:c>
      <x:c r="M351" s="12" t="str">
        <x:v>True</x:v>
      </x:c>
      <x:c r="N351" s="12" t="str">
        <x:v>106</x:v>
      </x:c>
      <x:c r="O351" s="12" t="str">
        <x:v>106</x:v>
      </x:c>
      <x:c r="P351" s="16" t="str">
        <x:v>1.0</x:v>
      </x:c>
      <x:c r="Q351" s="12" t="str">
        <x:v>106</x:v>
      </x:c>
      <x:c r="R351" s="16" t="str">
        <x:v>1.0</x:v>
      </x:c>
      <x:c r="S351" s="12" t="str">
        <x:v>0.2</x:v>
      </x:c>
      <x:c r="T351" s="12" t="str">
        <x:v>106</x:v>
      </x:c>
      <x:c r="U351" s="16" t="str">
        <x:v>1.0</x:v>
      </x:c>
      <x:c r="V351" s="18" t="str">
        <x:v>0.6484630107879639</x:v>
      </x:c>
      <x:c r="W351" s="18" t="str">
        <x:v>0.7064307034015656</x:v>
      </x:c>
      <x:c r="X351" s="18" t="str">
        <x:v>0.812192440032959</x:v>
      </x:c>
      <x:c r="Y351" s="18" t="str">
        <x:v>0.7968814373016357</x:v>
      </x:c>
      <x:c r="Z351" s="18" t="str">
        <x:v>0.9392591118812561</x:v>
      </x:c>
      <x:c r="AA351" s="18" t="str">
        <x:v>1.025757074356079</x:v>
      </x:c>
      <x:c r="AB351" s="20" t="str">
        <x:v>106.0985999974946</x:v>
      </x:c>
      <x:c r="AC351" s="12" t="str">
        <x:v>overlays\surprise_050.png</x:v>
      </x:c>
      <x:c r="AD351" s="12" t="str"/>
      <x:c r="AE351" s="12" t="str"/>
      <x:c r="AF351" s="12" t="str">
        <x:v>good</x:v>
      </x:c>
      <x:c r="AG351" s="12" t="n">
        <x:v>1</x:v>
      </x:c>
      <x:c r="AH351" s="12" t="str">
        <x:v>good</x:v>
      </x:c>
      <x:c r="AI351" s="12" t="str">
        <x:v>good</x:v>
      </x:c>
      <x:c r="AJ351" s="12" t="str">
        <x:v>good</x:v>
      </x:c>
      <x:c r="AK351" s="12" t="str">
        <x:v>not_applicable</x:v>
      </x:c>
      <x:c r="AL351" s="12" t="str">
        <x:v>none</x:v>
      </x:c>
      <x:c r="AM351" s="14" t="str">
        <x:v>Clear and well-aligned facial landmarks with no major pose, crop, or occlusion issue.</x:v>
      </x:c>
    </x:row>
  </x:sheetData>
  <x:conditionalFormatting sqref="AF2:AF351">
    <x:cfRule type="expression" dxfId="0" priority="1">
      <x:formula>AF2="good"</x:formula>
    </x:cfRule>
    <x:cfRule type="expression" dxfId="1" priority="2">
      <x:formula>AF2="acceptable"</x:formula>
    </x:cfRule>
    <x:cfRule type="expression" dxfId="2" priority="3">
      <x:formula>AF2="wrong"</x:formula>
    </x:cfRule>
  </x:conditionalFormatting>
  <x:dataValidations count="7">
    <x:dataValidation type="list" sqref="AF2:AF351">
      <x:formula1>"good,acceptable,wrong"</x:formula1>
    </x:dataValidation>
    <x:dataValidation type="list" sqref="AG2:AG351">
      <x:formula1>"1,0"</x:formula1>
    </x:dataValidation>
    <x:dataValidation type="list" sqref="AH2:AH351">
      <x:formula1>"good,acceptable,wrong,occluded"</x:formula1>
    </x:dataValidation>
    <x:dataValidation type="list" sqref="AI2:AI351">
      <x:formula1>"good,acceptable,wrong,occluded"</x:formula1>
    </x:dataValidation>
    <x:dataValidation type="list" sqref="AJ2:AJ351">
      <x:formula1>"good,acceptable,wrong,occluded"</x:formula1>
    </x:dataValidation>
    <x:dataValidation type="list" sqref="AK2:AK351">
      <x:formula1>"good,acceptable,wrong,not_applicable"</x:formula1>
    </x:dataValidation>
    <x:dataValidation type="list" sqref="AL2:AL351">
      <x:formula1>"none,mild,severe"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f6ecf485d74aa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25" t="str">
        <x:v>RTMPose-Face — 350 Sample Review</x:v>
      </x:c>
      <x:c r="B1" s="25"/>
      <x:c r="C1" s="25"/>
      <x:c r="D1" s="25"/>
      <x:c r="E1" s="25"/>
      <x:c r="F1" s="25"/>
      <x:c r="G1" s="25"/>
      <x:c r="H1" s="25"/>
    </x:row>
    <x:row r="3">
      <x:c r="A3" s="45" t="str">
        <x:v>Total samples</x:v>
      </x:c>
      <x:c r="B3" s="31" t="n">
        <x:f>COUNTA('Manual Review'!$A$2:$A$351)</x:f>
        <x:v>350</x:v>
      </x:c>
      <x:c r="D3" s="45" t="str">
        <x:v>Mean time (ms)</x:v>
      </x:c>
      <x:c r="E3" s="58" t="n">
        <x:f>AVERAGE('Manual Review'!$AB$2:$AB$351)</x:f>
        <x:v>108.28842200004146</x:v>
      </x:c>
    </x:row>
    <x:row r="4">
      <x:c r="A4" s="46" t="str">
        <x:v>Raw inference success</x:v>
      </x:c>
      <x:c r="B4" s="33" t="n">
        <x:f>COUNTIF('Manual Review'!$M$2:$M$351,TRUE)</x:f>
        <x:v>350</x:v>
      </x:c>
      <x:c r="D4" s="46" t="str">
        <x:v>Median time (ms)</x:v>
      </x:c>
      <x:c r="E4" s="59" t="n">
        <x:f>MEDIAN('Manual Review'!$AB$2:$AB$351)</x:f>
        <x:v>107.02614999900106</x:v>
      </x:c>
    </x:row>
    <x:row r="5">
      <x:c r="A5" s="46" t="str">
        <x:v>Good</x:v>
      </x:c>
      <x:c r="B5" s="33" t="n">
        <x:f>COUNTIF('Manual Review'!$AF$2:$AF$351,"good")</x:f>
        <x:v>155</x:v>
      </x:c>
      <x:c r="D5" s="46" t="str">
        <x:v>P95 time (ms)</x:v>
      </x:c>
      <x:c r="E5" s="59" t="n">
        <x:v>122.91328000028443</x:v>
      </x:c>
    </x:row>
    <x:row r="6">
      <x:c r="A6" s="46" t="str">
        <x:v>Acceptable</x:v>
      </x:c>
      <x:c r="B6" s="33" t="n">
        <x:f>COUNTIF('Manual Review'!$AF$2:$AF$351,"acceptable")</x:f>
        <x:v>195</x:v>
      </x:c>
      <x:c r="D6" s="46" t="str">
        <x:v>Maximum time (ms)</x:v>
      </x:c>
      <x:c r="E6" s="59" t="n">
        <x:f>MAX('Manual Review'!$AB$2:$AB$351)</x:f>
        <x:v>138.37150000108522</x:v>
      </x:c>
    </x:row>
    <x:row r="7">
      <x:c r="A7" s="46" t="str">
        <x:v>Wrong</x:v>
      </x:c>
      <x:c r="B7" s="33" t="n">
        <x:f>COUNTIF('Manual Review'!$AF$2:$AF$351,"wrong")</x:f>
        <x:v>0</x:v>
      </x:c>
      <x:c r="D7" s="46" t="str">
        <x:v>Mean score</x:v>
      </x:c>
      <x:c r="E7" s="59" t="n">
        <x:f>AVERAGE('Manual Review'!$X$2:$X$351)</x:f>
        <x:v>0.6601948486055647</x:v>
      </x:c>
    </x:row>
    <x:row r="8">
      <x:c r="A8" s="46" t="str">
        <x:v>Manual valid</x:v>
      </x:c>
      <x:c r="B8" s="33" t="n">
        <x:f>SUM('Manual Review'!$AG$2:$AG$351)</x:f>
        <x:v>350</x:v>
      </x:c>
      <x:c r="D8" s="47" t="str">
        <x:v>Benchmark device</x:v>
      </x:c>
      <x:c r="E8" s="35" t="str">
        <x:v>cpu</x:v>
      </x:c>
    </x:row>
    <x:row r="9">
      <x:c r="A9" s="46" t="str">
        <x:v>Manual valid rate</x:v>
      </x:c>
      <x:c r="B9" s="54" t="n">
        <x:f>B8/B3</x:f>
        <x:v>1</x:v>
      </x:c>
    </x:row>
    <x:row r="10">
      <x:c r="A10" s="46" t="str">
        <x:v>Strict good rate</x:v>
      </x:c>
      <x:c r="B10" s="54" t="n">
        <x:f>B5/B3</x:f>
        <x:v>0.44285714285714284</x:v>
      </x:c>
    </x:row>
    <x:row r="11">
      <x:c r="A11" s="47" t="str">
        <x:v>Mean in-bounds rate</x:v>
      </x:c>
      <x:c r="B11" s="55" t="n">
        <x:f>AVERAGE('Manual Review'!$R$2:$R$351)</x:f>
        <x:v>0.9139353099730458</x:v>
      </x:c>
    </x:row>
    <x:row r="13">
      <x:c r="A13" s="5" t="str">
        <x:v>Class</x:v>
      </x:c>
      <x:c r="B13" s="5" t="str">
        <x:v>Good</x:v>
      </x:c>
      <x:c r="C13" s="5" t="str">
        <x:v>Acceptable</x:v>
      </x:c>
      <x:c r="D13" s="5" t="str">
        <x:v>Wrong</x:v>
      </x:c>
      <x:c r="E13" s="5" t="str">
        <x:v>Manual valid</x:v>
      </x:c>
      <x:c r="F13" s="5" t="str">
        <x:v>Mean score</x:v>
      </x:c>
      <x:c r="G13" s="5" t="str">
        <x:v>In-bounds rate</x:v>
      </x:c>
      <x:c r="H13" s="5" t="str">
        <x:v>Mean time (ms)</x:v>
      </x:c>
    </x:row>
    <x:row r="14">
      <x:c r="A14" t="str">
        <x:v>angry</x:v>
      </x:c>
      <x:c r="B14" t="n">
        <x:f>COUNTIFS('Manual Review'!$B$2:$B$351,$A14,'Manual Review'!$AF$2:$AF$351,B$13)</x:f>
        <x:v>32</x:v>
      </x:c>
      <x:c r="C14" t="n">
        <x:f>COUNTIFS('Manual Review'!$B$2:$B$351,$A14,'Manual Review'!$AF$2:$AF$351,C$13)</x:f>
        <x:v>18</x:v>
      </x:c>
      <x:c r="D14" t="n">
        <x:f>COUNTIFS('Manual Review'!$B$2:$B$351,$A14,'Manual Review'!$AF$2:$AF$351,D$13)</x:f>
        <x:v>0</x:v>
      </x:c>
      <x:c r="E14" t="n">
        <x:f>SUMIFS('Manual Review'!$AG$2:$AG$351,'Manual Review'!$B$2:$B$351,$A14)</x:f>
        <x:v>50</x:v>
      </x:c>
      <x:c r="F14" s="62" t="n">
        <x:f>SUMIFS('Manual Review'!$X$2:$X$351,'Manual Review'!$B$2:$B$351,$A14)/COUNTIF('Manual Review'!$B$2:$B$351,$A14)</x:f>
        <x:v>0.6736737489700317</x:v>
      </x:c>
      <x:c r="G14" s="64" t="n">
        <x:f>SUMIFS('Manual Review'!$R$2:$R$351,'Manual Review'!$B$2:$B$351,$A14)/COUNTIF('Manual Review'!$B$2:$B$351,$A14)</x:f>
        <x:v>0.9352830188679246</x:v>
      </x:c>
      <x:c r="H14" s="66" t="n">
        <x:f>SUMIFS('Manual Review'!$AB$2:$AB$351,'Manual Review'!$B$2:$B$351,$A14)/COUNTIF('Manual Review'!$B$2:$B$351,$A14)</x:f>
        <x:v>105.25385200024175</x:v>
      </x:c>
    </x:row>
    <x:row r="15">
      <x:c r="A15" t="str">
        <x:v>disgust</x:v>
      </x:c>
      <x:c r="B15" t="n">
        <x:f>COUNTIFS('Manual Review'!$B$2:$B$351,$A15,'Manual Review'!$AF$2:$AF$351,B$13)</x:f>
        <x:v>20</x:v>
      </x:c>
      <x:c r="C15" t="n">
        <x:f>COUNTIFS('Manual Review'!$B$2:$B$351,$A15,'Manual Review'!$AF$2:$AF$351,C$13)</x:f>
        <x:v>30</x:v>
      </x:c>
      <x:c r="D15" t="n">
        <x:f>COUNTIFS('Manual Review'!$B$2:$B$351,$A15,'Manual Review'!$AF$2:$AF$351,D$13)</x:f>
        <x:v>0</x:v>
      </x:c>
      <x:c r="E15" t="n">
        <x:f>SUMIFS('Manual Review'!$AG$2:$AG$351,'Manual Review'!$B$2:$B$351,$A15)</x:f>
        <x:v>50</x:v>
      </x:c>
      <x:c r="F15" s="62" t="n">
        <x:f>SUMIFS('Manual Review'!$X$2:$X$351,'Manual Review'!$B$2:$B$351,$A15)/COUNTIF('Manual Review'!$B$2:$B$351,$A15)</x:f>
        <x:v>0.6231113767623901</x:v>
      </x:c>
      <x:c r="G15" s="64" t="n">
        <x:f>SUMIFS('Manual Review'!$R$2:$R$351,'Manual Review'!$B$2:$B$351,$A15)/COUNTIF('Manual Review'!$B$2:$B$351,$A15)</x:f>
        <x:v>0.8605660377358489</x:v>
      </x:c>
      <x:c r="H15" s="66" t="n">
        <x:f>SUMIFS('Manual Review'!$AB$2:$AB$351,'Manual Review'!$B$2:$B$351,$A15)/COUNTIF('Manual Review'!$B$2:$B$351,$A15)</x:f>
        <x:v>106.07112600024266</x:v>
      </x:c>
    </x:row>
    <x:row r="16">
      <x:c r="A16" t="str">
        <x:v>fear</x:v>
      </x:c>
      <x:c r="B16" t="n">
        <x:f>COUNTIFS('Manual Review'!$B$2:$B$351,$A16,'Manual Review'!$AF$2:$AF$351,B$13)</x:f>
        <x:v>21</x:v>
      </x:c>
      <x:c r="C16" t="n">
        <x:f>COUNTIFS('Manual Review'!$B$2:$B$351,$A16,'Manual Review'!$AF$2:$AF$351,C$13)</x:f>
        <x:v>29</x:v>
      </x:c>
      <x:c r="D16" t="n">
        <x:f>COUNTIFS('Manual Review'!$B$2:$B$351,$A16,'Manual Review'!$AF$2:$AF$351,D$13)</x:f>
        <x:v>0</x:v>
      </x:c>
      <x:c r="E16" t="n">
        <x:f>SUMIFS('Manual Review'!$AG$2:$AG$351,'Manual Review'!$B$2:$B$351,$A16)</x:f>
        <x:v>50</x:v>
      </x:c>
      <x:c r="F16" s="62" t="n">
        <x:f>SUMIFS('Manual Review'!$X$2:$X$351,'Manual Review'!$B$2:$B$351,$A16)/COUNTIF('Manual Review'!$B$2:$B$351,$A16)</x:f>
        <x:v>0.655911220908165</x:v>
      </x:c>
      <x:c r="G16" s="64" t="n">
        <x:f>SUMIFS('Manual Review'!$R$2:$R$351,'Manual Review'!$B$2:$B$351,$A16)/COUNTIF('Manual Review'!$B$2:$B$351,$A16)</x:f>
        <x:v>0.9128301886792456</x:v>
      </x:c>
      <x:c r="H16" s="66" t="n">
        <x:f>SUMIFS('Manual Review'!$AB$2:$AB$351,'Manual Review'!$B$2:$B$351,$A16)/COUNTIF('Manual Review'!$B$2:$B$351,$A16)</x:f>
        <x:v>108.18219599976146</x:v>
      </x:c>
    </x:row>
    <x:row r="17">
      <x:c r="A17" t="str">
        <x:v>happy</x:v>
      </x:c>
      <x:c r="B17" t="n">
        <x:f>COUNTIFS('Manual Review'!$B$2:$B$351,$A17,'Manual Review'!$AF$2:$AF$351,B$13)</x:f>
        <x:v>29</x:v>
      </x:c>
      <x:c r="C17" t="n">
        <x:f>COUNTIFS('Manual Review'!$B$2:$B$351,$A17,'Manual Review'!$AF$2:$AF$351,C$13)</x:f>
        <x:v>21</x:v>
      </x:c>
      <x:c r="D17" t="n">
        <x:f>COUNTIFS('Manual Review'!$B$2:$B$351,$A17,'Manual Review'!$AF$2:$AF$351,D$13)</x:f>
        <x:v>0</x:v>
      </x:c>
      <x:c r="E17" t="n">
        <x:f>SUMIFS('Manual Review'!$AG$2:$AG$351,'Manual Review'!$B$2:$B$351,$A17)</x:f>
        <x:v>50</x:v>
      </x:c>
      <x:c r="F17" s="62" t="n">
        <x:f>SUMIFS('Manual Review'!$X$2:$X$351,'Manual Review'!$B$2:$B$351,$A17)/COUNTIF('Manual Review'!$B$2:$B$351,$A17)</x:f>
        <x:v>0.6928622555732727</x:v>
      </x:c>
      <x:c r="G17" s="64" t="n">
        <x:f>SUMIFS('Manual Review'!$R$2:$R$351,'Manual Review'!$B$2:$B$351,$A17)/COUNTIF('Manual Review'!$B$2:$B$351,$A17)</x:f>
        <x:v>0.9343396226415095</x:v>
      </x:c>
      <x:c r="H17" s="66" t="n">
        <x:f>SUMIFS('Manual Review'!$AB$2:$AB$351,'Manual Review'!$B$2:$B$351,$A17)/COUNTIF('Manual Review'!$B$2:$B$351,$A17)</x:f>
        <x:v>107.66589800005022</x:v>
      </x:c>
    </x:row>
    <x:row r="18">
      <x:c r="A18" t="str">
        <x:v>neutral</x:v>
      </x:c>
      <x:c r="B18" t="n">
        <x:f>COUNTIFS('Manual Review'!$B$2:$B$351,$A18,'Manual Review'!$AF$2:$AF$351,B$13)</x:f>
        <x:v>21</x:v>
      </x:c>
      <x:c r="C18" t="n">
        <x:f>COUNTIFS('Manual Review'!$B$2:$B$351,$A18,'Manual Review'!$AF$2:$AF$351,C$13)</x:f>
        <x:v>29</x:v>
      </x:c>
      <x:c r="D18" t="n">
        <x:f>COUNTIFS('Manual Review'!$B$2:$B$351,$A18,'Manual Review'!$AF$2:$AF$351,D$13)</x:f>
        <x:v>0</x:v>
      </x:c>
      <x:c r="E18" t="n">
        <x:f>SUMIFS('Manual Review'!$AG$2:$AG$351,'Manual Review'!$B$2:$B$351,$A18)</x:f>
        <x:v>50</x:v>
      </x:c>
      <x:c r="F18" s="62" t="n">
        <x:f>SUMIFS('Manual Review'!$X$2:$X$351,'Manual Review'!$B$2:$B$351,$A18)/COUNTIF('Manual Review'!$B$2:$B$351,$A18)</x:f>
        <x:v>0.6746740913391114</x:v>
      </x:c>
      <x:c r="G18" s="64" t="n">
        <x:f>SUMIFS('Manual Review'!$R$2:$R$351,'Manual Review'!$B$2:$B$351,$A18)/COUNTIF('Manual Review'!$B$2:$B$351,$A18)</x:f>
        <x:v>0.9241509433962265</x:v>
      </x:c>
      <x:c r="H18" s="66" t="n">
        <x:f>SUMIFS('Manual Review'!$AB$2:$AB$351,'Manual Review'!$B$2:$B$351,$A18)/COUNTIF('Manual Review'!$B$2:$B$351,$A18)</x:f>
        <x:v>108.59337800015055</x:v>
      </x:c>
    </x:row>
    <x:row r="19">
      <x:c r="A19" t="str">
        <x:v>sad</x:v>
      </x:c>
      <x:c r="B19" t="n">
        <x:f>COUNTIFS('Manual Review'!$B$2:$B$351,$A19,'Manual Review'!$AF$2:$AF$351,B$13)</x:f>
        <x:v>12</x:v>
      </x:c>
      <x:c r="C19" t="n">
        <x:f>COUNTIFS('Manual Review'!$B$2:$B$351,$A19,'Manual Review'!$AF$2:$AF$351,C$13)</x:f>
        <x:v>38</x:v>
      </x:c>
      <x:c r="D19" t="n">
        <x:f>COUNTIFS('Manual Review'!$B$2:$B$351,$A19,'Manual Review'!$AF$2:$AF$351,D$13)</x:f>
        <x:v>0</x:v>
      </x:c>
      <x:c r="E19" t="n">
        <x:f>SUMIFS('Manual Review'!$AG$2:$AG$351,'Manual Review'!$B$2:$B$351,$A19)</x:f>
        <x:v>50</x:v>
      </x:c>
      <x:c r="F19" s="62" t="n">
        <x:f>SUMIFS('Manual Review'!$X$2:$X$351,'Manual Review'!$B$2:$B$351,$A19)/COUNTIF('Manual Review'!$B$2:$B$351,$A19)</x:f>
        <x:v>0.6531673806905747</x:v>
      </x:c>
      <x:c r="G19" s="64" t="n">
        <x:f>SUMIFS('Manual Review'!$R$2:$R$351,'Manual Review'!$B$2:$B$351,$A19)/COUNTIF('Manual Review'!$B$2:$B$351,$A19)</x:f>
        <x:v>0.9256603773584905</x:v>
      </x:c>
      <x:c r="H19" s="66" t="n">
        <x:f>SUMIFS('Manual Review'!$AB$2:$AB$351,'Manual Review'!$B$2:$B$351,$A19)/COUNTIF('Manual Review'!$B$2:$B$351,$A19)</x:f>
        <x:v>109.60374399990542</x:v>
      </x:c>
    </x:row>
    <x:row r="20">
      <x:c r="A20" t="str">
        <x:v>surprise</x:v>
      </x:c>
      <x:c r="B20" t="n">
        <x:f>COUNTIFS('Manual Review'!$B$2:$B$351,$A20,'Manual Review'!$AF$2:$AF$351,B$13)</x:f>
        <x:v>20</x:v>
      </x:c>
      <x:c r="C20" t="n">
        <x:f>COUNTIFS('Manual Review'!$B$2:$B$351,$A20,'Manual Review'!$AF$2:$AF$351,C$13)</x:f>
        <x:v>30</x:v>
      </x:c>
      <x:c r="D20" t="n">
        <x:f>COUNTIFS('Manual Review'!$B$2:$B$351,$A20,'Manual Review'!$AF$2:$AF$351,D$13)</x:f>
        <x:v>0</x:v>
      </x:c>
      <x:c r="E20" t="n">
        <x:f>SUMIFS('Manual Review'!$AG$2:$AG$351,'Manual Review'!$B$2:$B$351,$A20)</x:f>
        <x:v>50</x:v>
      </x:c>
      <x:c r="F20" s="62" t="n">
        <x:f>SUMIFS('Manual Review'!$X$2:$X$351,'Manual Review'!$B$2:$B$351,$A20)/COUNTIF('Manual Review'!$B$2:$B$351,$A20)</x:f>
        <x:v>0.6479638659954071</x:v>
      </x:c>
      <x:c r="G20" s="64" t="n">
        <x:f>SUMIFS('Manual Review'!$R$2:$R$351,'Manual Review'!$B$2:$B$351,$A20)/COUNTIF('Manual Review'!$B$2:$B$351,$A20)</x:f>
        <x:v>0.9047169811320755</x:v>
      </x:c>
      <x:c r="H20" s="66" t="n">
        <x:f>SUMIFS('Manual Review'!$AB$2:$AB$351,'Manual Review'!$B$2:$B$351,$A20)/COUNTIF('Manual Review'!$B$2:$B$351,$A20)</x:f>
        <x:v>112.64875999993819</x:v>
      </x:c>
    </x:row>
    <x:row r="23">
      <x:c r="A23" s="70" t="str">
        <x:v>Model</x:v>
      </x:c>
      <x:c r="B23" s="70" t="str">
        <x:v>Raw success</x:v>
      </x:c>
      <x:c r="C23" s="70" t="str">
        <x:v>Good</x:v>
      </x:c>
      <x:c r="D23" s="70" t="str">
        <x:v>Acceptable</x:v>
      </x:c>
      <x:c r="E23" s="70" t="str">
        <x:v>Wrong</x:v>
      </x:c>
      <x:c r="F23" s="70" t="str">
        <x:v>Mean time (ms)</x:v>
      </x:c>
    </x:row>
    <x:row r="24">
      <x:c r="A24" t="str">
        <x:v>MediaPipe Face Mesh</x:v>
      </x:c>
      <x:c r="B24" t="n">
        <x:v>317</x:v>
      </x:c>
      <x:c r="C24" t="n">
        <x:v>150</x:v>
      </x:c>
      <x:c r="D24" t="n">
        <x:v>167</x:v>
      </x:c>
      <x:c r="E24" t="n">
        <x:v>33</x:v>
      </x:c>
      <x:c r="F24" s="66" t="n">
        <x:v>4.86</x:v>
      </x:c>
    </x:row>
    <x:row r="25">
      <x:c r="A25" t="str">
        <x:v>RTMPose-M Face6</x:v>
      </x:c>
      <x:c r="B25" t="n">
        <x:v>350</x:v>
      </x:c>
      <x:c r="C25" t="n">
        <x:v>155</x:v>
      </x:c>
      <x:c r="D25" t="n">
        <x:v>195</x:v>
      </x:c>
      <x:c r="E25" t="n">
        <x:v>0</x:v>
      </x:c>
      <x:c r="F25" s="66" t="n">
        <x:v>108.28842200004146</x:v>
      </x:c>
    </x:row>
    <x:row r="28" ht="26" customHeight="1">
      <x:c r="A28" s="77" t="str">
        <x:v>Interpretation
RTMPose always returned 106 finite landmarks because the full FER image was provided as a face bounding box. Manual validity is therefore reported separately from raw inference success. Samples marked acceptable remain usable but may contain profile, crop, blur, occlusion, out-of-frame contour points, or inferred hidden-side landmarks.</x:v>
      </x:c>
      <x:c r="B28" s="77"/>
      <x:c r="C28" s="77"/>
      <x:c r="D28" s="77"/>
      <x:c r="E28" s="77"/>
      <x:c r="F28" s="77"/>
      <x:c r="G28" s="77"/>
      <x:c r="H28" s="77"/>
    </x:row>
    <x:row r="29" ht="26" customHeight="1">
      <x:c r="A29" s="77"/>
      <x:c r="B29" s="77"/>
      <x:c r="C29" s="77"/>
      <x:c r="D29" s="77"/>
      <x:c r="E29" s="77"/>
      <x:c r="F29" s="77"/>
      <x:c r="G29" s="77"/>
      <x:c r="H29" s="77"/>
    </x:row>
    <x:row r="30" ht="26" customHeight="1">
      <x:c r="A30" s="77"/>
      <x:c r="B30" s="77"/>
      <x:c r="C30" s="77"/>
      <x:c r="D30" s="77"/>
      <x:c r="E30" s="77"/>
      <x:c r="F30" s="77"/>
      <x:c r="G30" s="77"/>
      <x:c r="H30" s="77"/>
    </x:row>
    <x:row r="31" ht="26" customHeight="1">
      <x:c r="A31" s="77"/>
      <x:c r="B31" s="77"/>
      <x:c r="C31" s="77"/>
      <x:c r="D31" s="77"/>
      <x:c r="E31" s="77"/>
      <x:c r="F31" s="77"/>
      <x:c r="G31" s="77"/>
      <x:c r="H31" s="77"/>
    </x:row>
  </x:sheetData>
  <x:mergeCells>
    <x:mergeCell ref="A1:H1"/>
    <x:mergeCell ref="A28:H31"/>
  </x:mergeCells>
  <x:pageMargins left="0.7" right="0.7" top="0.75" bottom="0.75" header="0.3" footer="0.3"/>
  <x:drawing xmlns:r="http://schemas.openxmlformats.org/officeDocument/2006/relationships" r:id="R0d95da90354447dd"/>
</x:worksheet>
</file>